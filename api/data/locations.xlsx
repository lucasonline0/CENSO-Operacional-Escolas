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abri\OneDrive\Documentos\GitHub\CENSO-Operacional-Escolas\api\data\"/>
    </mc:Choice>
  </mc:AlternateContent>
  <xr:revisionPtr revIDLastSave="0" documentId="13_ncr:20001_{8ABF81FC-745B-48A5-95C3-09290DC4BB74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etores" sheetId="1" r:id="rId1"/>
    <sheet name="Setores_Atualizado" sheetId="2" r:id="rId2"/>
    <sheet name="Cópia de Setores" sheetId="3" r:id="rId3"/>
  </sheets>
  <definedNames>
    <definedName name="_xlnm._FilterDatabase" localSheetId="0" hidden="1">Setores!$A$1:$C$1021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04" i="2" l="1"/>
  <c r="M1204" i="2"/>
  <c r="L1204" i="2"/>
  <c r="J1204" i="2"/>
  <c r="H1204" i="2"/>
  <c r="E1204" i="2"/>
  <c r="D1204" i="2"/>
  <c r="C1204" i="2"/>
  <c r="B1204" i="2"/>
  <c r="A1204" i="2"/>
  <c r="N1203" i="2"/>
  <c r="M1203" i="2"/>
  <c r="L1203" i="2"/>
  <c r="J1203" i="2"/>
  <c r="H1203" i="2"/>
  <c r="E1203" i="2"/>
  <c r="D1203" i="2"/>
  <c r="C1203" i="2"/>
  <c r="B1203" i="2"/>
  <c r="A1203" i="2"/>
  <c r="N1202" i="2"/>
  <c r="M1202" i="2"/>
  <c r="L1202" i="2"/>
  <c r="J1202" i="2"/>
  <c r="H1202" i="2"/>
  <c r="E1202" i="2"/>
  <c r="D1202" i="2"/>
  <c r="C1202" i="2"/>
  <c r="B1202" i="2"/>
  <c r="A1202" i="2"/>
  <c r="N1201" i="2"/>
  <c r="M1201" i="2"/>
  <c r="L1201" i="2"/>
  <c r="J1201" i="2"/>
  <c r="H1201" i="2"/>
  <c r="E1201" i="2"/>
  <c r="D1201" i="2"/>
  <c r="C1201" i="2"/>
  <c r="B1201" i="2"/>
  <c r="A1201" i="2"/>
  <c r="N1200" i="2"/>
  <c r="M1200" i="2"/>
  <c r="L1200" i="2"/>
  <c r="J1200" i="2"/>
  <c r="H1200" i="2"/>
  <c r="E1200" i="2"/>
  <c r="D1200" i="2"/>
  <c r="C1200" i="2"/>
  <c r="B1200" i="2"/>
  <c r="A1200" i="2"/>
  <c r="N1199" i="2"/>
  <c r="M1199" i="2"/>
  <c r="L1199" i="2"/>
  <c r="J1199" i="2"/>
  <c r="H1199" i="2"/>
  <c r="E1199" i="2"/>
  <c r="D1199" i="2"/>
  <c r="C1199" i="2"/>
  <c r="B1199" i="2"/>
  <c r="A1199" i="2"/>
  <c r="N1198" i="2"/>
  <c r="M1198" i="2"/>
  <c r="L1198" i="2"/>
  <c r="J1198" i="2"/>
  <c r="H1198" i="2"/>
  <c r="E1198" i="2"/>
  <c r="D1198" i="2"/>
  <c r="C1198" i="2"/>
  <c r="B1198" i="2"/>
  <c r="A1198" i="2"/>
  <c r="N1197" i="2"/>
  <c r="M1197" i="2"/>
  <c r="L1197" i="2"/>
  <c r="J1197" i="2"/>
  <c r="H1197" i="2"/>
  <c r="E1197" i="2"/>
  <c r="D1197" i="2"/>
  <c r="C1197" i="2"/>
  <c r="B1197" i="2"/>
  <c r="A1197" i="2"/>
  <c r="N1196" i="2"/>
  <c r="M1196" i="2"/>
  <c r="L1196" i="2"/>
  <c r="J1196" i="2"/>
  <c r="H1196" i="2"/>
  <c r="E1196" i="2"/>
  <c r="D1196" i="2"/>
  <c r="C1196" i="2"/>
  <c r="B1196" i="2"/>
  <c r="A1196" i="2"/>
  <c r="N1195" i="2"/>
  <c r="M1195" i="2"/>
  <c r="L1195" i="2"/>
  <c r="J1195" i="2"/>
  <c r="H1195" i="2"/>
  <c r="E1195" i="2"/>
  <c r="D1195" i="2"/>
  <c r="C1195" i="2"/>
  <c r="B1195" i="2"/>
  <c r="A1195" i="2"/>
  <c r="N1194" i="2"/>
  <c r="M1194" i="2"/>
  <c r="L1194" i="2"/>
  <c r="J1194" i="2"/>
  <c r="H1194" i="2"/>
  <c r="E1194" i="2"/>
  <c r="D1194" i="2"/>
  <c r="C1194" i="2"/>
  <c r="B1194" i="2"/>
  <c r="A1194" i="2"/>
  <c r="N1193" i="2"/>
  <c r="M1193" i="2"/>
  <c r="L1193" i="2"/>
  <c r="J1193" i="2"/>
  <c r="H1193" i="2"/>
  <c r="E1193" i="2"/>
  <c r="D1193" i="2"/>
  <c r="C1193" i="2"/>
  <c r="B1193" i="2"/>
  <c r="A1193" i="2"/>
  <c r="N1192" i="2"/>
  <c r="M1192" i="2"/>
  <c r="L1192" i="2"/>
  <c r="J1192" i="2"/>
  <c r="H1192" i="2"/>
  <c r="E1192" i="2"/>
  <c r="D1192" i="2"/>
  <c r="C1192" i="2"/>
  <c r="B1192" i="2"/>
  <c r="A1192" i="2"/>
  <c r="N1191" i="2"/>
  <c r="M1191" i="2"/>
  <c r="L1191" i="2"/>
  <c r="J1191" i="2"/>
  <c r="H1191" i="2"/>
  <c r="E1191" i="2"/>
  <c r="D1191" i="2"/>
  <c r="C1191" i="2"/>
  <c r="B1191" i="2"/>
  <c r="A1191" i="2"/>
  <c r="N1190" i="2"/>
  <c r="M1190" i="2"/>
  <c r="L1190" i="2"/>
  <c r="J1190" i="2"/>
  <c r="H1190" i="2"/>
  <c r="E1190" i="2"/>
  <c r="D1190" i="2"/>
  <c r="C1190" i="2"/>
  <c r="B1190" i="2"/>
  <c r="A1190" i="2"/>
  <c r="N1189" i="2"/>
  <c r="M1189" i="2"/>
  <c r="L1189" i="2"/>
  <c r="J1189" i="2"/>
  <c r="H1189" i="2"/>
  <c r="E1189" i="2"/>
  <c r="D1189" i="2"/>
  <c r="C1189" i="2"/>
  <c r="B1189" i="2"/>
  <c r="A1189" i="2"/>
  <c r="N1188" i="2"/>
  <c r="M1188" i="2"/>
  <c r="L1188" i="2"/>
  <c r="J1188" i="2"/>
  <c r="H1188" i="2"/>
  <c r="E1188" i="2"/>
  <c r="D1188" i="2"/>
  <c r="C1188" i="2"/>
  <c r="B1188" i="2"/>
  <c r="A1188" i="2"/>
  <c r="N1187" i="2"/>
  <c r="M1187" i="2"/>
  <c r="L1187" i="2"/>
  <c r="J1187" i="2"/>
  <c r="H1187" i="2"/>
  <c r="E1187" i="2"/>
  <c r="D1187" i="2"/>
  <c r="C1187" i="2"/>
  <c r="B1187" i="2"/>
  <c r="A1187" i="2"/>
  <c r="N1186" i="2"/>
  <c r="M1186" i="2"/>
  <c r="L1186" i="2"/>
  <c r="J1186" i="2"/>
  <c r="H1186" i="2"/>
  <c r="E1186" i="2"/>
  <c r="D1186" i="2"/>
  <c r="C1186" i="2"/>
  <c r="B1186" i="2"/>
  <c r="A1186" i="2"/>
  <c r="N1185" i="2"/>
  <c r="M1185" i="2"/>
  <c r="L1185" i="2"/>
  <c r="J1185" i="2"/>
  <c r="H1185" i="2"/>
  <c r="E1185" i="2"/>
  <c r="D1185" i="2"/>
  <c r="C1185" i="2"/>
  <c r="B1185" i="2"/>
  <c r="A1185" i="2"/>
  <c r="N1184" i="2"/>
  <c r="M1184" i="2"/>
  <c r="L1184" i="2"/>
  <c r="J1184" i="2"/>
  <c r="H1184" i="2"/>
  <c r="E1184" i="2"/>
  <c r="D1184" i="2"/>
  <c r="C1184" i="2"/>
  <c r="B1184" i="2"/>
  <c r="A1184" i="2"/>
  <c r="N1183" i="2"/>
  <c r="M1183" i="2"/>
  <c r="L1183" i="2"/>
  <c r="J1183" i="2"/>
  <c r="H1183" i="2"/>
  <c r="E1183" i="2"/>
  <c r="D1183" i="2"/>
  <c r="C1183" i="2"/>
  <c r="B1183" i="2"/>
  <c r="A1183" i="2"/>
  <c r="N1182" i="2"/>
  <c r="M1182" i="2"/>
  <c r="L1182" i="2"/>
  <c r="J1182" i="2"/>
  <c r="H1182" i="2"/>
  <c r="E1182" i="2"/>
  <c r="D1182" i="2"/>
  <c r="C1182" i="2"/>
  <c r="B1182" i="2"/>
  <c r="A1182" i="2"/>
  <c r="N1181" i="2"/>
  <c r="M1181" i="2"/>
  <c r="L1181" i="2"/>
  <c r="J1181" i="2"/>
  <c r="H1181" i="2"/>
  <c r="E1181" i="2"/>
  <c r="D1181" i="2"/>
  <c r="C1181" i="2"/>
  <c r="B1181" i="2"/>
  <c r="A1181" i="2"/>
  <c r="N1180" i="2"/>
  <c r="M1180" i="2"/>
  <c r="L1180" i="2"/>
  <c r="J1180" i="2"/>
  <c r="H1180" i="2"/>
  <c r="E1180" i="2"/>
  <c r="D1180" i="2"/>
  <c r="C1180" i="2"/>
  <c r="B1180" i="2"/>
  <c r="A1180" i="2"/>
  <c r="N1179" i="2"/>
  <c r="M1179" i="2"/>
  <c r="L1179" i="2"/>
  <c r="J1179" i="2"/>
  <c r="H1179" i="2"/>
  <c r="E1179" i="2"/>
  <c r="D1179" i="2"/>
  <c r="C1179" i="2"/>
  <c r="B1179" i="2"/>
  <c r="A1179" i="2"/>
  <c r="N1178" i="2"/>
  <c r="M1178" i="2"/>
  <c r="L1178" i="2"/>
  <c r="J1178" i="2"/>
  <c r="H1178" i="2"/>
  <c r="E1178" i="2"/>
  <c r="D1178" i="2"/>
  <c r="C1178" i="2"/>
  <c r="B1178" i="2"/>
  <c r="A1178" i="2"/>
  <c r="N1177" i="2"/>
  <c r="M1177" i="2"/>
  <c r="L1177" i="2"/>
  <c r="J1177" i="2"/>
  <c r="H1177" i="2"/>
  <c r="E1177" i="2"/>
  <c r="D1177" i="2"/>
  <c r="C1177" i="2"/>
  <c r="B1177" i="2"/>
  <c r="A1177" i="2"/>
  <c r="N1176" i="2"/>
  <c r="M1176" i="2"/>
  <c r="L1176" i="2"/>
  <c r="J1176" i="2"/>
  <c r="H1176" i="2"/>
  <c r="E1176" i="2"/>
  <c r="D1176" i="2"/>
  <c r="C1176" i="2"/>
  <c r="B1176" i="2"/>
  <c r="A1176" i="2"/>
  <c r="N1175" i="2"/>
  <c r="M1175" i="2"/>
  <c r="L1175" i="2"/>
  <c r="J1175" i="2"/>
  <c r="H1175" i="2"/>
  <c r="E1175" i="2"/>
  <c r="D1175" i="2"/>
  <c r="C1175" i="2"/>
  <c r="B1175" i="2"/>
  <c r="A1175" i="2"/>
  <c r="N1174" i="2"/>
  <c r="M1174" i="2"/>
  <c r="L1174" i="2"/>
  <c r="J1174" i="2"/>
  <c r="H1174" i="2"/>
  <c r="E1174" i="2"/>
  <c r="D1174" i="2"/>
  <c r="C1174" i="2"/>
  <c r="B1174" i="2"/>
  <c r="A1174" i="2"/>
  <c r="N1173" i="2"/>
  <c r="M1173" i="2"/>
  <c r="L1173" i="2"/>
  <c r="J1173" i="2"/>
  <c r="H1173" i="2"/>
  <c r="E1173" i="2"/>
  <c r="D1173" i="2"/>
  <c r="C1173" i="2"/>
  <c r="B1173" i="2"/>
  <c r="A1173" i="2"/>
  <c r="N1172" i="2"/>
  <c r="M1172" i="2"/>
  <c r="L1172" i="2"/>
  <c r="J1172" i="2"/>
  <c r="H1172" i="2"/>
  <c r="E1172" i="2"/>
  <c r="D1172" i="2"/>
  <c r="C1172" i="2"/>
  <c r="B1172" i="2"/>
  <c r="A1172" i="2"/>
  <c r="N1171" i="2"/>
  <c r="M1171" i="2"/>
  <c r="L1171" i="2"/>
  <c r="J1171" i="2"/>
  <c r="H1171" i="2"/>
  <c r="E1171" i="2"/>
  <c r="D1171" i="2"/>
  <c r="C1171" i="2"/>
  <c r="B1171" i="2"/>
  <c r="A1171" i="2"/>
  <c r="N1170" i="2"/>
  <c r="M1170" i="2"/>
  <c r="L1170" i="2"/>
  <c r="J1170" i="2"/>
  <c r="H1170" i="2"/>
  <c r="E1170" i="2"/>
  <c r="D1170" i="2"/>
  <c r="C1170" i="2"/>
  <c r="B1170" i="2"/>
  <c r="A1170" i="2"/>
  <c r="N1169" i="2"/>
  <c r="M1169" i="2"/>
  <c r="L1169" i="2"/>
  <c r="J1169" i="2"/>
  <c r="H1169" i="2"/>
  <c r="E1169" i="2"/>
  <c r="D1169" i="2"/>
  <c r="C1169" i="2"/>
  <c r="B1169" i="2"/>
  <c r="A1169" i="2"/>
  <c r="N1168" i="2"/>
  <c r="M1168" i="2"/>
  <c r="L1168" i="2"/>
  <c r="J1168" i="2"/>
  <c r="H1168" i="2"/>
  <c r="E1168" i="2"/>
  <c r="D1168" i="2"/>
  <c r="C1168" i="2"/>
  <c r="B1168" i="2"/>
  <c r="A1168" i="2"/>
  <c r="N1167" i="2"/>
  <c r="M1167" i="2"/>
  <c r="L1167" i="2"/>
  <c r="J1167" i="2"/>
  <c r="H1167" i="2"/>
  <c r="E1167" i="2"/>
  <c r="D1167" i="2"/>
  <c r="C1167" i="2"/>
  <c r="B1167" i="2"/>
  <c r="A1167" i="2"/>
  <c r="N1166" i="2"/>
  <c r="M1166" i="2"/>
  <c r="L1166" i="2"/>
  <c r="J1166" i="2"/>
  <c r="H1166" i="2"/>
  <c r="E1166" i="2"/>
  <c r="D1166" i="2"/>
  <c r="C1166" i="2"/>
  <c r="B1166" i="2"/>
  <c r="A1166" i="2"/>
  <c r="N1165" i="2"/>
  <c r="M1165" i="2"/>
  <c r="L1165" i="2"/>
  <c r="J1165" i="2"/>
  <c r="H1165" i="2"/>
  <c r="E1165" i="2"/>
  <c r="D1165" i="2"/>
  <c r="C1165" i="2"/>
  <c r="B1165" i="2"/>
  <c r="A1165" i="2"/>
  <c r="N1164" i="2"/>
  <c r="M1164" i="2"/>
  <c r="L1164" i="2"/>
  <c r="J1164" i="2"/>
  <c r="H1164" i="2"/>
  <c r="E1164" i="2"/>
  <c r="D1164" i="2"/>
  <c r="C1164" i="2"/>
  <c r="B1164" i="2"/>
  <c r="A1164" i="2"/>
  <c r="N1163" i="2"/>
  <c r="M1163" i="2"/>
  <c r="L1163" i="2"/>
  <c r="J1163" i="2"/>
  <c r="H1163" i="2"/>
  <c r="E1163" i="2"/>
  <c r="D1163" i="2"/>
  <c r="C1163" i="2"/>
  <c r="B1163" i="2"/>
  <c r="A1163" i="2"/>
  <c r="N1162" i="2"/>
  <c r="M1162" i="2"/>
  <c r="L1162" i="2"/>
  <c r="J1162" i="2"/>
  <c r="H1162" i="2"/>
  <c r="E1162" i="2"/>
  <c r="D1162" i="2"/>
  <c r="C1162" i="2"/>
  <c r="B1162" i="2"/>
  <c r="A1162" i="2"/>
  <c r="N1161" i="2"/>
  <c r="M1161" i="2"/>
  <c r="L1161" i="2"/>
  <c r="J1161" i="2"/>
  <c r="H1161" i="2"/>
  <c r="E1161" i="2"/>
  <c r="D1161" i="2"/>
  <c r="C1161" i="2"/>
  <c r="B1161" i="2"/>
  <c r="A1161" i="2"/>
  <c r="N1160" i="2"/>
  <c r="M1160" i="2"/>
  <c r="L1160" i="2"/>
  <c r="J1160" i="2"/>
  <c r="H1160" i="2"/>
  <c r="E1160" i="2"/>
  <c r="D1160" i="2"/>
  <c r="C1160" i="2"/>
  <c r="B1160" i="2"/>
  <c r="A1160" i="2"/>
  <c r="N1159" i="2"/>
  <c r="M1159" i="2"/>
  <c r="L1159" i="2"/>
  <c r="J1159" i="2"/>
  <c r="H1159" i="2"/>
  <c r="G1159" i="2"/>
  <c r="F1159" i="2"/>
  <c r="E1159" i="2"/>
  <c r="C1159" i="2"/>
  <c r="B1159" i="2"/>
  <c r="A1159" i="2"/>
  <c r="N1158" i="2"/>
  <c r="M1158" i="2"/>
  <c r="L1158" i="2"/>
  <c r="K1158" i="2"/>
  <c r="J1158" i="2"/>
  <c r="H1158" i="2"/>
  <c r="G1158" i="2"/>
  <c r="F1158" i="2"/>
  <c r="E1158" i="2"/>
  <c r="C1158" i="2"/>
  <c r="B1158" i="2"/>
  <c r="A1158" i="2"/>
  <c r="N1157" i="2"/>
  <c r="M1157" i="2"/>
  <c r="L1157" i="2"/>
  <c r="K1157" i="2"/>
  <c r="J1157" i="2"/>
  <c r="H1157" i="2"/>
  <c r="G1157" i="2"/>
  <c r="F1157" i="2"/>
  <c r="E1157" i="2"/>
  <c r="C1157" i="2"/>
  <c r="B1157" i="2"/>
  <c r="A1157" i="2"/>
  <c r="N1156" i="2"/>
  <c r="M1156" i="2"/>
  <c r="L1156" i="2"/>
  <c r="K1156" i="2"/>
  <c r="J1156" i="2"/>
  <c r="H1156" i="2"/>
  <c r="G1156" i="2"/>
  <c r="F1156" i="2"/>
  <c r="E1156" i="2"/>
  <c r="C1156" i="2"/>
  <c r="B1156" i="2"/>
  <c r="A1156" i="2"/>
  <c r="N1155" i="2"/>
  <c r="M1155" i="2"/>
  <c r="L1155" i="2"/>
  <c r="K1155" i="2"/>
  <c r="J1155" i="2"/>
  <c r="H1155" i="2"/>
  <c r="G1155" i="2"/>
  <c r="F1155" i="2"/>
  <c r="E1155" i="2"/>
  <c r="C1155" i="2"/>
  <c r="B1155" i="2"/>
  <c r="A1155" i="2"/>
  <c r="N1154" i="2"/>
  <c r="M1154" i="2"/>
  <c r="L1154" i="2"/>
  <c r="K1154" i="2"/>
  <c r="J1154" i="2"/>
  <c r="H1154" i="2"/>
  <c r="G1154" i="2"/>
  <c r="F1154" i="2"/>
  <c r="E1154" i="2"/>
  <c r="C1154" i="2"/>
  <c r="B1154" i="2"/>
  <c r="A1154" i="2"/>
  <c r="N1153" i="2"/>
  <c r="M1153" i="2"/>
  <c r="L1153" i="2"/>
  <c r="K1153" i="2"/>
  <c r="J1153" i="2"/>
  <c r="H1153" i="2"/>
  <c r="G1153" i="2"/>
  <c r="F1153" i="2"/>
  <c r="E1153" i="2"/>
  <c r="C1153" i="2"/>
  <c r="B1153" i="2"/>
  <c r="A1153" i="2"/>
  <c r="N1152" i="2"/>
  <c r="M1152" i="2"/>
  <c r="L1152" i="2"/>
  <c r="J1152" i="2"/>
  <c r="H1152" i="2"/>
  <c r="G1152" i="2"/>
  <c r="F1152" i="2"/>
  <c r="E1152" i="2"/>
  <c r="C1152" i="2"/>
  <c r="B1152" i="2"/>
  <c r="A1152" i="2"/>
  <c r="N1151" i="2"/>
  <c r="M1151" i="2"/>
  <c r="L1151" i="2"/>
  <c r="J1151" i="2"/>
  <c r="H1151" i="2"/>
  <c r="E1151" i="2"/>
  <c r="C1151" i="2"/>
  <c r="B1151" i="2"/>
  <c r="A1151" i="2"/>
  <c r="N1150" i="2"/>
  <c r="M1150" i="2"/>
  <c r="L1150" i="2"/>
  <c r="K1150" i="2"/>
  <c r="J1150" i="2"/>
  <c r="H1150" i="2"/>
  <c r="G1150" i="2"/>
  <c r="F1150" i="2"/>
  <c r="E1150" i="2"/>
  <c r="C1150" i="2"/>
  <c r="B1150" i="2"/>
  <c r="A1150" i="2"/>
  <c r="N1149" i="2"/>
  <c r="M1149" i="2"/>
  <c r="L1149" i="2"/>
  <c r="K1149" i="2"/>
  <c r="J1149" i="2"/>
  <c r="H1149" i="2"/>
  <c r="G1149" i="2"/>
  <c r="F1149" i="2"/>
  <c r="E1149" i="2"/>
  <c r="C1149" i="2"/>
  <c r="B1149" i="2"/>
  <c r="A1149" i="2"/>
  <c r="N1148" i="2"/>
  <c r="M1148" i="2"/>
  <c r="L1148" i="2"/>
  <c r="K1148" i="2"/>
  <c r="J1148" i="2"/>
  <c r="H1148" i="2"/>
  <c r="F1148" i="2"/>
  <c r="E1148" i="2"/>
  <c r="C1148" i="2"/>
  <c r="B1148" i="2"/>
  <c r="A1148" i="2"/>
  <c r="N1147" i="2"/>
  <c r="M1147" i="2"/>
  <c r="L1147" i="2"/>
  <c r="K1147" i="2"/>
  <c r="J1147" i="2"/>
  <c r="H1147" i="2"/>
  <c r="G1147" i="2"/>
  <c r="F1147" i="2"/>
  <c r="E1147" i="2"/>
  <c r="C1147" i="2"/>
  <c r="B1147" i="2"/>
  <c r="A1147" i="2"/>
  <c r="N1146" i="2"/>
  <c r="M1146" i="2"/>
  <c r="L1146" i="2"/>
  <c r="J1146" i="2"/>
  <c r="H1146" i="2"/>
  <c r="E1146" i="2"/>
  <c r="C1146" i="2"/>
  <c r="B1146" i="2"/>
  <c r="A1146" i="2"/>
  <c r="N1145" i="2"/>
  <c r="M1145" i="2"/>
  <c r="L1145" i="2"/>
  <c r="K1145" i="2"/>
  <c r="J1145" i="2"/>
  <c r="H1145" i="2"/>
  <c r="G1145" i="2"/>
  <c r="F1145" i="2"/>
  <c r="E1145" i="2"/>
  <c r="C1145" i="2"/>
  <c r="B1145" i="2"/>
  <c r="A1145" i="2"/>
  <c r="N1144" i="2"/>
  <c r="M1144" i="2"/>
  <c r="L1144" i="2"/>
  <c r="K1144" i="2"/>
  <c r="J1144" i="2"/>
  <c r="H1144" i="2"/>
  <c r="G1144" i="2"/>
  <c r="F1144" i="2"/>
  <c r="E1144" i="2"/>
  <c r="C1144" i="2"/>
  <c r="B1144" i="2"/>
  <c r="A1144" i="2"/>
  <c r="N1143" i="2"/>
  <c r="M1143" i="2"/>
  <c r="L1143" i="2"/>
  <c r="K1143" i="2"/>
  <c r="J1143" i="2"/>
  <c r="H1143" i="2"/>
  <c r="G1143" i="2"/>
  <c r="F1143" i="2"/>
  <c r="E1143" i="2"/>
  <c r="C1143" i="2"/>
  <c r="B1143" i="2"/>
  <c r="A1143" i="2"/>
  <c r="N1142" i="2"/>
  <c r="M1142" i="2"/>
  <c r="L1142" i="2"/>
  <c r="K1142" i="2"/>
  <c r="J1142" i="2"/>
  <c r="H1142" i="2"/>
  <c r="F1142" i="2"/>
  <c r="E1142" i="2"/>
  <c r="C1142" i="2"/>
  <c r="B1142" i="2"/>
  <c r="A1142" i="2"/>
  <c r="N1141" i="2"/>
  <c r="M1141" i="2"/>
  <c r="L1141" i="2"/>
  <c r="J1141" i="2"/>
  <c r="H1141" i="2"/>
  <c r="E1141" i="2"/>
  <c r="C1141" i="2"/>
  <c r="B1141" i="2"/>
  <c r="A1141" i="2"/>
  <c r="N1140" i="2"/>
  <c r="M1140" i="2"/>
  <c r="L1140" i="2"/>
  <c r="K1140" i="2"/>
  <c r="J1140" i="2"/>
  <c r="H1140" i="2"/>
  <c r="G1140" i="2"/>
  <c r="F1140" i="2"/>
  <c r="E1140" i="2"/>
  <c r="C1140" i="2"/>
  <c r="B1140" i="2"/>
  <c r="A1140" i="2"/>
  <c r="N1139" i="2"/>
  <c r="M1139" i="2"/>
  <c r="L1139" i="2"/>
  <c r="K1139" i="2"/>
  <c r="J1139" i="2"/>
  <c r="H1139" i="2"/>
  <c r="F1139" i="2"/>
  <c r="E1139" i="2"/>
  <c r="C1139" i="2"/>
  <c r="B1139" i="2"/>
  <c r="A1139" i="2"/>
  <c r="N1138" i="2"/>
  <c r="M1138" i="2"/>
  <c r="L1138" i="2"/>
  <c r="J1138" i="2"/>
  <c r="H1138" i="2"/>
  <c r="E1138" i="2"/>
  <c r="C1138" i="2"/>
  <c r="B1138" i="2"/>
  <c r="A1138" i="2"/>
  <c r="N1137" i="2"/>
  <c r="M1137" i="2"/>
  <c r="L1137" i="2"/>
  <c r="K1137" i="2"/>
  <c r="J1137" i="2"/>
  <c r="H1137" i="2"/>
  <c r="G1137" i="2"/>
  <c r="F1137" i="2"/>
  <c r="E1137" i="2"/>
  <c r="C1137" i="2"/>
  <c r="B1137" i="2"/>
  <c r="A1137" i="2"/>
  <c r="N1136" i="2"/>
  <c r="M1136" i="2"/>
  <c r="L1136" i="2"/>
  <c r="K1136" i="2"/>
  <c r="J1136" i="2"/>
  <c r="H1136" i="2"/>
  <c r="F1136" i="2"/>
  <c r="E1136" i="2"/>
  <c r="C1136" i="2"/>
  <c r="B1136" i="2"/>
  <c r="A1136" i="2"/>
  <c r="N1135" i="2"/>
  <c r="M1135" i="2"/>
  <c r="L1135" i="2"/>
  <c r="J1135" i="2"/>
  <c r="H1135" i="2"/>
  <c r="E1135" i="2"/>
  <c r="C1135" i="2"/>
  <c r="B1135" i="2"/>
  <c r="A1135" i="2"/>
  <c r="N1134" i="2"/>
  <c r="M1134" i="2"/>
  <c r="L1134" i="2"/>
  <c r="K1134" i="2"/>
  <c r="J1134" i="2"/>
  <c r="H1134" i="2"/>
  <c r="G1134" i="2"/>
  <c r="F1134" i="2"/>
  <c r="E1134" i="2"/>
  <c r="C1134" i="2"/>
  <c r="B1134" i="2"/>
  <c r="A1134" i="2"/>
  <c r="N1133" i="2"/>
  <c r="M1133" i="2"/>
  <c r="L1133" i="2"/>
  <c r="K1133" i="2"/>
  <c r="J1133" i="2"/>
  <c r="H1133" i="2"/>
  <c r="F1133" i="2"/>
  <c r="E1133" i="2"/>
  <c r="C1133" i="2"/>
  <c r="B1133" i="2"/>
  <c r="A1133" i="2"/>
  <c r="N1132" i="2"/>
  <c r="M1132" i="2"/>
  <c r="L1132" i="2"/>
  <c r="J1132" i="2"/>
  <c r="H1132" i="2"/>
  <c r="E1132" i="2"/>
  <c r="C1132" i="2"/>
  <c r="B1132" i="2"/>
  <c r="A1132" i="2"/>
  <c r="N1131" i="2"/>
  <c r="M1131" i="2"/>
  <c r="L1131" i="2"/>
  <c r="K1131" i="2"/>
  <c r="J1131" i="2"/>
  <c r="H1131" i="2"/>
  <c r="G1131" i="2"/>
  <c r="F1131" i="2"/>
  <c r="E1131" i="2"/>
  <c r="C1131" i="2"/>
  <c r="B1131" i="2"/>
  <c r="A1131" i="2"/>
  <c r="N1130" i="2"/>
  <c r="M1130" i="2"/>
  <c r="L1130" i="2"/>
  <c r="K1130" i="2"/>
  <c r="J1130" i="2"/>
  <c r="H1130" i="2"/>
  <c r="G1130" i="2"/>
  <c r="F1130" i="2"/>
  <c r="E1130" i="2"/>
  <c r="C1130" i="2"/>
  <c r="B1130" i="2"/>
  <c r="A1130" i="2"/>
  <c r="N1129" i="2"/>
  <c r="M1129" i="2"/>
  <c r="L1129" i="2"/>
  <c r="K1129" i="2"/>
  <c r="J1129" i="2"/>
  <c r="H1129" i="2"/>
  <c r="F1129" i="2"/>
  <c r="E1129" i="2"/>
  <c r="C1129" i="2"/>
  <c r="B1129" i="2"/>
  <c r="A1129" i="2"/>
  <c r="N1128" i="2"/>
  <c r="M1128" i="2"/>
  <c r="L1128" i="2"/>
  <c r="J1128" i="2"/>
  <c r="H1128" i="2"/>
  <c r="G1128" i="2"/>
  <c r="F1128" i="2"/>
  <c r="E1128" i="2"/>
  <c r="C1128" i="2"/>
  <c r="B1128" i="2"/>
  <c r="A1128" i="2"/>
  <c r="N1127" i="2"/>
  <c r="M1127" i="2"/>
  <c r="L1127" i="2"/>
  <c r="K1127" i="2"/>
  <c r="J1127" i="2"/>
  <c r="H1127" i="2"/>
  <c r="G1127" i="2"/>
  <c r="F1127" i="2"/>
  <c r="E1127" i="2"/>
  <c r="C1127" i="2"/>
  <c r="B1127" i="2"/>
  <c r="A1127" i="2"/>
  <c r="N1126" i="2"/>
  <c r="M1126" i="2"/>
  <c r="L1126" i="2"/>
  <c r="K1126" i="2"/>
  <c r="J1126" i="2"/>
  <c r="H1126" i="2"/>
  <c r="G1126" i="2"/>
  <c r="F1126" i="2"/>
  <c r="E1126" i="2"/>
  <c r="C1126" i="2"/>
  <c r="B1126" i="2"/>
  <c r="A1126" i="2"/>
  <c r="N1125" i="2"/>
  <c r="M1125" i="2"/>
  <c r="L1125" i="2"/>
  <c r="K1125" i="2"/>
  <c r="J1125" i="2"/>
  <c r="H1125" i="2"/>
  <c r="G1125" i="2"/>
  <c r="F1125" i="2"/>
  <c r="E1125" i="2"/>
  <c r="C1125" i="2"/>
  <c r="B1125" i="2"/>
  <c r="A1125" i="2"/>
  <c r="N1124" i="2"/>
  <c r="M1124" i="2"/>
  <c r="L1124" i="2"/>
  <c r="K1124" i="2"/>
  <c r="J1124" i="2"/>
  <c r="H1124" i="2"/>
  <c r="G1124" i="2"/>
  <c r="F1124" i="2"/>
  <c r="E1124" i="2"/>
  <c r="C1124" i="2"/>
  <c r="B1124" i="2"/>
  <c r="A1124" i="2"/>
  <c r="N1123" i="2"/>
  <c r="M1123" i="2"/>
  <c r="L1123" i="2"/>
  <c r="K1123" i="2"/>
  <c r="J1123" i="2"/>
  <c r="H1123" i="2"/>
  <c r="G1123" i="2"/>
  <c r="F1123" i="2"/>
  <c r="E1123" i="2"/>
  <c r="C1123" i="2"/>
  <c r="B1123" i="2"/>
  <c r="A1123" i="2"/>
  <c r="N1122" i="2"/>
  <c r="M1122" i="2"/>
  <c r="L1122" i="2"/>
  <c r="J1122" i="2"/>
  <c r="H1122" i="2"/>
  <c r="G1122" i="2"/>
  <c r="F1122" i="2"/>
  <c r="E1122" i="2"/>
  <c r="C1122" i="2"/>
  <c r="B1122" i="2"/>
  <c r="A1122" i="2"/>
  <c r="N1121" i="2"/>
  <c r="M1121" i="2"/>
  <c r="L1121" i="2"/>
  <c r="J1121" i="2"/>
  <c r="H1121" i="2"/>
  <c r="G1121" i="2"/>
  <c r="F1121" i="2"/>
  <c r="E1121" i="2"/>
  <c r="C1121" i="2"/>
  <c r="B1121" i="2"/>
  <c r="A1121" i="2"/>
  <c r="N1120" i="2"/>
  <c r="M1120" i="2"/>
  <c r="L1120" i="2"/>
  <c r="K1120" i="2"/>
  <c r="J1120" i="2"/>
  <c r="H1120" i="2"/>
  <c r="G1120" i="2"/>
  <c r="F1120" i="2"/>
  <c r="E1120" i="2"/>
  <c r="C1120" i="2"/>
  <c r="B1120" i="2"/>
  <c r="A1120" i="2"/>
  <c r="N1119" i="2"/>
  <c r="M1119" i="2"/>
  <c r="L1119" i="2"/>
  <c r="K1119" i="2"/>
  <c r="J1119" i="2"/>
  <c r="H1119" i="2"/>
  <c r="G1119" i="2"/>
  <c r="F1119" i="2"/>
  <c r="E1119" i="2"/>
  <c r="C1119" i="2"/>
  <c r="B1119" i="2"/>
  <c r="A1119" i="2"/>
  <c r="N1118" i="2"/>
  <c r="M1118" i="2"/>
  <c r="L1118" i="2"/>
  <c r="K1118" i="2"/>
  <c r="J1118" i="2"/>
  <c r="H1118" i="2"/>
  <c r="G1118" i="2"/>
  <c r="F1118" i="2"/>
  <c r="E1118" i="2"/>
  <c r="C1118" i="2"/>
  <c r="B1118" i="2"/>
  <c r="A1118" i="2"/>
  <c r="N1117" i="2"/>
  <c r="M1117" i="2"/>
  <c r="L1117" i="2"/>
  <c r="J1117" i="2"/>
  <c r="H1117" i="2"/>
  <c r="G1117" i="2"/>
  <c r="F1117" i="2"/>
  <c r="E1117" i="2"/>
  <c r="C1117" i="2"/>
  <c r="B1117" i="2"/>
  <c r="A1117" i="2"/>
  <c r="N1116" i="2"/>
  <c r="M1116" i="2"/>
  <c r="L1116" i="2"/>
  <c r="K1116" i="2"/>
  <c r="J1116" i="2"/>
  <c r="H1116" i="2"/>
  <c r="G1116" i="2"/>
  <c r="F1116" i="2"/>
  <c r="E1116" i="2"/>
  <c r="C1116" i="2"/>
  <c r="B1116" i="2"/>
  <c r="A1116" i="2"/>
  <c r="N1115" i="2"/>
  <c r="M1115" i="2"/>
  <c r="L1115" i="2"/>
  <c r="K1115" i="2"/>
  <c r="J1115" i="2"/>
  <c r="H1115" i="2"/>
  <c r="G1115" i="2"/>
  <c r="F1115" i="2"/>
  <c r="E1115" i="2"/>
  <c r="C1115" i="2"/>
  <c r="B1115" i="2"/>
  <c r="A1115" i="2"/>
  <c r="N1114" i="2"/>
  <c r="M1114" i="2"/>
  <c r="L1114" i="2"/>
  <c r="K1114" i="2"/>
  <c r="J1114" i="2"/>
  <c r="H1114" i="2"/>
  <c r="G1114" i="2"/>
  <c r="F1114" i="2"/>
  <c r="E1114" i="2"/>
  <c r="C1114" i="2"/>
  <c r="B1114" i="2"/>
  <c r="A1114" i="2"/>
  <c r="N1113" i="2"/>
  <c r="M1113" i="2"/>
  <c r="L1113" i="2"/>
  <c r="K1113" i="2"/>
  <c r="J1113" i="2"/>
  <c r="H1113" i="2"/>
  <c r="G1113" i="2"/>
  <c r="F1113" i="2"/>
  <c r="E1113" i="2"/>
  <c r="C1113" i="2"/>
  <c r="B1113" i="2"/>
  <c r="A1113" i="2"/>
  <c r="N1112" i="2"/>
  <c r="M1112" i="2"/>
  <c r="L1112" i="2"/>
  <c r="J1112" i="2"/>
  <c r="H1112" i="2"/>
  <c r="G1112" i="2"/>
  <c r="F1112" i="2"/>
  <c r="E1112" i="2"/>
  <c r="C1112" i="2"/>
  <c r="B1112" i="2"/>
  <c r="A1112" i="2"/>
  <c r="N1111" i="2"/>
  <c r="M1111" i="2"/>
  <c r="L1111" i="2"/>
  <c r="K1111" i="2"/>
  <c r="J1111" i="2"/>
  <c r="H1111" i="2"/>
  <c r="G1111" i="2"/>
  <c r="F1111" i="2"/>
  <c r="E1111" i="2"/>
  <c r="C1111" i="2"/>
  <c r="B1111" i="2"/>
  <c r="A1111" i="2"/>
  <c r="N1110" i="2"/>
  <c r="M1110" i="2"/>
  <c r="L1110" i="2"/>
  <c r="K1110" i="2"/>
  <c r="J1110" i="2"/>
  <c r="H1110" i="2"/>
  <c r="G1110" i="2"/>
  <c r="F1110" i="2"/>
  <c r="E1110" i="2"/>
  <c r="C1110" i="2"/>
  <c r="B1110" i="2"/>
  <c r="A1110" i="2"/>
  <c r="N1109" i="2"/>
  <c r="M1109" i="2"/>
  <c r="L1109" i="2"/>
  <c r="K1109" i="2"/>
  <c r="J1109" i="2"/>
  <c r="H1109" i="2"/>
  <c r="G1109" i="2"/>
  <c r="F1109" i="2"/>
  <c r="E1109" i="2"/>
  <c r="C1109" i="2"/>
  <c r="B1109" i="2"/>
  <c r="A1109" i="2"/>
  <c r="N1108" i="2"/>
  <c r="M1108" i="2"/>
  <c r="L1108" i="2"/>
  <c r="J1108" i="2"/>
  <c r="H1108" i="2"/>
  <c r="G1108" i="2"/>
  <c r="F1108" i="2"/>
  <c r="E1108" i="2"/>
  <c r="C1108" i="2"/>
  <c r="B1108" i="2"/>
  <c r="A1108" i="2"/>
  <c r="N1107" i="2"/>
  <c r="M1107" i="2"/>
  <c r="L1107" i="2"/>
  <c r="K1107" i="2"/>
  <c r="J1107" i="2"/>
  <c r="H1107" i="2"/>
  <c r="G1107" i="2"/>
  <c r="F1107" i="2"/>
  <c r="E1107" i="2"/>
  <c r="C1107" i="2"/>
  <c r="B1107" i="2"/>
  <c r="A1107" i="2"/>
  <c r="N1106" i="2"/>
  <c r="M1106" i="2"/>
  <c r="L1106" i="2"/>
  <c r="K1106" i="2"/>
  <c r="J1106" i="2"/>
  <c r="H1106" i="2"/>
  <c r="G1106" i="2"/>
  <c r="F1106" i="2"/>
  <c r="E1106" i="2"/>
  <c r="C1106" i="2"/>
  <c r="B1106" i="2"/>
  <c r="A1106" i="2"/>
  <c r="N1105" i="2"/>
  <c r="M1105" i="2"/>
  <c r="L1105" i="2"/>
  <c r="K1105" i="2"/>
  <c r="J1105" i="2"/>
  <c r="H1105" i="2"/>
  <c r="G1105" i="2"/>
  <c r="F1105" i="2"/>
  <c r="E1105" i="2"/>
  <c r="C1105" i="2"/>
  <c r="B1105" i="2"/>
  <c r="A1105" i="2"/>
  <c r="N1104" i="2"/>
  <c r="M1104" i="2"/>
  <c r="L1104" i="2"/>
  <c r="K1104" i="2"/>
  <c r="J1104" i="2"/>
  <c r="H1104" i="2"/>
  <c r="G1104" i="2"/>
  <c r="F1104" i="2"/>
  <c r="E1104" i="2"/>
  <c r="C1104" i="2"/>
  <c r="B1104" i="2"/>
  <c r="A1104" i="2"/>
  <c r="N1103" i="2"/>
  <c r="M1103" i="2"/>
  <c r="L1103" i="2"/>
  <c r="J1103" i="2"/>
  <c r="H1103" i="2"/>
  <c r="G1103" i="2"/>
  <c r="F1103" i="2"/>
  <c r="E1103" i="2"/>
  <c r="C1103" i="2"/>
  <c r="B1103" i="2"/>
  <c r="A1103" i="2"/>
  <c r="N1102" i="2"/>
  <c r="M1102" i="2"/>
  <c r="L1102" i="2"/>
  <c r="K1102" i="2"/>
  <c r="J1102" i="2"/>
  <c r="H1102" i="2"/>
  <c r="G1102" i="2"/>
  <c r="F1102" i="2"/>
  <c r="E1102" i="2"/>
  <c r="C1102" i="2"/>
  <c r="B1102" i="2"/>
  <c r="A1102" i="2"/>
  <c r="N1101" i="2"/>
  <c r="M1101" i="2"/>
  <c r="L1101" i="2"/>
  <c r="J1101" i="2"/>
  <c r="H1101" i="2"/>
  <c r="E1101" i="2"/>
  <c r="C1101" i="2"/>
  <c r="B1101" i="2"/>
  <c r="A1101" i="2"/>
  <c r="N1100" i="2"/>
  <c r="M1100" i="2"/>
  <c r="L1100" i="2"/>
  <c r="K1100" i="2"/>
  <c r="J1100" i="2"/>
  <c r="H1100" i="2"/>
  <c r="G1100" i="2"/>
  <c r="F1100" i="2"/>
  <c r="E1100" i="2"/>
  <c r="C1100" i="2"/>
  <c r="B1100" i="2"/>
  <c r="A1100" i="2"/>
  <c r="N1099" i="2"/>
  <c r="M1099" i="2"/>
  <c r="L1099" i="2"/>
  <c r="K1099" i="2"/>
  <c r="J1099" i="2"/>
  <c r="H1099" i="2"/>
  <c r="G1099" i="2"/>
  <c r="F1099" i="2"/>
  <c r="E1099" i="2"/>
  <c r="C1099" i="2"/>
  <c r="B1099" i="2"/>
  <c r="A1099" i="2"/>
  <c r="N1098" i="2"/>
  <c r="M1098" i="2"/>
  <c r="L1098" i="2"/>
  <c r="K1098" i="2"/>
  <c r="J1098" i="2"/>
  <c r="H1098" i="2"/>
  <c r="G1098" i="2"/>
  <c r="F1098" i="2"/>
  <c r="E1098" i="2"/>
  <c r="C1098" i="2"/>
  <c r="B1098" i="2"/>
  <c r="A1098" i="2"/>
  <c r="N1097" i="2"/>
  <c r="M1097" i="2"/>
  <c r="L1097" i="2"/>
  <c r="K1097" i="2"/>
  <c r="J1097" i="2"/>
  <c r="H1097" i="2"/>
  <c r="G1097" i="2"/>
  <c r="F1097" i="2"/>
  <c r="E1097" i="2"/>
  <c r="C1097" i="2"/>
  <c r="B1097" i="2"/>
  <c r="A1097" i="2"/>
  <c r="N1096" i="2"/>
  <c r="M1096" i="2"/>
  <c r="L1096" i="2"/>
  <c r="K1096" i="2"/>
  <c r="J1096" i="2"/>
  <c r="H1096" i="2"/>
  <c r="G1096" i="2"/>
  <c r="F1096" i="2"/>
  <c r="E1096" i="2"/>
  <c r="C1096" i="2"/>
  <c r="B1096" i="2"/>
  <c r="A1096" i="2"/>
  <c r="N1095" i="2"/>
  <c r="M1095" i="2"/>
  <c r="L1095" i="2"/>
  <c r="K1095" i="2"/>
  <c r="J1095" i="2"/>
  <c r="H1095" i="2"/>
  <c r="G1095" i="2"/>
  <c r="F1095" i="2"/>
  <c r="E1095" i="2"/>
  <c r="C1095" i="2"/>
  <c r="B1095" i="2"/>
  <c r="A1095" i="2"/>
  <c r="N1094" i="2"/>
  <c r="M1094" i="2"/>
  <c r="L1094" i="2"/>
  <c r="K1094" i="2"/>
  <c r="J1094" i="2"/>
  <c r="H1094" i="2"/>
  <c r="G1094" i="2"/>
  <c r="F1094" i="2"/>
  <c r="E1094" i="2"/>
  <c r="C1094" i="2"/>
  <c r="B1094" i="2"/>
  <c r="A1094" i="2"/>
  <c r="N1093" i="2"/>
  <c r="M1093" i="2"/>
  <c r="L1093" i="2"/>
  <c r="K1093" i="2"/>
  <c r="J1093" i="2"/>
  <c r="H1093" i="2"/>
  <c r="G1093" i="2"/>
  <c r="F1093" i="2"/>
  <c r="E1093" i="2"/>
  <c r="C1093" i="2"/>
  <c r="B1093" i="2"/>
  <c r="A1093" i="2"/>
  <c r="N1092" i="2"/>
  <c r="M1092" i="2"/>
  <c r="L1092" i="2"/>
  <c r="K1092" i="2"/>
  <c r="J1092" i="2"/>
  <c r="H1092" i="2"/>
  <c r="G1092" i="2"/>
  <c r="F1092" i="2"/>
  <c r="E1092" i="2"/>
  <c r="C1092" i="2"/>
  <c r="B1092" i="2"/>
  <c r="A1092" i="2"/>
  <c r="N1091" i="2"/>
  <c r="M1091" i="2"/>
  <c r="L1091" i="2"/>
  <c r="K1091" i="2"/>
  <c r="J1091" i="2"/>
  <c r="H1091" i="2"/>
  <c r="G1091" i="2"/>
  <c r="F1091" i="2"/>
  <c r="E1091" i="2"/>
  <c r="C1091" i="2"/>
  <c r="B1091" i="2"/>
  <c r="A1091" i="2"/>
  <c r="N1090" i="2"/>
  <c r="M1090" i="2"/>
  <c r="L1090" i="2"/>
  <c r="K1090" i="2"/>
  <c r="J1090" i="2"/>
  <c r="H1090" i="2"/>
  <c r="G1090" i="2"/>
  <c r="F1090" i="2"/>
  <c r="E1090" i="2"/>
  <c r="C1090" i="2"/>
  <c r="B1090" i="2"/>
  <c r="A1090" i="2"/>
  <c r="N1089" i="2"/>
  <c r="M1089" i="2"/>
  <c r="L1089" i="2"/>
  <c r="K1089" i="2"/>
  <c r="J1089" i="2"/>
  <c r="H1089" i="2"/>
  <c r="G1089" i="2"/>
  <c r="F1089" i="2"/>
  <c r="E1089" i="2"/>
  <c r="C1089" i="2"/>
  <c r="B1089" i="2"/>
  <c r="A1089" i="2"/>
  <c r="N1088" i="2"/>
  <c r="M1088" i="2"/>
  <c r="L1088" i="2"/>
  <c r="K1088" i="2"/>
  <c r="J1088" i="2"/>
  <c r="H1088" i="2"/>
  <c r="G1088" i="2"/>
  <c r="F1088" i="2"/>
  <c r="E1088" i="2"/>
  <c r="C1088" i="2"/>
  <c r="B1088" i="2"/>
  <c r="A1088" i="2"/>
  <c r="N1087" i="2"/>
  <c r="M1087" i="2"/>
  <c r="L1087" i="2"/>
  <c r="K1087" i="2"/>
  <c r="J1087" i="2"/>
  <c r="H1087" i="2"/>
  <c r="G1087" i="2"/>
  <c r="F1087" i="2"/>
  <c r="E1087" i="2"/>
  <c r="C1087" i="2"/>
  <c r="B1087" i="2"/>
  <c r="A1087" i="2"/>
  <c r="N1086" i="2"/>
  <c r="M1086" i="2"/>
  <c r="L1086" i="2"/>
  <c r="K1086" i="2"/>
  <c r="J1086" i="2"/>
  <c r="H1086" i="2"/>
  <c r="G1086" i="2"/>
  <c r="F1086" i="2"/>
  <c r="E1086" i="2"/>
  <c r="C1086" i="2"/>
  <c r="B1086" i="2"/>
  <c r="A1086" i="2"/>
  <c r="N1085" i="2"/>
  <c r="M1085" i="2"/>
  <c r="L1085" i="2"/>
  <c r="K1085" i="2"/>
  <c r="J1085" i="2"/>
  <c r="H1085" i="2"/>
  <c r="G1085" i="2"/>
  <c r="F1085" i="2"/>
  <c r="E1085" i="2"/>
  <c r="C1085" i="2"/>
  <c r="B1085" i="2"/>
  <c r="A1085" i="2"/>
  <c r="N1084" i="2"/>
  <c r="M1084" i="2"/>
  <c r="L1084" i="2"/>
  <c r="K1084" i="2"/>
  <c r="J1084" i="2"/>
  <c r="H1084" i="2"/>
  <c r="G1084" i="2"/>
  <c r="F1084" i="2"/>
  <c r="E1084" i="2"/>
  <c r="C1084" i="2"/>
  <c r="B1084" i="2"/>
  <c r="A1084" i="2"/>
  <c r="N1083" i="2"/>
  <c r="M1083" i="2"/>
  <c r="L1083" i="2"/>
  <c r="K1083" i="2"/>
  <c r="J1083" i="2"/>
  <c r="H1083" i="2"/>
  <c r="G1083" i="2"/>
  <c r="F1083" i="2"/>
  <c r="E1083" i="2"/>
  <c r="C1083" i="2"/>
  <c r="B1083" i="2"/>
  <c r="A1083" i="2"/>
  <c r="N1082" i="2"/>
  <c r="M1082" i="2"/>
  <c r="L1082" i="2"/>
  <c r="K1082" i="2"/>
  <c r="J1082" i="2"/>
  <c r="H1082" i="2"/>
  <c r="G1082" i="2"/>
  <c r="F1082" i="2"/>
  <c r="E1082" i="2"/>
  <c r="C1082" i="2"/>
  <c r="B1082" i="2"/>
  <c r="A1082" i="2"/>
  <c r="N1081" i="2"/>
  <c r="M1081" i="2"/>
  <c r="L1081" i="2"/>
  <c r="K1081" i="2"/>
  <c r="J1081" i="2"/>
  <c r="H1081" i="2"/>
  <c r="G1081" i="2"/>
  <c r="F1081" i="2"/>
  <c r="E1081" i="2"/>
  <c r="C1081" i="2"/>
  <c r="B1081" i="2"/>
  <c r="A1081" i="2"/>
  <c r="N1080" i="2"/>
  <c r="M1080" i="2"/>
  <c r="L1080" i="2"/>
  <c r="K1080" i="2"/>
  <c r="J1080" i="2"/>
  <c r="H1080" i="2"/>
  <c r="G1080" i="2"/>
  <c r="F1080" i="2"/>
  <c r="E1080" i="2"/>
  <c r="C1080" i="2"/>
  <c r="B1080" i="2"/>
  <c r="A1080" i="2"/>
  <c r="N1079" i="2"/>
  <c r="M1079" i="2"/>
  <c r="L1079" i="2"/>
  <c r="K1079" i="2"/>
  <c r="J1079" i="2"/>
  <c r="H1079" i="2"/>
  <c r="G1079" i="2"/>
  <c r="F1079" i="2"/>
  <c r="E1079" i="2"/>
  <c r="C1079" i="2"/>
  <c r="B1079" i="2"/>
  <c r="A1079" i="2"/>
  <c r="N1078" i="2"/>
  <c r="M1078" i="2"/>
  <c r="L1078" i="2"/>
  <c r="K1078" i="2"/>
  <c r="J1078" i="2"/>
  <c r="H1078" i="2"/>
  <c r="G1078" i="2"/>
  <c r="F1078" i="2"/>
  <c r="E1078" i="2"/>
  <c r="C1078" i="2"/>
  <c r="B1078" i="2"/>
  <c r="A1078" i="2"/>
  <c r="N1077" i="2"/>
  <c r="M1077" i="2"/>
  <c r="L1077" i="2"/>
  <c r="K1077" i="2"/>
  <c r="J1077" i="2"/>
  <c r="H1077" i="2"/>
  <c r="G1077" i="2"/>
  <c r="F1077" i="2"/>
  <c r="E1077" i="2"/>
  <c r="C1077" i="2"/>
  <c r="B1077" i="2"/>
  <c r="A1077" i="2"/>
  <c r="N1076" i="2"/>
  <c r="M1076" i="2"/>
  <c r="L1076" i="2"/>
  <c r="K1076" i="2"/>
  <c r="J1076" i="2"/>
  <c r="H1076" i="2"/>
  <c r="G1076" i="2"/>
  <c r="F1076" i="2"/>
  <c r="E1076" i="2"/>
  <c r="C1076" i="2"/>
  <c r="B1076" i="2"/>
  <c r="A1076" i="2"/>
  <c r="N1075" i="2"/>
  <c r="M1075" i="2"/>
  <c r="L1075" i="2"/>
  <c r="K1075" i="2"/>
  <c r="J1075" i="2"/>
  <c r="H1075" i="2"/>
  <c r="G1075" i="2"/>
  <c r="F1075" i="2"/>
  <c r="E1075" i="2"/>
  <c r="C1075" i="2"/>
  <c r="B1075" i="2"/>
  <c r="A1075" i="2"/>
  <c r="N1074" i="2"/>
  <c r="M1074" i="2"/>
  <c r="L1074" i="2"/>
  <c r="K1074" i="2"/>
  <c r="J1074" i="2"/>
  <c r="H1074" i="2"/>
  <c r="G1074" i="2"/>
  <c r="F1074" i="2"/>
  <c r="E1074" i="2"/>
  <c r="C1074" i="2"/>
  <c r="B1074" i="2"/>
  <c r="A1074" i="2"/>
  <c r="N1073" i="2"/>
  <c r="M1073" i="2"/>
  <c r="L1073" i="2"/>
  <c r="K1073" i="2"/>
  <c r="J1073" i="2"/>
  <c r="H1073" i="2"/>
  <c r="G1073" i="2"/>
  <c r="F1073" i="2"/>
  <c r="E1073" i="2"/>
  <c r="C1073" i="2"/>
  <c r="B1073" i="2"/>
  <c r="A1073" i="2"/>
  <c r="N1072" i="2"/>
  <c r="M1072" i="2"/>
  <c r="L1072" i="2"/>
  <c r="K1072" i="2"/>
  <c r="J1072" i="2"/>
  <c r="H1072" i="2"/>
  <c r="G1072" i="2"/>
  <c r="F1072" i="2"/>
  <c r="E1072" i="2"/>
  <c r="C1072" i="2"/>
  <c r="B1072" i="2"/>
  <c r="A1072" i="2"/>
  <c r="N1071" i="2"/>
  <c r="M1071" i="2"/>
  <c r="L1071" i="2"/>
  <c r="K1071" i="2"/>
  <c r="J1071" i="2"/>
  <c r="H1071" i="2"/>
  <c r="G1071" i="2"/>
  <c r="F1071" i="2"/>
  <c r="E1071" i="2"/>
  <c r="C1071" i="2"/>
  <c r="B1071" i="2"/>
  <c r="A1071" i="2"/>
  <c r="N1070" i="2"/>
  <c r="M1070" i="2"/>
  <c r="L1070" i="2"/>
  <c r="K1070" i="2"/>
  <c r="J1070" i="2"/>
  <c r="H1070" i="2"/>
  <c r="G1070" i="2"/>
  <c r="F1070" i="2"/>
  <c r="E1070" i="2"/>
  <c r="C1070" i="2"/>
  <c r="B1070" i="2"/>
  <c r="A1070" i="2"/>
  <c r="N1069" i="2"/>
  <c r="M1069" i="2"/>
  <c r="L1069" i="2"/>
  <c r="K1069" i="2"/>
  <c r="J1069" i="2"/>
  <c r="H1069" i="2"/>
  <c r="G1069" i="2"/>
  <c r="F1069" i="2"/>
  <c r="E1069" i="2"/>
  <c r="C1069" i="2"/>
  <c r="B1069" i="2"/>
  <c r="A1069" i="2"/>
  <c r="N1068" i="2"/>
  <c r="M1068" i="2"/>
  <c r="L1068" i="2"/>
  <c r="K1068" i="2"/>
  <c r="J1068" i="2"/>
  <c r="H1068" i="2"/>
  <c r="G1068" i="2"/>
  <c r="F1068" i="2"/>
  <c r="E1068" i="2"/>
  <c r="C1068" i="2"/>
  <c r="B1068" i="2"/>
  <c r="A1068" i="2"/>
  <c r="N1067" i="2"/>
  <c r="M1067" i="2"/>
  <c r="L1067" i="2"/>
  <c r="K1067" i="2"/>
  <c r="J1067" i="2"/>
  <c r="H1067" i="2"/>
  <c r="G1067" i="2"/>
  <c r="F1067" i="2"/>
  <c r="E1067" i="2"/>
  <c r="C1067" i="2"/>
  <c r="B1067" i="2"/>
  <c r="A1067" i="2"/>
  <c r="N1066" i="2"/>
  <c r="M1066" i="2"/>
  <c r="L1066" i="2"/>
  <c r="K1066" i="2"/>
  <c r="J1066" i="2"/>
  <c r="H1066" i="2"/>
  <c r="G1066" i="2"/>
  <c r="F1066" i="2"/>
  <c r="E1066" i="2"/>
  <c r="C1066" i="2"/>
  <c r="B1066" i="2"/>
  <c r="A1066" i="2"/>
  <c r="N1065" i="2"/>
  <c r="M1065" i="2"/>
  <c r="L1065" i="2"/>
  <c r="K1065" i="2"/>
  <c r="J1065" i="2"/>
  <c r="H1065" i="2"/>
  <c r="G1065" i="2"/>
  <c r="F1065" i="2"/>
  <c r="E1065" i="2"/>
  <c r="C1065" i="2"/>
  <c r="B1065" i="2"/>
  <c r="A1065" i="2"/>
  <c r="N1064" i="2"/>
  <c r="M1064" i="2"/>
  <c r="L1064" i="2"/>
  <c r="K1064" i="2"/>
  <c r="J1064" i="2"/>
  <c r="H1064" i="2"/>
  <c r="G1064" i="2"/>
  <c r="F1064" i="2"/>
  <c r="E1064" i="2"/>
  <c r="C1064" i="2"/>
  <c r="B1064" i="2"/>
  <c r="A1064" i="2"/>
  <c r="N1063" i="2"/>
  <c r="M1063" i="2"/>
  <c r="L1063" i="2"/>
  <c r="K1063" i="2"/>
  <c r="J1063" i="2"/>
  <c r="H1063" i="2"/>
  <c r="G1063" i="2"/>
  <c r="F1063" i="2"/>
  <c r="E1063" i="2"/>
  <c r="C1063" i="2"/>
  <c r="B1063" i="2"/>
  <c r="A1063" i="2"/>
  <c r="N1062" i="2"/>
  <c r="M1062" i="2"/>
  <c r="L1062" i="2"/>
  <c r="K1062" i="2"/>
  <c r="J1062" i="2"/>
  <c r="H1062" i="2"/>
  <c r="G1062" i="2"/>
  <c r="F1062" i="2"/>
  <c r="E1062" i="2"/>
  <c r="C1062" i="2"/>
  <c r="B1062" i="2"/>
  <c r="A1062" i="2"/>
  <c r="N1061" i="2"/>
  <c r="M1061" i="2"/>
  <c r="L1061" i="2"/>
  <c r="K1061" i="2"/>
  <c r="J1061" i="2"/>
  <c r="H1061" i="2"/>
  <c r="G1061" i="2"/>
  <c r="F1061" i="2"/>
  <c r="E1061" i="2"/>
  <c r="C1061" i="2"/>
  <c r="B1061" i="2"/>
  <c r="A1061" i="2"/>
  <c r="N1060" i="2"/>
  <c r="M1060" i="2"/>
  <c r="L1060" i="2"/>
  <c r="K1060" i="2"/>
  <c r="J1060" i="2"/>
  <c r="H1060" i="2"/>
  <c r="G1060" i="2"/>
  <c r="F1060" i="2"/>
  <c r="E1060" i="2"/>
  <c r="C1060" i="2"/>
  <c r="B1060" i="2"/>
  <c r="A1060" i="2"/>
  <c r="N1059" i="2"/>
  <c r="M1059" i="2"/>
  <c r="L1059" i="2"/>
  <c r="K1059" i="2"/>
  <c r="J1059" i="2"/>
  <c r="H1059" i="2"/>
  <c r="G1059" i="2"/>
  <c r="F1059" i="2"/>
  <c r="E1059" i="2"/>
  <c r="C1059" i="2"/>
  <c r="B1059" i="2"/>
  <c r="A1059" i="2"/>
  <c r="N1058" i="2"/>
  <c r="M1058" i="2"/>
  <c r="L1058" i="2"/>
  <c r="K1058" i="2"/>
  <c r="J1058" i="2"/>
  <c r="H1058" i="2"/>
  <c r="G1058" i="2"/>
  <c r="F1058" i="2"/>
  <c r="E1058" i="2"/>
  <c r="C1058" i="2"/>
  <c r="B1058" i="2"/>
  <c r="A1058" i="2"/>
  <c r="N1057" i="2"/>
  <c r="M1057" i="2"/>
  <c r="L1057" i="2"/>
  <c r="K1057" i="2"/>
  <c r="J1057" i="2"/>
  <c r="H1057" i="2"/>
  <c r="G1057" i="2"/>
  <c r="F1057" i="2"/>
  <c r="E1057" i="2"/>
  <c r="C1057" i="2"/>
  <c r="B1057" i="2"/>
  <c r="A1057" i="2"/>
  <c r="N1056" i="2"/>
  <c r="M1056" i="2"/>
  <c r="L1056" i="2"/>
  <c r="K1056" i="2"/>
  <c r="J1056" i="2"/>
  <c r="H1056" i="2"/>
  <c r="F1056" i="2"/>
  <c r="E1056" i="2"/>
  <c r="C1056" i="2"/>
  <c r="B1056" i="2"/>
  <c r="A1056" i="2"/>
  <c r="N1055" i="2"/>
  <c r="M1055" i="2"/>
  <c r="L1055" i="2"/>
  <c r="J1055" i="2"/>
  <c r="H1055" i="2"/>
  <c r="G1055" i="2"/>
  <c r="F1055" i="2"/>
  <c r="E1055" i="2"/>
  <c r="C1055" i="2"/>
  <c r="B1055" i="2"/>
  <c r="A1055" i="2"/>
  <c r="N1054" i="2"/>
  <c r="M1054" i="2"/>
  <c r="L1054" i="2"/>
  <c r="J1054" i="2"/>
  <c r="H1054" i="2"/>
  <c r="E1054" i="2"/>
  <c r="C1054" i="2"/>
  <c r="B1054" i="2"/>
  <c r="A1054" i="2"/>
  <c r="N1053" i="2"/>
  <c r="M1053" i="2"/>
  <c r="L1053" i="2"/>
  <c r="K1053" i="2"/>
  <c r="J1053" i="2"/>
  <c r="H1053" i="2"/>
  <c r="G1053" i="2"/>
  <c r="F1053" i="2"/>
  <c r="E1053" i="2"/>
  <c r="C1053" i="2"/>
  <c r="B1053" i="2"/>
  <c r="A1053" i="2"/>
  <c r="N1052" i="2"/>
  <c r="M1052" i="2"/>
  <c r="L1052" i="2"/>
  <c r="K1052" i="2"/>
  <c r="J1052" i="2"/>
  <c r="H1052" i="2"/>
  <c r="F1052" i="2"/>
  <c r="E1052" i="2"/>
  <c r="C1052" i="2"/>
  <c r="B1052" i="2"/>
  <c r="A1052" i="2"/>
  <c r="N1051" i="2"/>
  <c r="M1051" i="2"/>
  <c r="L1051" i="2"/>
  <c r="J1051" i="2"/>
  <c r="H1051" i="2"/>
  <c r="E1051" i="2"/>
  <c r="C1051" i="2"/>
  <c r="B1051" i="2"/>
  <c r="A1051" i="2"/>
  <c r="N1050" i="2"/>
  <c r="M1050" i="2"/>
  <c r="L1050" i="2"/>
  <c r="K1050" i="2"/>
  <c r="J1050" i="2"/>
  <c r="H1050" i="2"/>
  <c r="G1050" i="2"/>
  <c r="F1050" i="2"/>
  <c r="E1050" i="2"/>
  <c r="C1050" i="2"/>
  <c r="B1050" i="2"/>
  <c r="A1050" i="2"/>
  <c r="N1049" i="2"/>
  <c r="M1049" i="2"/>
  <c r="L1049" i="2"/>
  <c r="K1049" i="2"/>
  <c r="J1049" i="2"/>
  <c r="H1049" i="2"/>
  <c r="F1049" i="2"/>
  <c r="E1049" i="2"/>
  <c r="C1049" i="2"/>
  <c r="B1049" i="2"/>
  <c r="A1049" i="2"/>
  <c r="N1048" i="2"/>
  <c r="M1048" i="2"/>
  <c r="L1048" i="2"/>
  <c r="K1048" i="2"/>
  <c r="J1048" i="2"/>
  <c r="H1048" i="2"/>
  <c r="G1048" i="2"/>
  <c r="F1048" i="2"/>
  <c r="E1048" i="2"/>
  <c r="C1048" i="2"/>
  <c r="B1048" i="2"/>
  <c r="A1048" i="2"/>
  <c r="N1047" i="2"/>
  <c r="M1047" i="2"/>
  <c r="L1047" i="2"/>
  <c r="K1047" i="2"/>
  <c r="J1047" i="2"/>
  <c r="H1047" i="2"/>
  <c r="G1047" i="2"/>
  <c r="F1047" i="2"/>
  <c r="E1047" i="2"/>
  <c r="C1047" i="2"/>
  <c r="B1047" i="2"/>
  <c r="A1047" i="2"/>
  <c r="N1046" i="2"/>
  <c r="M1046" i="2"/>
  <c r="L1046" i="2"/>
  <c r="K1046" i="2"/>
  <c r="J1046" i="2"/>
  <c r="H1046" i="2"/>
  <c r="G1046" i="2"/>
  <c r="F1046" i="2"/>
  <c r="E1046" i="2"/>
  <c r="C1046" i="2"/>
  <c r="B1046" i="2"/>
  <c r="A1046" i="2"/>
  <c r="N1045" i="2"/>
  <c r="M1045" i="2"/>
  <c r="L1045" i="2"/>
  <c r="K1045" i="2"/>
  <c r="J1045" i="2"/>
  <c r="H1045" i="2"/>
  <c r="G1045" i="2"/>
  <c r="F1045" i="2"/>
  <c r="E1045" i="2"/>
  <c r="C1045" i="2"/>
  <c r="B1045" i="2"/>
  <c r="A1045" i="2"/>
  <c r="N1044" i="2"/>
  <c r="M1044" i="2"/>
  <c r="L1044" i="2"/>
  <c r="K1044" i="2"/>
  <c r="J1044" i="2"/>
  <c r="H1044" i="2"/>
  <c r="G1044" i="2"/>
  <c r="F1044" i="2"/>
  <c r="E1044" i="2"/>
  <c r="C1044" i="2"/>
  <c r="B1044" i="2"/>
  <c r="A1044" i="2"/>
  <c r="N1043" i="2"/>
  <c r="M1043" i="2"/>
  <c r="L1043" i="2"/>
  <c r="K1043" i="2"/>
  <c r="J1043" i="2"/>
  <c r="H1043" i="2"/>
  <c r="G1043" i="2"/>
  <c r="F1043" i="2"/>
  <c r="E1043" i="2"/>
  <c r="C1043" i="2"/>
  <c r="B1043" i="2"/>
  <c r="A1043" i="2"/>
  <c r="N1042" i="2"/>
  <c r="M1042" i="2"/>
  <c r="L1042" i="2"/>
  <c r="K1042" i="2"/>
  <c r="J1042" i="2"/>
  <c r="H1042" i="2"/>
  <c r="G1042" i="2"/>
  <c r="F1042" i="2"/>
  <c r="E1042" i="2"/>
  <c r="C1042" i="2"/>
  <c r="B1042" i="2"/>
  <c r="A1042" i="2"/>
  <c r="N1041" i="2"/>
  <c r="M1041" i="2"/>
  <c r="L1041" i="2"/>
  <c r="K1041" i="2"/>
  <c r="J1041" i="2"/>
  <c r="H1041" i="2"/>
  <c r="G1041" i="2"/>
  <c r="F1041" i="2"/>
  <c r="E1041" i="2"/>
  <c r="C1041" i="2"/>
  <c r="B1041" i="2"/>
  <c r="A1041" i="2"/>
  <c r="N1040" i="2"/>
  <c r="M1040" i="2"/>
  <c r="L1040" i="2"/>
  <c r="K1040" i="2"/>
  <c r="J1040" i="2"/>
  <c r="H1040" i="2"/>
  <c r="G1040" i="2"/>
  <c r="F1040" i="2"/>
  <c r="E1040" i="2"/>
  <c r="C1040" i="2"/>
  <c r="B1040" i="2"/>
  <c r="A1040" i="2"/>
  <c r="N1039" i="2"/>
  <c r="M1039" i="2"/>
  <c r="L1039" i="2"/>
  <c r="K1039" i="2"/>
  <c r="J1039" i="2"/>
  <c r="H1039" i="2"/>
  <c r="G1039" i="2"/>
  <c r="F1039" i="2"/>
  <c r="E1039" i="2"/>
  <c r="C1039" i="2"/>
  <c r="B1039" i="2"/>
  <c r="A1039" i="2"/>
  <c r="N1038" i="2"/>
  <c r="M1038" i="2"/>
  <c r="L1038" i="2"/>
  <c r="J1038" i="2"/>
  <c r="H1038" i="2"/>
  <c r="E1038" i="2"/>
  <c r="C1038" i="2"/>
  <c r="B1038" i="2"/>
  <c r="A1038" i="2"/>
  <c r="N1037" i="2"/>
  <c r="M1037" i="2"/>
  <c r="L1037" i="2"/>
  <c r="J1037" i="2"/>
  <c r="H1037" i="2"/>
  <c r="G1037" i="2"/>
  <c r="F1037" i="2"/>
  <c r="E1037" i="2"/>
  <c r="C1037" i="2"/>
  <c r="B1037" i="2"/>
  <c r="A1037" i="2"/>
  <c r="N1036" i="2"/>
  <c r="M1036" i="2"/>
  <c r="L1036" i="2"/>
  <c r="K1036" i="2"/>
  <c r="J1036" i="2"/>
  <c r="H1036" i="2"/>
  <c r="G1036" i="2"/>
  <c r="F1036" i="2"/>
  <c r="E1036" i="2"/>
  <c r="C1036" i="2"/>
  <c r="B1036" i="2"/>
  <c r="A1036" i="2"/>
  <c r="N1035" i="2"/>
  <c r="M1035" i="2"/>
  <c r="L1035" i="2"/>
  <c r="K1035" i="2"/>
  <c r="J1035" i="2"/>
  <c r="H1035" i="2"/>
  <c r="G1035" i="2"/>
  <c r="F1035" i="2"/>
  <c r="E1035" i="2"/>
  <c r="C1035" i="2"/>
  <c r="B1035" i="2"/>
  <c r="A1035" i="2"/>
  <c r="N1034" i="2"/>
  <c r="M1034" i="2"/>
  <c r="L1034" i="2"/>
  <c r="K1034" i="2"/>
  <c r="J1034" i="2"/>
  <c r="H1034" i="2"/>
  <c r="F1034" i="2"/>
  <c r="E1034" i="2"/>
  <c r="C1034" i="2"/>
  <c r="B1034" i="2"/>
  <c r="A1034" i="2"/>
  <c r="N1033" i="2"/>
  <c r="M1033" i="2"/>
  <c r="L1033" i="2"/>
  <c r="K1033" i="2"/>
  <c r="J1033" i="2"/>
  <c r="H1033" i="2"/>
  <c r="G1033" i="2"/>
  <c r="F1033" i="2"/>
  <c r="E1033" i="2"/>
  <c r="C1033" i="2"/>
  <c r="B1033" i="2"/>
  <c r="A1033" i="2"/>
  <c r="N1032" i="2"/>
  <c r="M1032" i="2"/>
  <c r="L1032" i="2"/>
  <c r="K1032" i="2"/>
  <c r="J1032" i="2"/>
  <c r="H1032" i="2"/>
  <c r="G1032" i="2"/>
  <c r="F1032" i="2"/>
  <c r="E1032" i="2"/>
  <c r="C1032" i="2"/>
  <c r="B1032" i="2"/>
  <c r="A1032" i="2"/>
  <c r="N1031" i="2"/>
  <c r="M1031" i="2"/>
  <c r="L1031" i="2"/>
  <c r="K1031" i="2"/>
  <c r="J1031" i="2"/>
  <c r="H1031" i="2"/>
  <c r="G1031" i="2"/>
  <c r="F1031" i="2"/>
  <c r="E1031" i="2"/>
  <c r="C1031" i="2"/>
  <c r="B1031" i="2"/>
  <c r="A1031" i="2"/>
  <c r="N1030" i="2"/>
  <c r="M1030" i="2"/>
  <c r="L1030" i="2"/>
  <c r="J1030" i="2"/>
  <c r="H1030" i="2"/>
  <c r="E1030" i="2"/>
  <c r="C1030" i="2"/>
  <c r="B1030" i="2"/>
  <c r="A1030" i="2"/>
  <c r="N1029" i="2"/>
  <c r="M1029" i="2"/>
  <c r="L1029" i="2"/>
  <c r="K1029" i="2"/>
  <c r="J1029" i="2"/>
  <c r="H1029" i="2"/>
  <c r="G1029" i="2"/>
  <c r="F1029" i="2"/>
  <c r="E1029" i="2"/>
  <c r="C1029" i="2"/>
  <c r="B1029" i="2"/>
  <c r="A1029" i="2"/>
  <c r="N1028" i="2"/>
  <c r="M1028" i="2"/>
  <c r="L1028" i="2"/>
  <c r="K1028" i="2"/>
  <c r="J1028" i="2"/>
  <c r="H1028" i="2"/>
  <c r="G1028" i="2"/>
  <c r="F1028" i="2"/>
  <c r="E1028" i="2"/>
  <c r="C1028" i="2"/>
  <c r="B1028" i="2"/>
  <c r="A1028" i="2"/>
  <c r="N1027" i="2"/>
  <c r="M1027" i="2"/>
  <c r="L1027" i="2"/>
  <c r="K1027" i="2"/>
  <c r="J1027" i="2"/>
  <c r="H1027" i="2"/>
  <c r="F1027" i="2"/>
  <c r="E1027" i="2"/>
  <c r="C1027" i="2"/>
  <c r="B1027" i="2"/>
  <c r="A1027" i="2"/>
  <c r="N1026" i="2"/>
  <c r="M1026" i="2"/>
  <c r="L1026" i="2"/>
  <c r="K1026" i="2"/>
  <c r="J1026" i="2"/>
  <c r="H1026" i="2"/>
  <c r="G1026" i="2"/>
  <c r="F1026" i="2"/>
  <c r="E1026" i="2"/>
  <c r="C1026" i="2"/>
  <c r="B1026" i="2"/>
  <c r="A1026" i="2"/>
  <c r="N1025" i="2"/>
  <c r="M1025" i="2"/>
  <c r="L1025" i="2"/>
  <c r="K1025" i="2"/>
  <c r="J1025" i="2"/>
  <c r="H1025" i="2"/>
  <c r="G1025" i="2"/>
  <c r="F1025" i="2"/>
  <c r="E1025" i="2"/>
  <c r="C1025" i="2"/>
  <c r="B1025" i="2"/>
  <c r="A1025" i="2"/>
  <c r="N1024" i="2"/>
  <c r="M1024" i="2"/>
  <c r="L1024" i="2"/>
  <c r="K1024" i="2"/>
  <c r="J1024" i="2"/>
  <c r="H1024" i="2"/>
  <c r="G1024" i="2"/>
  <c r="F1024" i="2"/>
  <c r="E1024" i="2"/>
  <c r="C1024" i="2"/>
  <c r="B1024" i="2"/>
  <c r="A1024" i="2"/>
  <c r="N1023" i="2"/>
  <c r="M1023" i="2"/>
  <c r="L1023" i="2"/>
  <c r="K1023" i="2"/>
  <c r="J1023" i="2"/>
  <c r="H1023" i="2"/>
  <c r="G1023" i="2"/>
  <c r="F1023" i="2"/>
  <c r="E1023" i="2"/>
  <c r="C1023" i="2"/>
  <c r="B1023" i="2"/>
  <c r="A1023" i="2"/>
  <c r="N1022" i="2"/>
  <c r="M1022" i="2"/>
  <c r="L1022" i="2"/>
  <c r="K1022" i="2"/>
  <c r="J1022" i="2"/>
  <c r="H1022" i="2"/>
  <c r="G1022" i="2"/>
  <c r="F1022" i="2"/>
  <c r="E1022" i="2"/>
  <c r="C1022" i="2"/>
  <c r="B1022" i="2"/>
  <c r="A1022" i="2"/>
  <c r="N1021" i="2"/>
  <c r="M1021" i="2"/>
  <c r="L1021" i="2"/>
  <c r="K1021" i="2"/>
  <c r="J1021" i="2"/>
  <c r="H1021" i="2"/>
  <c r="G1021" i="2"/>
  <c r="F1021" i="2"/>
  <c r="E1021" i="2"/>
  <c r="C1021" i="2"/>
  <c r="B1021" i="2"/>
  <c r="A1021" i="2"/>
  <c r="N1020" i="2"/>
  <c r="M1020" i="2"/>
  <c r="L1020" i="2"/>
  <c r="K1020" i="2"/>
  <c r="J1020" i="2"/>
  <c r="H1020" i="2"/>
  <c r="G1020" i="2"/>
  <c r="F1020" i="2"/>
  <c r="E1020" i="2"/>
  <c r="C1020" i="2"/>
  <c r="B1020" i="2"/>
  <c r="A1020" i="2"/>
  <c r="N1019" i="2"/>
  <c r="M1019" i="2"/>
  <c r="L1019" i="2"/>
  <c r="J1019" i="2"/>
  <c r="H1019" i="2"/>
  <c r="G1019" i="2"/>
  <c r="F1019" i="2"/>
  <c r="E1019" i="2"/>
  <c r="C1019" i="2"/>
  <c r="B1019" i="2"/>
  <c r="A1019" i="2"/>
  <c r="N1018" i="2"/>
  <c r="M1018" i="2"/>
  <c r="L1018" i="2"/>
  <c r="J1018" i="2"/>
  <c r="H1018" i="2"/>
  <c r="E1018" i="2"/>
  <c r="C1018" i="2"/>
  <c r="B1018" i="2"/>
  <c r="A1018" i="2"/>
  <c r="N1017" i="2"/>
  <c r="M1017" i="2"/>
  <c r="L1017" i="2"/>
  <c r="K1017" i="2"/>
  <c r="J1017" i="2"/>
  <c r="H1017" i="2"/>
  <c r="G1017" i="2"/>
  <c r="F1017" i="2"/>
  <c r="E1017" i="2"/>
  <c r="C1017" i="2"/>
  <c r="B1017" i="2"/>
  <c r="A1017" i="2"/>
  <c r="N1016" i="2"/>
  <c r="M1016" i="2"/>
  <c r="L1016" i="2"/>
  <c r="K1016" i="2"/>
  <c r="J1016" i="2"/>
  <c r="H1016" i="2"/>
  <c r="G1016" i="2"/>
  <c r="F1016" i="2"/>
  <c r="E1016" i="2"/>
  <c r="C1016" i="2"/>
  <c r="B1016" i="2"/>
  <c r="A1016" i="2"/>
  <c r="N1015" i="2"/>
  <c r="M1015" i="2"/>
  <c r="L1015" i="2"/>
  <c r="K1015" i="2"/>
  <c r="J1015" i="2"/>
  <c r="H1015" i="2"/>
  <c r="F1015" i="2"/>
  <c r="E1015" i="2"/>
  <c r="C1015" i="2"/>
  <c r="B1015" i="2"/>
  <c r="A1015" i="2"/>
  <c r="N1014" i="2"/>
  <c r="M1014" i="2"/>
  <c r="L1014" i="2"/>
  <c r="K1014" i="2"/>
  <c r="J1014" i="2"/>
  <c r="H1014" i="2"/>
  <c r="G1014" i="2"/>
  <c r="F1014" i="2"/>
  <c r="E1014" i="2"/>
  <c r="C1014" i="2"/>
  <c r="B1014" i="2"/>
  <c r="A1014" i="2"/>
  <c r="N1013" i="2"/>
  <c r="M1013" i="2"/>
  <c r="L1013" i="2"/>
  <c r="K1013" i="2"/>
  <c r="J1013" i="2"/>
  <c r="H1013" i="2"/>
  <c r="G1013" i="2"/>
  <c r="F1013" i="2"/>
  <c r="E1013" i="2"/>
  <c r="C1013" i="2"/>
  <c r="B1013" i="2"/>
  <c r="A1013" i="2"/>
  <c r="N1012" i="2"/>
  <c r="M1012" i="2"/>
  <c r="L1012" i="2"/>
  <c r="K1012" i="2"/>
  <c r="J1012" i="2"/>
  <c r="H1012" i="2"/>
  <c r="G1012" i="2"/>
  <c r="F1012" i="2"/>
  <c r="E1012" i="2"/>
  <c r="C1012" i="2"/>
  <c r="B1012" i="2"/>
  <c r="A1012" i="2"/>
  <c r="N1011" i="2"/>
  <c r="M1011" i="2"/>
  <c r="L1011" i="2"/>
  <c r="K1011" i="2"/>
  <c r="J1011" i="2"/>
  <c r="H1011" i="2"/>
  <c r="G1011" i="2"/>
  <c r="F1011" i="2"/>
  <c r="E1011" i="2"/>
  <c r="C1011" i="2"/>
  <c r="B1011" i="2"/>
  <c r="A1011" i="2"/>
  <c r="N1010" i="2"/>
  <c r="M1010" i="2"/>
  <c r="L1010" i="2"/>
  <c r="K1010" i="2"/>
  <c r="J1010" i="2"/>
  <c r="H1010" i="2"/>
  <c r="G1010" i="2"/>
  <c r="F1010" i="2"/>
  <c r="E1010" i="2"/>
  <c r="C1010" i="2"/>
  <c r="B1010" i="2"/>
  <c r="A1010" i="2"/>
  <c r="N1009" i="2"/>
  <c r="M1009" i="2"/>
  <c r="L1009" i="2"/>
  <c r="K1009" i="2"/>
  <c r="J1009" i="2"/>
  <c r="H1009" i="2"/>
  <c r="G1009" i="2"/>
  <c r="F1009" i="2"/>
  <c r="E1009" i="2"/>
  <c r="C1009" i="2"/>
  <c r="B1009" i="2"/>
  <c r="A1009" i="2"/>
  <c r="N1008" i="2"/>
  <c r="M1008" i="2"/>
  <c r="L1008" i="2"/>
  <c r="J1008" i="2"/>
  <c r="H1008" i="2"/>
  <c r="E1008" i="2"/>
  <c r="C1008" i="2"/>
  <c r="B1008" i="2"/>
  <c r="A1008" i="2"/>
  <c r="N1007" i="2"/>
  <c r="M1007" i="2"/>
  <c r="L1007" i="2"/>
  <c r="K1007" i="2"/>
  <c r="J1007" i="2"/>
  <c r="H1007" i="2"/>
  <c r="G1007" i="2"/>
  <c r="F1007" i="2"/>
  <c r="E1007" i="2"/>
  <c r="C1007" i="2"/>
  <c r="B1007" i="2"/>
  <c r="A1007" i="2"/>
  <c r="N1006" i="2"/>
  <c r="M1006" i="2"/>
  <c r="L1006" i="2"/>
  <c r="K1006" i="2"/>
  <c r="J1006" i="2"/>
  <c r="H1006" i="2"/>
  <c r="G1006" i="2"/>
  <c r="F1006" i="2"/>
  <c r="E1006" i="2"/>
  <c r="C1006" i="2"/>
  <c r="B1006" i="2"/>
  <c r="A1006" i="2"/>
  <c r="N1005" i="2"/>
  <c r="M1005" i="2"/>
  <c r="L1005" i="2"/>
  <c r="K1005" i="2"/>
  <c r="J1005" i="2"/>
  <c r="H1005" i="2"/>
  <c r="F1005" i="2"/>
  <c r="E1005" i="2"/>
  <c r="C1005" i="2"/>
  <c r="B1005" i="2"/>
  <c r="A1005" i="2"/>
  <c r="N1004" i="2"/>
  <c r="M1004" i="2"/>
  <c r="L1004" i="2"/>
  <c r="K1004" i="2"/>
  <c r="J1004" i="2"/>
  <c r="I1004" i="2"/>
  <c r="H1004" i="2"/>
  <c r="G1004" i="2"/>
  <c r="F1004" i="2"/>
  <c r="E1004" i="2"/>
  <c r="C1004" i="2"/>
  <c r="B1004" i="2"/>
  <c r="A1004" i="2"/>
  <c r="N1003" i="2"/>
  <c r="M1003" i="2"/>
  <c r="L1003" i="2"/>
  <c r="K1003" i="2"/>
  <c r="J1003" i="2"/>
  <c r="I1003" i="2"/>
  <c r="H1003" i="2"/>
  <c r="G1003" i="2"/>
  <c r="F1003" i="2"/>
  <c r="E1003" i="2"/>
  <c r="C1003" i="2"/>
  <c r="B1003" i="2"/>
  <c r="A1003" i="2"/>
  <c r="N1002" i="2"/>
  <c r="M1002" i="2"/>
  <c r="L1002" i="2"/>
  <c r="K1002" i="2"/>
  <c r="J1002" i="2"/>
  <c r="I1002" i="2"/>
  <c r="H1002" i="2"/>
  <c r="G1002" i="2"/>
  <c r="F1002" i="2"/>
  <c r="E1002" i="2"/>
  <c r="C1002" i="2"/>
  <c r="B1002" i="2"/>
  <c r="A1002" i="2"/>
  <c r="N1001" i="2"/>
  <c r="M1001" i="2"/>
  <c r="L1001" i="2"/>
  <c r="K1001" i="2"/>
  <c r="J1001" i="2"/>
  <c r="I1001" i="2"/>
  <c r="H1001" i="2"/>
  <c r="G1001" i="2"/>
  <c r="F1001" i="2"/>
  <c r="E1001" i="2"/>
  <c r="C1001" i="2"/>
  <c r="B1001" i="2"/>
  <c r="A1001" i="2"/>
  <c r="N1000" i="2"/>
  <c r="M1000" i="2"/>
  <c r="L1000" i="2"/>
  <c r="K1000" i="2"/>
  <c r="J1000" i="2"/>
  <c r="I1000" i="2"/>
  <c r="H1000" i="2"/>
  <c r="G1000" i="2"/>
  <c r="F1000" i="2"/>
  <c r="E1000" i="2"/>
  <c r="C1000" i="2"/>
  <c r="B1000" i="2"/>
  <c r="A1000" i="2"/>
  <c r="N999" i="2"/>
  <c r="M999" i="2"/>
  <c r="L999" i="2"/>
  <c r="K999" i="2"/>
  <c r="J999" i="2"/>
  <c r="I999" i="2"/>
  <c r="H999" i="2"/>
  <c r="G999" i="2"/>
  <c r="F999" i="2"/>
  <c r="E999" i="2"/>
  <c r="C999" i="2"/>
  <c r="B999" i="2"/>
  <c r="A999" i="2"/>
  <c r="N998" i="2"/>
  <c r="M998" i="2"/>
  <c r="L998" i="2"/>
  <c r="K998" i="2"/>
  <c r="J998" i="2"/>
  <c r="I998" i="2"/>
  <c r="H998" i="2"/>
  <c r="G998" i="2"/>
  <c r="F998" i="2"/>
  <c r="E998" i="2"/>
  <c r="C998" i="2"/>
  <c r="B998" i="2"/>
  <c r="A998" i="2"/>
  <c r="N997" i="2"/>
  <c r="M997" i="2"/>
  <c r="L997" i="2"/>
  <c r="K997" i="2"/>
  <c r="J997" i="2"/>
  <c r="I997" i="2"/>
  <c r="H997" i="2"/>
  <c r="G997" i="2"/>
  <c r="F997" i="2"/>
  <c r="E997" i="2"/>
  <c r="C997" i="2"/>
  <c r="B997" i="2"/>
  <c r="A997" i="2"/>
  <c r="N996" i="2"/>
  <c r="M996" i="2"/>
  <c r="L996" i="2"/>
  <c r="K996" i="2"/>
  <c r="J996" i="2"/>
  <c r="I996" i="2"/>
  <c r="H996" i="2"/>
  <c r="G996" i="2"/>
  <c r="F996" i="2"/>
  <c r="E996" i="2"/>
  <c r="C996" i="2"/>
  <c r="B996" i="2"/>
  <c r="A996" i="2"/>
  <c r="N995" i="2"/>
  <c r="M995" i="2"/>
  <c r="L995" i="2"/>
  <c r="K995" i="2"/>
  <c r="J995" i="2"/>
  <c r="I995" i="2"/>
  <c r="H995" i="2"/>
  <c r="G995" i="2"/>
  <c r="F995" i="2"/>
  <c r="E995" i="2"/>
  <c r="C995" i="2"/>
  <c r="B995" i="2"/>
  <c r="A995" i="2"/>
  <c r="N994" i="2"/>
  <c r="M994" i="2"/>
  <c r="L994" i="2"/>
  <c r="K994" i="2"/>
  <c r="J994" i="2"/>
  <c r="I994" i="2"/>
  <c r="H994" i="2"/>
  <c r="G994" i="2"/>
  <c r="F994" i="2"/>
  <c r="E994" i="2"/>
  <c r="C994" i="2"/>
  <c r="B994" i="2"/>
  <c r="A994" i="2"/>
  <c r="N993" i="2"/>
  <c r="M993" i="2"/>
  <c r="L993" i="2"/>
  <c r="K993" i="2"/>
  <c r="J993" i="2"/>
  <c r="I993" i="2"/>
  <c r="H993" i="2"/>
  <c r="G993" i="2"/>
  <c r="F993" i="2"/>
  <c r="E993" i="2"/>
  <c r="C993" i="2"/>
  <c r="B993" i="2"/>
  <c r="A993" i="2"/>
  <c r="N992" i="2"/>
  <c r="M992" i="2"/>
  <c r="L992" i="2"/>
  <c r="K992" i="2"/>
  <c r="J992" i="2"/>
  <c r="I992" i="2"/>
  <c r="H992" i="2"/>
  <c r="G992" i="2"/>
  <c r="F992" i="2"/>
  <c r="E992" i="2"/>
  <c r="C992" i="2"/>
  <c r="B992" i="2"/>
  <c r="A992" i="2"/>
  <c r="N991" i="2"/>
  <c r="M991" i="2"/>
  <c r="L991" i="2"/>
  <c r="J991" i="2"/>
  <c r="H991" i="2"/>
  <c r="E991" i="2"/>
  <c r="C991" i="2"/>
  <c r="B991" i="2"/>
  <c r="A991" i="2"/>
  <c r="N990" i="2"/>
  <c r="M990" i="2"/>
  <c r="L990" i="2"/>
  <c r="J990" i="2"/>
  <c r="H990" i="2"/>
  <c r="G990" i="2"/>
  <c r="F990" i="2"/>
  <c r="E990" i="2"/>
  <c r="C990" i="2"/>
  <c r="B990" i="2"/>
  <c r="A990" i="2"/>
  <c r="N989" i="2"/>
  <c r="M989" i="2"/>
  <c r="L989" i="2"/>
  <c r="K989" i="2"/>
  <c r="J989" i="2"/>
  <c r="H989" i="2"/>
  <c r="G989" i="2"/>
  <c r="F989" i="2"/>
  <c r="E989" i="2"/>
  <c r="C989" i="2"/>
  <c r="B989" i="2"/>
  <c r="A989" i="2"/>
  <c r="N988" i="2"/>
  <c r="M988" i="2"/>
  <c r="L988" i="2"/>
  <c r="K988" i="2"/>
  <c r="J988" i="2"/>
  <c r="H988" i="2"/>
  <c r="G988" i="2"/>
  <c r="F988" i="2"/>
  <c r="E988" i="2"/>
  <c r="C988" i="2"/>
  <c r="B988" i="2"/>
  <c r="A988" i="2"/>
  <c r="N987" i="2"/>
  <c r="M987" i="2"/>
  <c r="L987" i="2"/>
  <c r="K987" i="2"/>
  <c r="J987" i="2"/>
  <c r="H987" i="2"/>
  <c r="G987" i="2"/>
  <c r="F987" i="2"/>
  <c r="E987" i="2"/>
  <c r="C987" i="2"/>
  <c r="B987" i="2"/>
  <c r="A987" i="2"/>
  <c r="N986" i="2"/>
  <c r="M986" i="2"/>
  <c r="L986" i="2"/>
  <c r="K986" i="2"/>
  <c r="J986" i="2"/>
  <c r="H986" i="2"/>
  <c r="G986" i="2"/>
  <c r="F986" i="2"/>
  <c r="E986" i="2"/>
  <c r="C986" i="2"/>
  <c r="B986" i="2"/>
  <c r="A986" i="2"/>
  <c r="N985" i="2"/>
  <c r="M985" i="2"/>
  <c r="L985" i="2"/>
  <c r="K985" i="2"/>
  <c r="J985" i="2"/>
  <c r="H985" i="2"/>
  <c r="G985" i="2"/>
  <c r="F985" i="2"/>
  <c r="E985" i="2"/>
  <c r="C985" i="2"/>
  <c r="B985" i="2"/>
  <c r="A985" i="2"/>
  <c r="N984" i="2"/>
  <c r="M984" i="2"/>
  <c r="L984" i="2"/>
  <c r="K984" i="2"/>
  <c r="J984" i="2"/>
  <c r="H984" i="2"/>
  <c r="G984" i="2"/>
  <c r="F984" i="2"/>
  <c r="E984" i="2"/>
  <c r="C984" i="2"/>
  <c r="B984" i="2"/>
  <c r="A984" i="2"/>
  <c r="N983" i="2"/>
  <c r="M983" i="2"/>
  <c r="L983" i="2"/>
  <c r="K983" i="2"/>
  <c r="J983" i="2"/>
  <c r="H983" i="2"/>
  <c r="G983" i="2"/>
  <c r="F983" i="2"/>
  <c r="E983" i="2"/>
  <c r="C983" i="2"/>
  <c r="B983" i="2"/>
  <c r="A983" i="2"/>
  <c r="N982" i="2"/>
  <c r="M982" i="2"/>
  <c r="L982" i="2"/>
  <c r="K982" i="2"/>
  <c r="J982" i="2"/>
  <c r="H982" i="2"/>
  <c r="G982" i="2"/>
  <c r="F982" i="2"/>
  <c r="E982" i="2"/>
  <c r="C982" i="2"/>
  <c r="B982" i="2"/>
  <c r="A982" i="2"/>
  <c r="N981" i="2"/>
  <c r="M981" i="2"/>
  <c r="L981" i="2"/>
  <c r="K981" i="2"/>
  <c r="J981" i="2"/>
  <c r="H981" i="2"/>
  <c r="G981" i="2"/>
  <c r="F981" i="2"/>
  <c r="E981" i="2"/>
  <c r="C981" i="2"/>
  <c r="B981" i="2"/>
  <c r="A981" i="2"/>
  <c r="N980" i="2"/>
  <c r="M980" i="2"/>
  <c r="L980" i="2"/>
  <c r="K980" i="2"/>
  <c r="J980" i="2"/>
  <c r="H980" i="2"/>
  <c r="G980" i="2"/>
  <c r="F980" i="2"/>
  <c r="E980" i="2"/>
  <c r="C980" i="2"/>
  <c r="B980" i="2"/>
  <c r="A980" i="2"/>
  <c r="N979" i="2"/>
  <c r="M979" i="2"/>
  <c r="L979" i="2"/>
  <c r="K979" i="2"/>
  <c r="J979" i="2"/>
  <c r="H979" i="2"/>
  <c r="G979" i="2"/>
  <c r="F979" i="2"/>
  <c r="E979" i="2"/>
  <c r="C979" i="2"/>
  <c r="B979" i="2"/>
  <c r="A979" i="2"/>
  <c r="N978" i="2"/>
  <c r="M978" i="2"/>
  <c r="L978" i="2"/>
  <c r="K978" i="2"/>
  <c r="J978" i="2"/>
  <c r="H978" i="2"/>
  <c r="G978" i="2"/>
  <c r="F978" i="2"/>
  <c r="E978" i="2"/>
  <c r="C978" i="2"/>
  <c r="B978" i="2"/>
  <c r="A978" i="2"/>
  <c r="N977" i="2"/>
  <c r="M977" i="2"/>
  <c r="L977" i="2"/>
  <c r="K977" i="2"/>
  <c r="J977" i="2"/>
  <c r="H977" i="2"/>
  <c r="G977" i="2"/>
  <c r="F977" i="2"/>
  <c r="E977" i="2"/>
  <c r="C977" i="2"/>
  <c r="B977" i="2"/>
  <c r="A977" i="2"/>
  <c r="N976" i="2"/>
  <c r="M976" i="2"/>
  <c r="L976" i="2"/>
  <c r="K976" i="2"/>
  <c r="J976" i="2"/>
  <c r="H976" i="2"/>
  <c r="G976" i="2"/>
  <c r="F976" i="2"/>
  <c r="E976" i="2"/>
  <c r="C976" i="2"/>
  <c r="B976" i="2"/>
  <c r="A976" i="2"/>
  <c r="N975" i="2"/>
  <c r="M975" i="2"/>
  <c r="L975" i="2"/>
  <c r="K975" i="2"/>
  <c r="J975" i="2"/>
  <c r="H975" i="2"/>
  <c r="G975" i="2"/>
  <c r="F975" i="2"/>
  <c r="E975" i="2"/>
  <c r="C975" i="2"/>
  <c r="B975" i="2"/>
  <c r="A975" i="2"/>
  <c r="N974" i="2"/>
  <c r="M974" i="2"/>
  <c r="L974" i="2"/>
  <c r="K974" i="2"/>
  <c r="J974" i="2"/>
  <c r="H974" i="2"/>
  <c r="G974" i="2"/>
  <c r="F974" i="2"/>
  <c r="E974" i="2"/>
  <c r="C974" i="2"/>
  <c r="B974" i="2"/>
  <c r="A974" i="2"/>
  <c r="N973" i="2"/>
  <c r="M973" i="2"/>
  <c r="L973" i="2"/>
  <c r="K973" i="2"/>
  <c r="J973" i="2"/>
  <c r="H973" i="2"/>
  <c r="F973" i="2"/>
  <c r="E973" i="2"/>
  <c r="C973" i="2"/>
  <c r="B973" i="2"/>
  <c r="A973" i="2"/>
  <c r="N972" i="2"/>
  <c r="M972" i="2"/>
  <c r="L972" i="2"/>
  <c r="J972" i="2"/>
  <c r="H972" i="2"/>
  <c r="G972" i="2"/>
  <c r="F972" i="2"/>
  <c r="E972" i="2"/>
  <c r="C972" i="2"/>
  <c r="B972" i="2"/>
  <c r="A972" i="2"/>
  <c r="N971" i="2"/>
  <c r="M971" i="2"/>
  <c r="L971" i="2"/>
  <c r="J971" i="2"/>
  <c r="H971" i="2"/>
  <c r="E971" i="2"/>
  <c r="C971" i="2"/>
  <c r="B971" i="2"/>
  <c r="A971" i="2"/>
  <c r="N970" i="2"/>
  <c r="M970" i="2"/>
  <c r="L970" i="2"/>
  <c r="K970" i="2"/>
  <c r="J970" i="2"/>
  <c r="H970" i="2"/>
  <c r="G970" i="2"/>
  <c r="F970" i="2"/>
  <c r="E970" i="2"/>
  <c r="C970" i="2"/>
  <c r="B970" i="2"/>
  <c r="A970" i="2"/>
  <c r="N969" i="2"/>
  <c r="M969" i="2"/>
  <c r="L969" i="2"/>
  <c r="K969" i="2"/>
  <c r="J969" i="2"/>
  <c r="H969" i="2"/>
  <c r="G969" i="2"/>
  <c r="F969" i="2"/>
  <c r="E969" i="2"/>
  <c r="C969" i="2"/>
  <c r="B969" i="2"/>
  <c r="A969" i="2"/>
  <c r="N968" i="2"/>
  <c r="M968" i="2"/>
  <c r="L968" i="2"/>
  <c r="K968" i="2"/>
  <c r="J968" i="2"/>
  <c r="H968" i="2"/>
  <c r="F968" i="2"/>
  <c r="E968" i="2"/>
  <c r="C968" i="2"/>
  <c r="B968" i="2"/>
  <c r="A968" i="2"/>
  <c r="N967" i="2"/>
  <c r="M967" i="2"/>
  <c r="L967" i="2"/>
  <c r="K967" i="2"/>
  <c r="J967" i="2"/>
  <c r="H967" i="2"/>
  <c r="G967" i="2"/>
  <c r="F967" i="2"/>
  <c r="E967" i="2"/>
  <c r="C967" i="2"/>
  <c r="B967" i="2"/>
  <c r="A967" i="2"/>
  <c r="N966" i="2"/>
  <c r="M966" i="2"/>
  <c r="L966" i="2"/>
  <c r="K966" i="2"/>
  <c r="J966" i="2"/>
  <c r="H966" i="2"/>
  <c r="G966" i="2"/>
  <c r="F966" i="2"/>
  <c r="E966" i="2"/>
  <c r="C966" i="2"/>
  <c r="B966" i="2"/>
  <c r="A966" i="2"/>
  <c r="N965" i="2"/>
  <c r="M965" i="2"/>
  <c r="L965" i="2"/>
  <c r="K965" i="2"/>
  <c r="J965" i="2"/>
  <c r="H965" i="2"/>
  <c r="G965" i="2"/>
  <c r="F965" i="2"/>
  <c r="E965" i="2"/>
  <c r="C965" i="2"/>
  <c r="B965" i="2"/>
  <c r="A965" i="2"/>
  <c r="N964" i="2"/>
  <c r="M964" i="2"/>
  <c r="L964" i="2"/>
  <c r="J964" i="2"/>
  <c r="H964" i="2"/>
  <c r="E964" i="2"/>
  <c r="C964" i="2"/>
  <c r="B964" i="2"/>
  <c r="A964" i="2"/>
  <c r="N963" i="2"/>
  <c r="M963" i="2"/>
  <c r="L963" i="2"/>
  <c r="K963" i="2"/>
  <c r="J963" i="2"/>
  <c r="H963" i="2"/>
  <c r="G963" i="2"/>
  <c r="F963" i="2"/>
  <c r="E963" i="2"/>
  <c r="C963" i="2"/>
  <c r="B963" i="2"/>
  <c r="A963" i="2"/>
  <c r="N962" i="2"/>
  <c r="M962" i="2"/>
  <c r="L962" i="2"/>
  <c r="K962" i="2"/>
  <c r="J962" i="2"/>
  <c r="H962" i="2"/>
  <c r="G962" i="2"/>
  <c r="F962" i="2"/>
  <c r="E962" i="2"/>
  <c r="C962" i="2"/>
  <c r="B962" i="2"/>
  <c r="A962" i="2"/>
  <c r="N961" i="2"/>
  <c r="M961" i="2"/>
  <c r="L961" i="2"/>
  <c r="K961" i="2"/>
  <c r="J961" i="2"/>
  <c r="H961" i="2"/>
  <c r="F961" i="2"/>
  <c r="E961" i="2"/>
  <c r="C961" i="2"/>
  <c r="B961" i="2"/>
  <c r="A961" i="2"/>
  <c r="N960" i="2"/>
  <c r="M960" i="2"/>
  <c r="L960" i="2"/>
  <c r="K960" i="2"/>
  <c r="J960" i="2"/>
  <c r="H960" i="2"/>
  <c r="G960" i="2"/>
  <c r="F960" i="2"/>
  <c r="E960" i="2"/>
  <c r="C960" i="2"/>
  <c r="B960" i="2"/>
  <c r="A960" i="2"/>
  <c r="N959" i="2"/>
  <c r="M959" i="2"/>
  <c r="L959" i="2"/>
  <c r="J959" i="2"/>
  <c r="H959" i="2"/>
  <c r="E959" i="2"/>
  <c r="C959" i="2"/>
  <c r="B959" i="2"/>
  <c r="A959" i="2"/>
  <c r="N958" i="2"/>
  <c r="M958" i="2"/>
  <c r="L958" i="2"/>
  <c r="K958" i="2"/>
  <c r="J958" i="2"/>
  <c r="H958" i="2"/>
  <c r="G958" i="2"/>
  <c r="F958" i="2"/>
  <c r="E958" i="2"/>
  <c r="C958" i="2"/>
  <c r="B958" i="2"/>
  <c r="A958" i="2"/>
  <c r="N957" i="2"/>
  <c r="M957" i="2"/>
  <c r="L957" i="2"/>
  <c r="K957" i="2"/>
  <c r="J957" i="2"/>
  <c r="H957" i="2"/>
  <c r="G957" i="2"/>
  <c r="F957" i="2"/>
  <c r="E957" i="2"/>
  <c r="C957" i="2"/>
  <c r="B957" i="2"/>
  <c r="A957" i="2"/>
  <c r="N956" i="2"/>
  <c r="M956" i="2"/>
  <c r="L956" i="2"/>
  <c r="K956" i="2"/>
  <c r="J956" i="2"/>
  <c r="H956" i="2"/>
  <c r="G956" i="2"/>
  <c r="F956" i="2"/>
  <c r="E956" i="2"/>
  <c r="C956" i="2"/>
  <c r="B956" i="2"/>
  <c r="A956" i="2"/>
  <c r="N955" i="2"/>
  <c r="M955" i="2"/>
  <c r="L955" i="2"/>
  <c r="K955" i="2"/>
  <c r="J955" i="2"/>
  <c r="H955" i="2"/>
  <c r="F955" i="2"/>
  <c r="E955" i="2"/>
  <c r="C955" i="2"/>
  <c r="B955" i="2"/>
  <c r="A955" i="2"/>
  <c r="N954" i="2"/>
  <c r="M954" i="2"/>
  <c r="L954" i="2"/>
  <c r="J954" i="2"/>
  <c r="H954" i="2"/>
  <c r="E954" i="2"/>
  <c r="C954" i="2"/>
  <c r="B954" i="2"/>
  <c r="A954" i="2"/>
  <c r="N953" i="2"/>
  <c r="M953" i="2"/>
  <c r="L953" i="2"/>
  <c r="K953" i="2"/>
  <c r="J953" i="2"/>
  <c r="H953" i="2"/>
  <c r="G953" i="2"/>
  <c r="F953" i="2"/>
  <c r="E953" i="2"/>
  <c r="C953" i="2"/>
  <c r="B953" i="2"/>
  <c r="A953" i="2"/>
  <c r="N952" i="2"/>
  <c r="M952" i="2"/>
  <c r="L952" i="2"/>
  <c r="K952" i="2"/>
  <c r="J952" i="2"/>
  <c r="H952" i="2"/>
  <c r="G952" i="2"/>
  <c r="F952" i="2"/>
  <c r="E952" i="2"/>
  <c r="C952" i="2"/>
  <c r="B952" i="2"/>
  <c r="A952" i="2"/>
  <c r="N951" i="2"/>
  <c r="M951" i="2"/>
  <c r="L951" i="2"/>
  <c r="K951" i="2"/>
  <c r="J951" i="2"/>
  <c r="H951" i="2"/>
  <c r="G951" i="2"/>
  <c r="F951" i="2"/>
  <c r="E951" i="2"/>
  <c r="C951" i="2"/>
  <c r="B951" i="2"/>
  <c r="A951" i="2"/>
  <c r="N950" i="2"/>
  <c r="M950" i="2"/>
  <c r="L950" i="2"/>
  <c r="K950" i="2"/>
  <c r="J950" i="2"/>
  <c r="H950" i="2"/>
  <c r="F950" i="2"/>
  <c r="E950" i="2"/>
  <c r="C950" i="2"/>
  <c r="B950" i="2"/>
  <c r="A950" i="2"/>
  <c r="N949" i="2"/>
  <c r="M949" i="2"/>
  <c r="L949" i="2"/>
  <c r="J949" i="2"/>
  <c r="H949" i="2"/>
  <c r="G949" i="2"/>
  <c r="F949" i="2"/>
  <c r="E949" i="2"/>
  <c r="C949" i="2"/>
  <c r="B949" i="2"/>
  <c r="A949" i="2"/>
  <c r="N948" i="2"/>
  <c r="M948" i="2"/>
  <c r="L948" i="2"/>
  <c r="J948" i="2"/>
  <c r="H948" i="2"/>
  <c r="E948" i="2"/>
  <c r="C948" i="2"/>
  <c r="B948" i="2"/>
  <c r="A948" i="2"/>
  <c r="N947" i="2"/>
  <c r="M947" i="2"/>
  <c r="L947" i="2"/>
  <c r="K947" i="2"/>
  <c r="J947" i="2"/>
  <c r="H947" i="2"/>
  <c r="G947" i="2"/>
  <c r="F947" i="2"/>
  <c r="E947" i="2"/>
  <c r="C947" i="2"/>
  <c r="B947" i="2"/>
  <c r="A947" i="2"/>
  <c r="N946" i="2"/>
  <c r="M946" i="2"/>
  <c r="L946" i="2"/>
  <c r="K946" i="2"/>
  <c r="J946" i="2"/>
  <c r="H946" i="2"/>
  <c r="G946" i="2"/>
  <c r="F946" i="2"/>
  <c r="E946" i="2"/>
  <c r="C946" i="2"/>
  <c r="B946" i="2"/>
  <c r="A946" i="2"/>
  <c r="N945" i="2"/>
  <c r="M945" i="2"/>
  <c r="L945" i="2"/>
  <c r="K945" i="2"/>
  <c r="J945" i="2"/>
  <c r="H945" i="2"/>
  <c r="G945" i="2"/>
  <c r="F945" i="2"/>
  <c r="E945" i="2"/>
  <c r="C945" i="2"/>
  <c r="B945" i="2"/>
  <c r="A945" i="2"/>
  <c r="N944" i="2"/>
  <c r="M944" i="2"/>
  <c r="L944" i="2"/>
  <c r="K944" i="2"/>
  <c r="J944" i="2"/>
  <c r="H944" i="2"/>
  <c r="G944" i="2"/>
  <c r="F944" i="2"/>
  <c r="E944" i="2"/>
  <c r="C944" i="2"/>
  <c r="B944" i="2"/>
  <c r="A944" i="2"/>
  <c r="N943" i="2"/>
  <c r="M943" i="2"/>
  <c r="L943" i="2"/>
  <c r="K943" i="2"/>
  <c r="J943" i="2"/>
  <c r="H943" i="2"/>
  <c r="G943" i="2"/>
  <c r="F943" i="2"/>
  <c r="E943" i="2"/>
  <c r="C943" i="2"/>
  <c r="B943" i="2"/>
  <c r="A943" i="2"/>
  <c r="N942" i="2"/>
  <c r="M942" i="2"/>
  <c r="L942" i="2"/>
  <c r="K942" i="2"/>
  <c r="J942" i="2"/>
  <c r="H942" i="2"/>
  <c r="F942" i="2"/>
  <c r="E942" i="2"/>
  <c r="C942" i="2"/>
  <c r="B942" i="2"/>
  <c r="A942" i="2"/>
  <c r="N941" i="2"/>
  <c r="M941" i="2"/>
  <c r="L941" i="2"/>
  <c r="J941" i="2"/>
  <c r="H941" i="2"/>
  <c r="E941" i="2"/>
  <c r="C941" i="2"/>
  <c r="B941" i="2"/>
  <c r="A941" i="2"/>
  <c r="N940" i="2"/>
  <c r="M940" i="2"/>
  <c r="L940" i="2"/>
  <c r="K940" i="2"/>
  <c r="J940" i="2"/>
  <c r="H940" i="2"/>
  <c r="G940" i="2"/>
  <c r="F940" i="2"/>
  <c r="E940" i="2"/>
  <c r="C940" i="2"/>
  <c r="B940" i="2"/>
  <c r="A940" i="2"/>
  <c r="N939" i="2"/>
  <c r="M939" i="2"/>
  <c r="L939" i="2"/>
  <c r="K939" i="2"/>
  <c r="J939" i="2"/>
  <c r="H939" i="2"/>
  <c r="G939" i="2"/>
  <c r="F939" i="2"/>
  <c r="E939" i="2"/>
  <c r="C939" i="2"/>
  <c r="B939" i="2"/>
  <c r="A939" i="2"/>
  <c r="N938" i="2"/>
  <c r="M938" i="2"/>
  <c r="L938" i="2"/>
  <c r="K938" i="2"/>
  <c r="J938" i="2"/>
  <c r="H938" i="2"/>
  <c r="G938" i="2"/>
  <c r="F938" i="2"/>
  <c r="E938" i="2"/>
  <c r="C938" i="2"/>
  <c r="B938" i="2"/>
  <c r="A938" i="2"/>
  <c r="N937" i="2"/>
  <c r="M937" i="2"/>
  <c r="L937" i="2"/>
  <c r="K937" i="2"/>
  <c r="J937" i="2"/>
  <c r="H937" i="2"/>
  <c r="F937" i="2"/>
  <c r="E937" i="2"/>
  <c r="C937" i="2"/>
  <c r="B937" i="2"/>
  <c r="A937" i="2"/>
  <c r="N936" i="2"/>
  <c r="M936" i="2"/>
  <c r="L936" i="2"/>
  <c r="J936" i="2"/>
  <c r="H936" i="2"/>
  <c r="E936" i="2"/>
  <c r="C936" i="2"/>
  <c r="B936" i="2"/>
  <c r="A936" i="2"/>
  <c r="N935" i="2"/>
  <c r="M935" i="2"/>
  <c r="L935" i="2"/>
  <c r="K935" i="2"/>
  <c r="J935" i="2"/>
  <c r="H935" i="2"/>
  <c r="G935" i="2"/>
  <c r="F935" i="2"/>
  <c r="E935" i="2"/>
  <c r="C935" i="2"/>
  <c r="B935" i="2"/>
  <c r="A935" i="2"/>
  <c r="N934" i="2"/>
  <c r="M934" i="2"/>
  <c r="L934" i="2"/>
  <c r="K934" i="2"/>
  <c r="J934" i="2"/>
  <c r="H934" i="2"/>
  <c r="F934" i="2"/>
  <c r="E934" i="2"/>
  <c r="C934" i="2"/>
  <c r="B934" i="2"/>
  <c r="A934" i="2"/>
  <c r="N933" i="2"/>
  <c r="M933" i="2"/>
  <c r="L933" i="2"/>
  <c r="J933" i="2"/>
  <c r="H933" i="2"/>
  <c r="E933" i="2"/>
  <c r="C933" i="2"/>
  <c r="B933" i="2"/>
  <c r="A933" i="2"/>
  <c r="N932" i="2"/>
  <c r="M932" i="2"/>
  <c r="L932" i="2"/>
  <c r="K932" i="2"/>
  <c r="J932" i="2"/>
  <c r="H932" i="2"/>
  <c r="G932" i="2"/>
  <c r="F932" i="2"/>
  <c r="E932" i="2"/>
  <c r="C932" i="2"/>
  <c r="B932" i="2"/>
  <c r="A932" i="2"/>
  <c r="N931" i="2"/>
  <c r="M931" i="2"/>
  <c r="L931" i="2"/>
  <c r="K931" i="2"/>
  <c r="J931" i="2"/>
  <c r="H931" i="2"/>
  <c r="G931" i="2"/>
  <c r="F931" i="2"/>
  <c r="E931" i="2"/>
  <c r="C931" i="2"/>
  <c r="B931" i="2"/>
  <c r="A931" i="2"/>
  <c r="N930" i="2"/>
  <c r="M930" i="2"/>
  <c r="L930" i="2"/>
  <c r="K930" i="2"/>
  <c r="J930" i="2"/>
  <c r="H930" i="2"/>
  <c r="G930" i="2"/>
  <c r="F930" i="2"/>
  <c r="E930" i="2"/>
  <c r="C930" i="2"/>
  <c r="B930" i="2"/>
  <c r="A930" i="2"/>
  <c r="N929" i="2"/>
  <c r="M929" i="2"/>
  <c r="L929" i="2"/>
  <c r="K929" i="2"/>
  <c r="J929" i="2"/>
  <c r="H929" i="2"/>
  <c r="G929" i="2"/>
  <c r="F929" i="2"/>
  <c r="E929" i="2"/>
  <c r="C929" i="2"/>
  <c r="B929" i="2"/>
  <c r="A929" i="2"/>
  <c r="N928" i="2"/>
  <c r="M928" i="2"/>
  <c r="L928" i="2"/>
  <c r="K928" i="2"/>
  <c r="J928" i="2"/>
  <c r="H928" i="2"/>
  <c r="G928" i="2"/>
  <c r="F928" i="2"/>
  <c r="E928" i="2"/>
  <c r="C928" i="2"/>
  <c r="B928" i="2"/>
  <c r="A928" i="2"/>
  <c r="N927" i="2"/>
  <c r="M927" i="2"/>
  <c r="L927" i="2"/>
  <c r="K927" i="2"/>
  <c r="J927" i="2"/>
  <c r="H927" i="2"/>
  <c r="F927" i="2"/>
  <c r="E927" i="2"/>
  <c r="C927" i="2"/>
  <c r="B927" i="2"/>
  <c r="A927" i="2"/>
  <c r="N926" i="2"/>
  <c r="M926" i="2"/>
  <c r="L926" i="2"/>
  <c r="J926" i="2"/>
  <c r="H926" i="2"/>
  <c r="E926" i="2"/>
  <c r="C926" i="2"/>
  <c r="B926" i="2"/>
  <c r="A926" i="2"/>
  <c r="N925" i="2"/>
  <c r="M925" i="2"/>
  <c r="L925" i="2"/>
  <c r="K925" i="2"/>
  <c r="J925" i="2"/>
  <c r="H925" i="2"/>
  <c r="G925" i="2"/>
  <c r="F925" i="2"/>
  <c r="E925" i="2"/>
  <c r="C925" i="2"/>
  <c r="B925" i="2"/>
  <c r="A925" i="2"/>
  <c r="N924" i="2"/>
  <c r="M924" i="2"/>
  <c r="L924" i="2"/>
  <c r="K924" i="2"/>
  <c r="J924" i="2"/>
  <c r="H924" i="2"/>
  <c r="G924" i="2"/>
  <c r="F924" i="2"/>
  <c r="E924" i="2"/>
  <c r="C924" i="2"/>
  <c r="B924" i="2"/>
  <c r="A924" i="2"/>
  <c r="N923" i="2"/>
  <c r="M923" i="2"/>
  <c r="L923" i="2"/>
  <c r="K923" i="2"/>
  <c r="J923" i="2"/>
  <c r="H923" i="2"/>
  <c r="G923" i="2"/>
  <c r="F923" i="2"/>
  <c r="E923" i="2"/>
  <c r="C923" i="2"/>
  <c r="B923" i="2"/>
  <c r="A923" i="2"/>
  <c r="N922" i="2"/>
  <c r="M922" i="2"/>
  <c r="L922" i="2"/>
  <c r="K922" i="2"/>
  <c r="J922" i="2"/>
  <c r="H922" i="2"/>
  <c r="G922" i="2"/>
  <c r="F922" i="2"/>
  <c r="E922" i="2"/>
  <c r="C922" i="2"/>
  <c r="B922" i="2"/>
  <c r="A922" i="2"/>
  <c r="N921" i="2"/>
  <c r="M921" i="2"/>
  <c r="L921" i="2"/>
  <c r="K921" i="2"/>
  <c r="J921" i="2"/>
  <c r="H921" i="2"/>
  <c r="G921" i="2"/>
  <c r="F921" i="2"/>
  <c r="E921" i="2"/>
  <c r="C921" i="2"/>
  <c r="B921" i="2"/>
  <c r="A921" i="2"/>
  <c r="N920" i="2"/>
  <c r="M920" i="2"/>
  <c r="L920" i="2"/>
  <c r="K920" i="2"/>
  <c r="J920" i="2"/>
  <c r="H920" i="2"/>
  <c r="G920" i="2"/>
  <c r="F920" i="2"/>
  <c r="E920" i="2"/>
  <c r="C920" i="2"/>
  <c r="B920" i="2"/>
  <c r="A920" i="2"/>
  <c r="N919" i="2"/>
  <c r="M919" i="2"/>
  <c r="L919" i="2"/>
  <c r="K919" i="2"/>
  <c r="J919" i="2"/>
  <c r="H919" i="2"/>
  <c r="G919" i="2"/>
  <c r="F919" i="2"/>
  <c r="E919" i="2"/>
  <c r="C919" i="2"/>
  <c r="B919" i="2"/>
  <c r="A919" i="2"/>
  <c r="N918" i="2"/>
  <c r="M918" i="2"/>
  <c r="L918" i="2"/>
  <c r="K918" i="2"/>
  <c r="J918" i="2"/>
  <c r="H918" i="2"/>
  <c r="G918" i="2"/>
  <c r="F918" i="2"/>
  <c r="E918" i="2"/>
  <c r="C918" i="2"/>
  <c r="B918" i="2"/>
  <c r="A918" i="2"/>
  <c r="N917" i="2"/>
  <c r="M917" i="2"/>
  <c r="L917" i="2"/>
  <c r="K917" i="2"/>
  <c r="J917" i="2"/>
  <c r="H917" i="2"/>
  <c r="F917" i="2"/>
  <c r="E917" i="2"/>
  <c r="C917" i="2"/>
  <c r="B917" i="2"/>
  <c r="A917" i="2"/>
  <c r="N916" i="2"/>
  <c r="M916" i="2"/>
  <c r="L916" i="2"/>
  <c r="J916" i="2"/>
  <c r="H916" i="2"/>
  <c r="G916" i="2"/>
  <c r="F916" i="2"/>
  <c r="E916" i="2"/>
  <c r="C916" i="2"/>
  <c r="B916" i="2"/>
  <c r="A916" i="2"/>
  <c r="N915" i="2"/>
  <c r="M915" i="2"/>
  <c r="L915" i="2"/>
  <c r="J915" i="2"/>
  <c r="H915" i="2"/>
  <c r="E915" i="2"/>
  <c r="C915" i="2"/>
  <c r="B915" i="2"/>
  <c r="A915" i="2"/>
  <c r="N914" i="2"/>
  <c r="M914" i="2"/>
  <c r="L914" i="2"/>
  <c r="K914" i="2"/>
  <c r="J914" i="2"/>
  <c r="H914" i="2"/>
  <c r="G914" i="2"/>
  <c r="F914" i="2"/>
  <c r="E914" i="2"/>
  <c r="C914" i="2"/>
  <c r="B914" i="2"/>
  <c r="A914" i="2"/>
  <c r="N913" i="2"/>
  <c r="M913" i="2"/>
  <c r="L913" i="2"/>
  <c r="K913" i="2"/>
  <c r="J913" i="2"/>
  <c r="H913" i="2"/>
  <c r="G913" i="2"/>
  <c r="F913" i="2"/>
  <c r="E913" i="2"/>
  <c r="C913" i="2"/>
  <c r="B913" i="2"/>
  <c r="A913" i="2"/>
  <c r="N912" i="2"/>
  <c r="M912" i="2"/>
  <c r="L912" i="2"/>
  <c r="K912" i="2"/>
  <c r="J912" i="2"/>
  <c r="H912" i="2"/>
  <c r="F912" i="2"/>
  <c r="E912" i="2"/>
  <c r="C912" i="2"/>
  <c r="B912" i="2"/>
  <c r="A912" i="2"/>
  <c r="N911" i="2"/>
  <c r="M911" i="2"/>
  <c r="L911" i="2"/>
  <c r="J911" i="2"/>
  <c r="H911" i="2"/>
  <c r="E911" i="2"/>
  <c r="C911" i="2"/>
  <c r="B911" i="2"/>
  <c r="A911" i="2"/>
  <c r="N910" i="2"/>
  <c r="M910" i="2"/>
  <c r="L910" i="2"/>
  <c r="K910" i="2"/>
  <c r="J910" i="2"/>
  <c r="H910" i="2"/>
  <c r="G910" i="2"/>
  <c r="F910" i="2"/>
  <c r="E910" i="2"/>
  <c r="C910" i="2"/>
  <c r="B910" i="2"/>
  <c r="A910" i="2"/>
  <c r="N909" i="2"/>
  <c r="M909" i="2"/>
  <c r="L909" i="2"/>
  <c r="K909" i="2"/>
  <c r="J909" i="2"/>
  <c r="H909" i="2"/>
  <c r="G909" i="2"/>
  <c r="F909" i="2"/>
  <c r="E909" i="2"/>
  <c r="C909" i="2"/>
  <c r="B909" i="2"/>
  <c r="A909" i="2"/>
  <c r="N908" i="2"/>
  <c r="M908" i="2"/>
  <c r="L908" i="2"/>
  <c r="K908" i="2"/>
  <c r="J908" i="2"/>
  <c r="H908" i="2"/>
  <c r="G908" i="2"/>
  <c r="F908" i="2"/>
  <c r="E908" i="2"/>
  <c r="C908" i="2"/>
  <c r="B908" i="2"/>
  <c r="A908" i="2"/>
  <c r="N907" i="2"/>
  <c r="M907" i="2"/>
  <c r="L907" i="2"/>
  <c r="K907" i="2"/>
  <c r="J907" i="2"/>
  <c r="H907" i="2"/>
  <c r="G907" i="2"/>
  <c r="F907" i="2"/>
  <c r="E907" i="2"/>
  <c r="C907" i="2"/>
  <c r="B907" i="2"/>
  <c r="A907" i="2"/>
  <c r="N906" i="2"/>
  <c r="M906" i="2"/>
  <c r="L906" i="2"/>
  <c r="K906" i="2"/>
  <c r="J906" i="2"/>
  <c r="H906" i="2"/>
  <c r="G906" i="2"/>
  <c r="F906" i="2"/>
  <c r="E906" i="2"/>
  <c r="C906" i="2"/>
  <c r="B906" i="2"/>
  <c r="A906" i="2"/>
  <c r="N905" i="2"/>
  <c r="M905" i="2"/>
  <c r="L905" i="2"/>
  <c r="K905" i="2"/>
  <c r="J905" i="2"/>
  <c r="H905" i="2"/>
  <c r="G905" i="2"/>
  <c r="F905" i="2"/>
  <c r="E905" i="2"/>
  <c r="C905" i="2"/>
  <c r="B905" i="2"/>
  <c r="A905" i="2"/>
  <c r="N904" i="2"/>
  <c r="M904" i="2"/>
  <c r="L904" i="2"/>
  <c r="K904" i="2"/>
  <c r="J904" i="2"/>
  <c r="H904" i="2"/>
  <c r="F904" i="2"/>
  <c r="E904" i="2"/>
  <c r="C904" i="2"/>
  <c r="B904" i="2"/>
  <c r="A904" i="2"/>
  <c r="N903" i="2"/>
  <c r="M903" i="2"/>
  <c r="L903" i="2"/>
  <c r="J903" i="2"/>
  <c r="H903" i="2"/>
  <c r="E903" i="2"/>
  <c r="C903" i="2"/>
  <c r="B903" i="2"/>
  <c r="A903" i="2"/>
  <c r="N902" i="2"/>
  <c r="M902" i="2"/>
  <c r="L902" i="2"/>
  <c r="K902" i="2"/>
  <c r="J902" i="2"/>
  <c r="H902" i="2"/>
  <c r="G902" i="2"/>
  <c r="F902" i="2"/>
  <c r="E902" i="2"/>
  <c r="C902" i="2"/>
  <c r="B902" i="2"/>
  <c r="A902" i="2"/>
  <c r="N901" i="2"/>
  <c r="M901" i="2"/>
  <c r="L901" i="2"/>
  <c r="K901" i="2"/>
  <c r="J901" i="2"/>
  <c r="H901" i="2"/>
  <c r="G901" i="2"/>
  <c r="F901" i="2"/>
  <c r="E901" i="2"/>
  <c r="C901" i="2"/>
  <c r="B901" i="2"/>
  <c r="A901" i="2"/>
  <c r="N900" i="2"/>
  <c r="M900" i="2"/>
  <c r="L900" i="2"/>
  <c r="K900" i="2"/>
  <c r="J900" i="2"/>
  <c r="H900" i="2"/>
  <c r="F900" i="2"/>
  <c r="E900" i="2"/>
  <c r="C900" i="2"/>
  <c r="B900" i="2"/>
  <c r="A900" i="2"/>
  <c r="N899" i="2"/>
  <c r="M899" i="2"/>
  <c r="L899" i="2"/>
  <c r="J899" i="2"/>
  <c r="H899" i="2"/>
  <c r="G899" i="2"/>
  <c r="F899" i="2"/>
  <c r="E899" i="2"/>
  <c r="C899" i="2"/>
  <c r="B899" i="2"/>
  <c r="A899" i="2"/>
  <c r="N898" i="2"/>
  <c r="M898" i="2"/>
  <c r="L898" i="2"/>
  <c r="K898" i="2"/>
  <c r="J898" i="2"/>
  <c r="H898" i="2"/>
  <c r="G898" i="2"/>
  <c r="F898" i="2"/>
  <c r="E898" i="2"/>
  <c r="C898" i="2"/>
  <c r="B898" i="2"/>
  <c r="A898" i="2"/>
  <c r="N897" i="2"/>
  <c r="M897" i="2"/>
  <c r="L897" i="2"/>
  <c r="K897" i="2"/>
  <c r="J897" i="2"/>
  <c r="H897" i="2"/>
  <c r="G897" i="2"/>
  <c r="F897" i="2"/>
  <c r="E897" i="2"/>
  <c r="C897" i="2"/>
  <c r="B897" i="2"/>
  <c r="A897" i="2"/>
  <c r="N896" i="2"/>
  <c r="M896" i="2"/>
  <c r="L896" i="2"/>
  <c r="K896" i="2"/>
  <c r="J896" i="2"/>
  <c r="H896" i="2"/>
  <c r="G896" i="2"/>
  <c r="F896" i="2"/>
  <c r="E896" i="2"/>
  <c r="C896" i="2"/>
  <c r="B896" i="2"/>
  <c r="A896" i="2"/>
  <c r="N895" i="2"/>
  <c r="M895" i="2"/>
  <c r="L895" i="2"/>
  <c r="K895" i="2"/>
  <c r="J895" i="2"/>
  <c r="H895" i="2"/>
  <c r="G895" i="2"/>
  <c r="F895" i="2"/>
  <c r="E895" i="2"/>
  <c r="C895" i="2"/>
  <c r="B895" i="2"/>
  <c r="A895" i="2"/>
  <c r="N894" i="2"/>
  <c r="M894" i="2"/>
  <c r="L894" i="2"/>
  <c r="K894" i="2"/>
  <c r="J894" i="2"/>
  <c r="H894" i="2"/>
  <c r="G894" i="2"/>
  <c r="F894" i="2"/>
  <c r="E894" i="2"/>
  <c r="C894" i="2"/>
  <c r="B894" i="2"/>
  <c r="A894" i="2"/>
  <c r="N893" i="2"/>
  <c r="M893" i="2"/>
  <c r="L893" i="2"/>
  <c r="K893" i="2"/>
  <c r="J893" i="2"/>
  <c r="H893" i="2"/>
  <c r="G893" i="2"/>
  <c r="F893" i="2"/>
  <c r="E893" i="2"/>
  <c r="C893" i="2"/>
  <c r="B893" i="2"/>
  <c r="A893" i="2"/>
  <c r="N892" i="2"/>
  <c r="M892" i="2"/>
  <c r="L892" i="2"/>
  <c r="K892" i="2"/>
  <c r="J892" i="2"/>
  <c r="H892" i="2"/>
  <c r="G892" i="2"/>
  <c r="F892" i="2"/>
  <c r="E892" i="2"/>
  <c r="C892" i="2"/>
  <c r="B892" i="2"/>
  <c r="A892" i="2"/>
  <c r="N891" i="2"/>
  <c r="M891" i="2"/>
  <c r="L891" i="2"/>
  <c r="K891" i="2"/>
  <c r="J891" i="2"/>
  <c r="H891" i="2"/>
  <c r="G891" i="2"/>
  <c r="F891" i="2"/>
  <c r="E891" i="2"/>
  <c r="C891" i="2"/>
  <c r="B891" i="2"/>
  <c r="A891" i="2"/>
  <c r="N890" i="2"/>
  <c r="M890" i="2"/>
  <c r="L890" i="2"/>
  <c r="K890" i="2"/>
  <c r="J890" i="2"/>
  <c r="H890" i="2"/>
  <c r="G890" i="2"/>
  <c r="F890" i="2"/>
  <c r="E890" i="2"/>
  <c r="C890" i="2"/>
  <c r="B890" i="2"/>
  <c r="A890" i="2"/>
  <c r="N889" i="2"/>
  <c r="M889" i="2"/>
  <c r="L889" i="2"/>
  <c r="K889" i="2"/>
  <c r="J889" i="2"/>
  <c r="H889" i="2"/>
  <c r="G889" i="2"/>
  <c r="F889" i="2"/>
  <c r="E889" i="2"/>
  <c r="C889" i="2"/>
  <c r="B889" i="2"/>
  <c r="A889" i="2"/>
  <c r="N888" i="2"/>
  <c r="M888" i="2"/>
  <c r="L888" i="2"/>
  <c r="K888" i="2"/>
  <c r="J888" i="2"/>
  <c r="H888" i="2"/>
  <c r="G888" i="2"/>
  <c r="F888" i="2"/>
  <c r="E888" i="2"/>
  <c r="C888" i="2"/>
  <c r="B888" i="2"/>
  <c r="A888" i="2"/>
  <c r="N887" i="2"/>
  <c r="M887" i="2"/>
  <c r="L887" i="2"/>
  <c r="K887" i="2"/>
  <c r="J887" i="2"/>
  <c r="H887" i="2"/>
  <c r="G887" i="2"/>
  <c r="F887" i="2"/>
  <c r="E887" i="2"/>
  <c r="C887" i="2"/>
  <c r="B887" i="2"/>
  <c r="A887" i="2"/>
  <c r="N886" i="2"/>
  <c r="M886" i="2"/>
  <c r="L886" i="2"/>
  <c r="K886" i="2"/>
  <c r="J886" i="2"/>
  <c r="H886" i="2"/>
  <c r="G886" i="2"/>
  <c r="F886" i="2"/>
  <c r="E886" i="2"/>
  <c r="C886" i="2"/>
  <c r="B886" i="2"/>
  <c r="A886" i="2"/>
  <c r="N885" i="2"/>
  <c r="M885" i="2"/>
  <c r="L885" i="2"/>
  <c r="K885" i="2"/>
  <c r="J885" i="2"/>
  <c r="H885" i="2"/>
  <c r="G885" i="2"/>
  <c r="F885" i="2"/>
  <c r="E885" i="2"/>
  <c r="C885" i="2"/>
  <c r="B885" i="2"/>
  <c r="A885" i="2"/>
  <c r="N884" i="2"/>
  <c r="M884" i="2"/>
  <c r="L884" i="2"/>
  <c r="J884" i="2"/>
  <c r="H884" i="2"/>
  <c r="E884" i="2"/>
  <c r="C884" i="2"/>
  <c r="B884" i="2"/>
  <c r="A884" i="2"/>
  <c r="N883" i="2"/>
  <c r="M883" i="2"/>
  <c r="L883" i="2"/>
  <c r="K883" i="2"/>
  <c r="J883" i="2"/>
  <c r="H883" i="2"/>
  <c r="G883" i="2"/>
  <c r="F883" i="2"/>
  <c r="E883" i="2"/>
  <c r="C883" i="2"/>
  <c r="B883" i="2"/>
  <c r="A883" i="2"/>
  <c r="N882" i="2"/>
  <c r="M882" i="2"/>
  <c r="L882" i="2"/>
  <c r="K882" i="2"/>
  <c r="J882" i="2"/>
  <c r="H882" i="2"/>
  <c r="F882" i="2"/>
  <c r="E882" i="2"/>
  <c r="C882" i="2"/>
  <c r="B882" i="2"/>
  <c r="A882" i="2"/>
  <c r="N881" i="2"/>
  <c r="M881" i="2"/>
  <c r="L881" i="2"/>
  <c r="J881" i="2"/>
  <c r="H881" i="2"/>
  <c r="E881" i="2"/>
  <c r="C881" i="2"/>
  <c r="B881" i="2"/>
  <c r="A881" i="2"/>
  <c r="N880" i="2"/>
  <c r="M880" i="2"/>
  <c r="L880" i="2"/>
  <c r="K880" i="2"/>
  <c r="J880" i="2"/>
  <c r="H880" i="2"/>
  <c r="G880" i="2"/>
  <c r="F880" i="2"/>
  <c r="E880" i="2"/>
  <c r="C880" i="2"/>
  <c r="B880" i="2"/>
  <c r="A880" i="2"/>
  <c r="N879" i="2"/>
  <c r="M879" i="2"/>
  <c r="L879" i="2"/>
  <c r="K879" i="2"/>
  <c r="J879" i="2"/>
  <c r="H879" i="2"/>
  <c r="G879" i="2"/>
  <c r="F879" i="2"/>
  <c r="E879" i="2"/>
  <c r="C879" i="2"/>
  <c r="B879" i="2"/>
  <c r="A879" i="2"/>
  <c r="N878" i="2"/>
  <c r="M878" i="2"/>
  <c r="L878" i="2"/>
  <c r="K878" i="2"/>
  <c r="J878" i="2"/>
  <c r="H878" i="2"/>
  <c r="G878" i="2"/>
  <c r="F878" i="2"/>
  <c r="E878" i="2"/>
  <c r="C878" i="2"/>
  <c r="B878" i="2"/>
  <c r="A878" i="2"/>
  <c r="N877" i="2"/>
  <c r="M877" i="2"/>
  <c r="L877" i="2"/>
  <c r="K877" i="2"/>
  <c r="J877" i="2"/>
  <c r="H877" i="2"/>
  <c r="G877" i="2"/>
  <c r="F877" i="2"/>
  <c r="E877" i="2"/>
  <c r="C877" i="2"/>
  <c r="B877" i="2"/>
  <c r="A877" i="2"/>
  <c r="N876" i="2"/>
  <c r="M876" i="2"/>
  <c r="L876" i="2"/>
  <c r="K876" i="2"/>
  <c r="J876" i="2"/>
  <c r="H876" i="2"/>
  <c r="F876" i="2"/>
  <c r="E876" i="2"/>
  <c r="C876" i="2"/>
  <c r="B876" i="2"/>
  <c r="A876" i="2"/>
  <c r="N875" i="2"/>
  <c r="M875" i="2"/>
  <c r="L875" i="2"/>
  <c r="J875" i="2"/>
  <c r="H875" i="2"/>
  <c r="E875" i="2"/>
  <c r="C875" i="2"/>
  <c r="B875" i="2"/>
  <c r="A875" i="2"/>
  <c r="N874" i="2"/>
  <c r="M874" i="2"/>
  <c r="L874" i="2"/>
  <c r="K874" i="2"/>
  <c r="J874" i="2"/>
  <c r="H874" i="2"/>
  <c r="G874" i="2"/>
  <c r="F874" i="2"/>
  <c r="E874" i="2"/>
  <c r="C874" i="2"/>
  <c r="B874" i="2"/>
  <c r="A874" i="2"/>
  <c r="N873" i="2"/>
  <c r="M873" i="2"/>
  <c r="L873" i="2"/>
  <c r="K873" i="2"/>
  <c r="J873" i="2"/>
  <c r="H873" i="2"/>
  <c r="F873" i="2"/>
  <c r="E873" i="2"/>
  <c r="C873" i="2"/>
  <c r="B873" i="2"/>
  <c r="A873" i="2"/>
  <c r="N872" i="2"/>
  <c r="M872" i="2"/>
  <c r="L872" i="2"/>
  <c r="K872" i="2"/>
  <c r="J872" i="2"/>
  <c r="H872" i="2"/>
  <c r="G872" i="2"/>
  <c r="F872" i="2"/>
  <c r="E872" i="2"/>
  <c r="C872" i="2"/>
  <c r="B872" i="2"/>
  <c r="A872" i="2"/>
  <c r="N871" i="2"/>
  <c r="M871" i="2"/>
  <c r="L871" i="2"/>
  <c r="J871" i="2"/>
  <c r="H871" i="2"/>
  <c r="E871" i="2"/>
  <c r="C871" i="2"/>
  <c r="B871" i="2"/>
  <c r="A871" i="2"/>
  <c r="N870" i="2"/>
  <c r="M870" i="2"/>
  <c r="L870" i="2"/>
  <c r="K870" i="2"/>
  <c r="J870" i="2"/>
  <c r="H870" i="2"/>
  <c r="G870" i="2"/>
  <c r="F870" i="2"/>
  <c r="E870" i="2"/>
  <c r="C870" i="2"/>
  <c r="B870" i="2"/>
  <c r="A870" i="2"/>
  <c r="N869" i="2"/>
  <c r="M869" i="2"/>
  <c r="L869" i="2"/>
  <c r="K869" i="2"/>
  <c r="J869" i="2"/>
  <c r="H869" i="2"/>
  <c r="F869" i="2"/>
  <c r="E869" i="2"/>
  <c r="C869" i="2"/>
  <c r="B869" i="2"/>
  <c r="A869" i="2"/>
  <c r="N868" i="2"/>
  <c r="M868" i="2"/>
  <c r="L868" i="2"/>
  <c r="J868" i="2"/>
  <c r="H868" i="2"/>
  <c r="E868" i="2"/>
  <c r="C868" i="2"/>
  <c r="B868" i="2"/>
  <c r="A868" i="2"/>
  <c r="N867" i="2"/>
  <c r="M867" i="2"/>
  <c r="L867" i="2"/>
  <c r="K867" i="2"/>
  <c r="J867" i="2"/>
  <c r="H867" i="2"/>
  <c r="G867" i="2"/>
  <c r="F867" i="2"/>
  <c r="E867" i="2"/>
  <c r="C867" i="2"/>
  <c r="B867" i="2"/>
  <c r="A867" i="2"/>
  <c r="N866" i="2"/>
  <c r="M866" i="2"/>
  <c r="L866" i="2"/>
  <c r="K866" i="2"/>
  <c r="J866" i="2"/>
  <c r="H866" i="2"/>
  <c r="F866" i="2"/>
  <c r="E866" i="2"/>
  <c r="C866" i="2"/>
  <c r="B866" i="2"/>
  <c r="A866" i="2"/>
  <c r="N865" i="2"/>
  <c r="M865" i="2"/>
  <c r="L865" i="2"/>
  <c r="J865" i="2"/>
  <c r="H865" i="2"/>
  <c r="E865" i="2"/>
  <c r="C865" i="2"/>
  <c r="B865" i="2"/>
  <c r="A865" i="2"/>
  <c r="N864" i="2"/>
  <c r="M864" i="2"/>
  <c r="L864" i="2"/>
  <c r="K864" i="2"/>
  <c r="J864" i="2"/>
  <c r="H864" i="2"/>
  <c r="G864" i="2"/>
  <c r="F864" i="2"/>
  <c r="E864" i="2"/>
  <c r="C864" i="2"/>
  <c r="B864" i="2"/>
  <c r="A864" i="2"/>
  <c r="N863" i="2"/>
  <c r="M863" i="2"/>
  <c r="L863" i="2"/>
  <c r="K863" i="2"/>
  <c r="J863" i="2"/>
  <c r="H863" i="2"/>
  <c r="F863" i="2"/>
  <c r="E863" i="2"/>
  <c r="C863" i="2"/>
  <c r="B863" i="2"/>
  <c r="A863" i="2"/>
  <c r="N862" i="2"/>
  <c r="M862" i="2"/>
  <c r="L862" i="2"/>
  <c r="J862" i="2"/>
  <c r="H862" i="2"/>
  <c r="E862" i="2"/>
  <c r="C862" i="2"/>
  <c r="B862" i="2"/>
  <c r="A862" i="2"/>
  <c r="N861" i="2"/>
  <c r="M861" i="2"/>
  <c r="L861" i="2"/>
  <c r="K861" i="2"/>
  <c r="J861" i="2"/>
  <c r="H861" i="2"/>
  <c r="G861" i="2"/>
  <c r="F861" i="2"/>
  <c r="E861" i="2"/>
  <c r="C861" i="2"/>
  <c r="B861" i="2"/>
  <c r="A861" i="2"/>
  <c r="N860" i="2"/>
  <c r="M860" i="2"/>
  <c r="L860" i="2"/>
  <c r="K860" i="2"/>
  <c r="J860" i="2"/>
  <c r="H860" i="2"/>
  <c r="G860" i="2"/>
  <c r="F860" i="2"/>
  <c r="E860" i="2"/>
  <c r="C860" i="2"/>
  <c r="B860" i="2"/>
  <c r="A860" i="2"/>
  <c r="N859" i="2"/>
  <c r="M859" i="2"/>
  <c r="L859" i="2"/>
  <c r="K859" i="2"/>
  <c r="J859" i="2"/>
  <c r="H859" i="2"/>
  <c r="G859" i="2"/>
  <c r="F859" i="2"/>
  <c r="E859" i="2"/>
  <c r="C859" i="2"/>
  <c r="B859" i="2"/>
  <c r="A859" i="2"/>
  <c r="N858" i="2"/>
  <c r="M858" i="2"/>
  <c r="L858" i="2"/>
  <c r="K858" i="2"/>
  <c r="J858" i="2"/>
  <c r="H858" i="2"/>
  <c r="G858" i="2"/>
  <c r="F858" i="2"/>
  <c r="E858" i="2"/>
  <c r="C858" i="2"/>
  <c r="B858" i="2"/>
  <c r="A858" i="2"/>
  <c r="N857" i="2"/>
  <c r="M857" i="2"/>
  <c r="L857" i="2"/>
  <c r="K857" i="2"/>
  <c r="J857" i="2"/>
  <c r="H857" i="2"/>
  <c r="G857" i="2"/>
  <c r="F857" i="2"/>
  <c r="E857" i="2"/>
  <c r="C857" i="2"/>
  <c r="B857" i="2"/>
  <c r="A857" i="2"/>
  <c r="N856" i="2"/>
  <c r="M856" i="2"/>
  <c r="L856" i="2"/>
  <c r="K856" i="2"/>
  <c r="J856" i="2"/>
  <c r="H856" i="2"/>
  <c r="G856" i="2"/>
  <c r="F856" i="2"/>
  <c r="E856" i="2"/>
  <c r="C856" i="2"/>
  <c r="B856" i="2"/>
  <c r="A856" i="2"/>
  <c r="N855" i="2"/>
  <c r="M855" i="2"/>
  <c r="L855" i="2"/>
  <c r="K855" i="2"/>
  <c r="J855" i="2"/>
  <c r="H855" i="2"/>
  <c r="G855" i="2"/>
  <c r="F855" i="2"/>
  <c r="E855" i="2"/>
  <c r="C855" i="2"/>
  <c r="B855" i="2"/>
  <c r="A855" i="2"/>
  <c r="N854" i="2"/>
  <c r="M854" i="2"/>
  <c r="L854" i="2"/>
  <c r="K854" i="2"/>
  <c r="J854" i="2"/>
  <c r="H854" i="2"/>
  <c r="G854" i="2"/>
  <c r="F854" i="2"/>
  <c r="E854" i="2"/>
  <c r="C854" i="2"/>
  <c r="B854" i="2"/>
  <c r="A854" i="2"/>
  <c r="N853" i="2"/>
  <c r="M853" i="2"/>
  <c r="L853" i="2"/>
  <c r="K853" i="2"/>
  <c r="J853" i="2"/>
  <c r="H853" i="2"/>
  <c r="G853" i="2"/>
  <c r="F853" i="2"/>
  <c r="E853" i="2"/>
  <c r="C853" i="2"/>
  <c r="B853" i="2"/>
  <c r="A853" i="2"/>
  <c r="N852" i="2"/>
  <c r="M852" i="2"/>
  <c r="L852" i="2"/>
  <c r="K852" i="2"/>
  <c r="J852" i="2"/>
  <c r="H852" i="2"/>
  <c r="G852" i="2"/>
  <c r="F852" i="2"/>
  <c r="E852" i="2"/>
  <c r="C852" i="2"/>
  <c r="B852" i="2"/>
  <c r="A852" i="2"/>
  <c r="N851" i="2"/>
  <c r="M851" i="2"/>
  <c r="L851" i="2"/>
  <c r="K851" i="2"/>
  <c r="J851" i="2"/>
  <c r="H851" i="2"/>
  <c r="G851" i="2"/>
  <c r="F851" i="2"/>
  <c r="E851" i="2"/>
  <c r="C851" i="2"/>
  <c r="B851" i="2"/>
  <c r="A851" i="2"/>
  <c r="N850" i="2"/>
  <c r="M850" i="2"/>
  <c r="L850" i="2"/>
  <c r="K850" i="2"/>
  <c r="J850" i="2"/>
  <c r="H850" i="2"/>
  <c r="G850" i="2"/>
  <c r="F850" i="2"/>
  <c r="E850" i="2"/>
  <c r="C850" i="2"/>
  <c r="B850" i="2"/>
  <c r="A850" i="2"/>
  <c r="N849" i="2"/>
  <c r="M849" i="2"/>
  <c r="L849" i="2"/>
  <c r="K849" i="2"/>
  <c r="J849" i="2"/>
  <c r="H849" i="2"/>
  <c r="G849" i="2"/>
  <c r="F849" i="2"/>
  <c r="E849" i="2"/>
  <c r="C849" i="2"/>
  <c r="B849" i="2"/>
  <c r="A849" i="2"/>
  <c r="N848" i="2"/>
  <c r="M848" i="2"/>
  <c r="L848" i="2"/>
  <c r="K848" i="2"/>
  <c r="J848" i="2"/>
  <c r="H848" i="2"/>
  <c r="G848" i="2"/>
  <c r="F848" i="2"/>
  <c r="E848" i="2"/>
  <c r="C848" i="2"/>
  <c r="B848" i="2"/>
  <c r="A848" i="2"/>
  <c r="N847" i="2"/>
  <c r="M847" i="2"/>
  <c r="L847" i="2"/>
  <c r="K847" i="2"/>
  <c r="J847" i="2"/>
  <c r="H847" i="2"/>
  <c r="G847" i="2"/>
  <c r="F847" i="2"/>
  <c r="E847" i="2"/>
  <c r="C847" i="2"/>
  <c r="B847" i="2"/>
  <c r="A847" i="2"/>
  <c r="N846" i="2"/>
  <c r="M846" i="2"/>
  <c r="L846" i="2"/>
  <c r="K846" i="2"/>
  <c r="J846" i="2"/>
  <c r="H846" i="2"/>
  <c r="G846" i="2"/>
  <c r="F846" i="2"/>
  <c r="E846" i="2"/>
  <c r="C846" i="2"/>
  <c r="B846" i="2"/>
  <c r="A846" i="2"/>
  <c r="N845" i="2"/>
  <c r="M845" i="2"/>
  <c r="L845" i="2"/>
  <c r="K845" i="2"/>
  <c r="J845" i="2"/>
  <c r="H845" i="2"/>
  <c r="G845" i="2"/>
  <c r="F845" i="2"/>
  <c r="E845" i="2"/>
  <c r="C845" i="2"/>
  <c r="B845" i="2"/>
  <c r="A845" i="2"/>
  <c r="N844" i="2"/>
  <c r="M844" i="2"/>
  <c r="L844" i="2"/>
  <c r="K844" i="2"/>
  <c r="J844" i="2"/>
  <c r="H844" i="2"/>
  <c r="G844" i="2"/>
  <c r="F844" i="2"/>
  <c r="E844" i="2"/>
  <c r="C844" i="2"/>
  <c r="B844" i="2"/>
  <c r="A844" i="2"/>
  <c r="N843" i="2"/>
  <c r="M843" i="2"/>
  <c r="L843" i="2"/>
  <c r="K843" i="2"/>
  <c r="J843" i="2"/>
  <c r="H843" i="2"/>
  <c r="G843" i="2"/>
  <c r="F843" i="2"/>
  <c r="E843" i="2"/>
  <c r="C843" i="2"/>
  <c r="B843" i="2"/>
  <c r="A843" i="2"/>
  <c r="N842" i="2"/>
  <c r="M842" i="2"/>
  <c r="L842" i="2"/>
  <c r="K842" i="2"/>
  <c r="J842" i="2"/>
  <c r="H842" i="2"/>
  <c r="G842" i="2"/>
  <c r="F842" i="2"/>
  <c r="E842" i="2"/>
  <c r="C842" i="2"/>
  <c r="B842" i="2"/>
  <c r="A842" i="2"/>
  <c r="N841" i="2"/>
  <c r="M841" i="2"/>
  <c r="L841" i="2"/>
  <c r="K841" i="2"/>
  <c r="J841" i="2"/>
  <c r="H841" i="2"/>
  <c r="G841" i="2"/>
  <c r="F841" i="2"/>
  <c r="E841" i="2"/>
  <c r="C841" i="2"/>
  <c r="B841" i="2"/>
  <c r="A841" i="2"/>
  <c r="N840" i="2"/>
  <c r="M840" i="2"/>
  <c r="L840" i="2"/>
  <c r="K840" i="2"/>
  <c r="J840" i="2"/>
  <c r="H840" i="2"/>
  <c r="G840" i="2"/>
  <c r="F840" i="2"/>
  <c r="E840" i="2"/>
  <c r="C840" i="2"/>
  <c r="B840" i="2"/>
  <c r="A840" i="2"/>
  <c r="N839" i="2"/>
  <c r="M839" i="2"/>
  <c r="L839" i="2"/>
  <c r="K839" i="2"/>
  <c r="J839" i="2"/>
  <c r="H839" i="2"/>
  <c r="G839" i="2"/>
  <c r="F839" i="2"/>
  <c r="E839" i="2"/>
  <c r="C839" i="2"/>
  <c r="B839" i="2"/>
  <c r="A839" i="2"/>
  <c r="N838" i="2"/>
  <c r="M838" i="2"/>
  <c r="L838" i="2"/>
  <c r="K838" i="2"/>
  <c r="J838" i="2"/>
  <c r="H838" i="2"/>
  <c r="G838" i="2"/>
  <c r="F838" i="2"/>
  <c r="E838" i="2"/>
  <c r="C838" i="2"/>
  <c r="B838" i="2"/>
  <c r="A838" i="2"/>
  <c r="N837" i="2"/>
  <c r="M837" i="2"/>
  <c r="L837" i="2"/>
  <c r="K837" i="2"/>
  <c r="J837" i="2"/>
  <c r="H837" i="2"/>
  <c r="F837" i="2"/>
  <c r="E837" i="2"/>
  <c r="C837" i="2"/>
  <c r="B837" i="2"/>
  <c r="A837" i="2"/>
  <c r="N836" i="2"/>
  <c r="M836" i="2"/>
  <c r="L836" i="2"/>
  <c r="J836" i="2"/>
  <c r="H836" i="2"/>
  <c r="G836" i="2"/>
  <c r="F836" i="2"/>
  <c r="E836" i="2"/>
  <c r="C836" i="2"/>
  <c r="B836" i="2"/>
  <c r="A836" i="2"/>
  <c r="N835" i="2"/>
  <c r="M835" i="2"/>
  <c r="L835" i="2"/>
  <c r="J835" i="2"/>
  <c r="H835" i="2"/>
  <c r="E835" i="2"/>
  <c r="C835" i="2"/>
  <c r="B835" i="2"/>
  <c r="A835" i="2"/>
  <c r="N834" i="2"/>
  <c r="M834" i="2"/>
  <c r="L834" i="2"/>
  <c r="K834" i="2"/>
  <c r="J834" i="2"/>
  <c r="H834" i="2"/>
  <c r="G834" i="2"/>
  <c r="F834" i="2"/>
  <c r="E834" i="2"/>
  <c r="C834" i="2"/>
  <c r="B834" i="2"/>
  <c r="A834" i="2"/>
  <c r="N833" i="2"/>
  <c r="M833" i="2"/>
  <c r="L833" i="2"/>
  <c r="K833" i="2"/>
  <c r="J833" i="2"/>
  <c r="H833" i="2"/>
  <c r="G833" i="2"/>
  <c r="F833" i="2"/>
  <c r="E833" i="2"/>
  <c r="C833" i="2"/>
  <c r="B833" i="2"/>
  <c r="A833" i="2"/>
  <c r="N832" i="2"/>
  <c r="M832" i="2"/>
  <c r="L832" i="2"/>
  <c r="K832" i="2"/>
  <c r="J832" i="2"/>
  <c r="H832" i="2"/>
  <c r="F832" i="2"/>
  <c r="E832" i="2"/>
  <c r="C832" i="2"/>
  <c r="B832" i="2"/>
  <c r="A832" i="2"/>
  <c r="N831" i="2"/>
  <c r="M831" i="2"/>
  <c r="L831" i="2"/>
  <c r="J831" i="2"/>
  <c r="H831" i="2"/>
  <c r="E831" i="2"/>
  <c r="C831" i="2"/>
  <c r="B831" i="2"/>
  <c r="A831" i="2"/>
  <c r="N830" i="2"/>
  <c r="M830" i="2"/>
  <c r="L830" i="2"/>
  <c r="K830" i="2"/>
  <c r="J830" i="2"/>
  <c r="H830" i="2"/>
  <c r="G830" i="2"/>
  <c r="F830" i="2"/>
  <c r="E830" i="2"/>
  <c r="C830" i="2"/>
  <c r="B830" i="2"/>
  <c r="A830" i="2"/>
  <c r="N829" i="2"/>
  <c r="M829" i="2"/>
  <c r="L829" i="2"/>
  <c r="K829" i="2"/>
  <c r="J829" i="2"/>
  <c r="H829" i="2"/>
  <c r="G829" i="2"/>
  <c r="F829" i="2"/>
  <c r="E829" i="2"/>
  <c r="C829" i="2"/>
  <c r="B829" i="2"/>
  <c r="A829" i="2"/>
  <c r="N828" i="2"/>
  <c r="M828" i="2"/>
  <c r="L828" i="2"/>
  <c r="K828" i="2"/>
  <c r="J828" i="2"/>
  <c r="H828" i="2"/>
  <c r="G828" i="2"/>
  <c r="F828" i="2"/>
  <c r="E828" i="2"/>
  <c r="C828" i="2"/>
  <c r="B828" i="2"/>
  <c r="A828" i="2"/>
  <c r="N827" i="2"/>
  <c r="M827" i="2"/>
  <c r="L827" i="2"/>
  <c r="K827" i="2"/>
  <c r="J827" i="2"/>
  <c r="H827" i="2"/>
  <c r="G827" i="2"/>
  <c r="F827" i="2"/>
  <c r="E827" i="2"/>
  <c r="C827" i="2"/>
  <c r="B827" i="2"/>
  <c r="A827" i="2"/>
  <c r="N826" i="2"/>
  <c r="M826" i="2"/>
  <c r="L826" i="2"/>
  <c r="K826" i="2"/>
  <c r="J826" i="2"/>
  <c r="H826" i="2"/>
  <c r="F826" i="2"/>
  <c r="E826" i="2"/>
  <c r="C826" i="2"/>
  <c r="B826" i="2"/>
  <c r="A826" i="2"/>
  <c r="N825" i="2"/>
  <c r="M825" i="2"/>
  <c r="L825" i="2"/>
  <c r="J825" i="2"/>
  <c r="H825" i="2"/>
  <c r="F825" i="2"/>
  <c r="E825" i="2"/>
  <c r="C825" i="2"/>
  <c r="B825" i="2"/>
  <c r="A825" i="2"/>
  <c r="N824" i="2"/>
  <c r="M824" i="2"/>
  <c r="L824" i="2"/>
  <c r="K824" i="2"/>
  <c r="J824" i="2"/>
  <c r="H824" i="2"/>
  <c r="G824" i="2"/>
  <c r="F824" i="2"/>
  <c r="E824" i="2"/>
  <c r="C824" i="2"/>
  <c r="B824" i="2"/>
  <c r="A824" i="2"/>
  <c r="N823" i="2"/>
  <c r="M823" i="2"/>
  <c r="L823" i="2"/>
  <c r="K823" i="2"/>
  <c r="J823" i="2"/>
  <c r="H823" i="2"/>
  <c r="F823" i="2"/>
  <c r="E823" i="2"/>
  <c r="C823" i="2"/>
  <c r="B823" i="2"/>
  <c r="A823" i="2"/>
  <c r="N822" i="2"/>
  <c r="M822" i="2"/>
  <c r="L822" i="2"/>
  <c r="J822" i="2"/>
  <c r="H822" i="2"/>
  <c r="F822" i="2"/>
  <c r="E822" i="2"/>
  <c r="C822" i="2"/>
  <c r="B822" i="2"/>
  <c r="A822" i="2"/>
  <c r="N821" i="2"/>
  <c r="M821" i="2"/>
  <c r="L821" i="2"/>
  <c r="J821" i="2"/>
  <c r="H821" i="2"/>
  <c r="F821" i="2"/>
  <c r="E821" i="2"/>
  <c r="C821" i="2"/>
  <c r="B821" i="2"/>
  <c r="A821" i="2"/>
  <c r="N820" i="2"/>
  <c r="M820" i="2"/>
  <c r="L820" i="2"/>
  <c r="J820" i="2"/>
  <c r="H820" i="2"/>
  <c r="F820" i="2"/>
  <c r="E820" i="2"/>
  <c r="C820" i="2"/>
  <c r="B820" i="2"/>
  <c r="A820" i="2"/>
  <c r="N819" i="2"/>
  <c r="M819" i="2"/>
  <c r="L819" i="2"/>
  <c r="J819" i="2"/>
  <c r="H819" i="2"/>
  <c r="F819" i="2"/>
  <c r="E819" i="2"/>
  <c r="C819" i="2"/>
  <c r="B819" i="2"/>
  <c r="A819" i="2"/>
  <c r="N818" i="2"/>
  <c r="M818" i="2"/>
  <c r="L818" i="2"/>
  <c r="J818" i="2"/>
  <c r="H818" i="2"/>
  <c r="F818" i="2"/>
  <c r="E818" i="2"/>
  <c r="C818" i="2"/>
  <c r="B818" i="2"/>
  <c r="A818" i="2"/>
  <c r="N817" i="2"/>
  <c r="M817" i="2"/>
  <c r="L817" i="2"/>
  <c r="K817" i="2"/>
  <c r="J817" i="2"/>
  <c r="H817" i="2"/>
  <c r="G817" i="2"/>
  <c r="F817" i="2"/>
  <c r="E817" i="2"/>
  <c r="C817" i="2"/>
  <c r="B817" i="2"/>
  <c r="A817" i="2"/>
  <c r="N816" i="2"/>
  <c r="M816" i="2"/>
  <c r="L816" i="2"/>
  <c r="K816" i="2"/>
  <c r="J816" i="2"/>
  <c r="H816" i="2"/>
  <c r="G816" i="2"/>
  <c r="F816" i="2"/>
  <c r="E816" i="2"/>
  <c r="C816" i="2"/>
  <c r="B816" i="2"/>
  <c r="A816" i="2"/>
  <c r="N815" i="2"/>
  <c r="M815" i="2"/>
  <c r="L815" i="2"/>
  <c r="K815" i="2"/>
  <c r="J815" i="2"/>
  <c r="H815" i="2"/>
  <c r="G815" i="2"/>
  <c r="F815" i="2"/>
  <c r="E815" i="2"/>
  <c r="C815" i="2"/>
  <c r="B815" i="2"/>
  <c r="A815" i="2"/>
  <c r="N814" i="2"/>
  <c r="M814" i="2"/>
  <c r="L814" i="2"/>
  <c r="K814" i="2"/>
  <c r="J814" i="2"/>
  <c r="H814" i="2"/>
  <c r="G814" i="2"/>
  <c r="F814" i="2"/>
  <c r="E814" i="2"/>
  <c r="C814" i="2"/>
  <c r="B814" i="2"/>
  <c r="A814" i="2"/>
  <c r="N813" i="2"/>
  <c r="M813" i="2"/>
  <c r="L813" i="2"/>
  <c r="K813" i="2"/>
  <c r="J813" i="2"/>
  <c r="H813" i="2"/>
  <c r="G813" i="2"/>
  <c r="F813" i="2"/>
  <c r="E813" i="2"/>
  <c r="C813" i="2"/>
  <c r="B813" i="2"/>
  <c r="A813" i="2"/>
  <c r="N812" i="2"/>
  <c r="M812" i="2"/>
  <c r="L812" i="2"/>
  <c r="K812" i="2"/>
  <c r="J812" i="2"/>
  <c r="H812" i="2"/>
  <c r="G812" i="2"/>
  <c r="F812" i="2"/>
  <c r="E812" i="2"/>
  <c r="C812" i="2"/>
  <c r="B812" i="2"/>
  <c r="A812" i="2"/>
  <c r="N811" i="2"/>
  <c r="M811" i="2"/>
  <c r="L811" i="2"/>
  <c r="K811" i="2"/>
  <c r="J811" i="2"/>
  <c r="H811" i="2"/>
  <c r="G811" i="2"/>
  <c r="F811" i="2"/>
  <c r="E811" i="2"/>
  <c r="C811" i="2"/>
  <c r="B811" i="2"/>
  <c r="A811" i="2"/>
  <c r="N810" i="2"/>
  <c r="M810" i="2"/>
  <c r="L810" i="2"/>
  <c r="K810" i="2"/>
  <c r="J810" i="2"/>
  <c r="H810" i="2"/>
  <c r="G810" i="2"/>
  <c r="F810" i="2"/>
  <c r="E810" i="2"/>
  <c r="C810" i="2"/>
  <c r="B810" i="2"/>
  <c r="A810" i="2"/>
  <c r="N809" i="2"/>
  <c r="M809" i="2"/>
  <c r="L809" i="2"/>
  <c r="K809" i="2"/>
  <c r="J809" i="2"/>
  <c r="H809" i="2"/>
  <c r="G809" i="2"/>
  <c r="F809" i="2"/>
  <c r="E809" i="2"/>
  <c r="C809" i="2"/>
  <c r="B809" i="2"/>
  <c r="A809" i="2"/>
  <c r="N808" i="2"/>
  <c r="M808" i="2"/>
  <c r="L808" i="2"/>
  <c r="K808" i="2"/>
  <c r="J808" i="2"/>
  <c r="H808" i="2"/>
  <c r="G808" i="2"/>
  <c r="F808" i="2"/>
  <c r="E808" i="2"/>
  <c r="C808" i="2"/>
  <c r="B808" i="2"/>
  <c r="A808" i="2"/>
  <c r="N807" i="2"/>
  <c r="M807" i="2"/>
  <c r="L807" i="2"/>
  <c r="K807" i="2"/>
  <c r="J807" i="2"/>
  <c r="H807" i="2"/>
  <c r="G807" i="2"/>
  <c r="F807" i="2"/>
  <c r="E807" i="2"/>
  <c r="C807" i="2"/>
  <c r="B807" i="2"/>
  <c r="A807" i="2"/>
  <c r="N806" i="2"/>
  <c r="M806" i="2"/>
  <c r="L806" i="2"/>
  <c r="K806" i="2"/>
  <c r="J806" i="2"/>
  <c r="H806" i="2"/>
  <c r="G806" i="2"/>
  <c r="F806" i="2"/>
  <c r="E806" i="2"/>
  <c r="C806" i="2"/>
  <c r="B806" i="2"/>
  <c r="A806" i="2"/>
  <c r="N805" i="2"/>
  <c r="M805" i="2"/>
  <c r="L805" i="2"/>
  <c r="J805" i="2"/>
  <c r="H805" i="2"/>
  <c r="E805" i="2"/>
  <c r="C805" i="2"/>
  <c r="B805" i="2"/>
  <c r="A805" i="2"/>
  <c r="N804" i="2"/>
  <c r="M804" i="2"/>
  <c r="L804" i="2"/>
  <c r="J804" i="2"/>
  <c r="H804" i="2"/>
  <c r="G804" i="2"/>
  <c r="F804" i="2"/>
  <c r="E804" i="2"/>
  <c r="C804" i="2"/>
  <c r="B804" i="2"/>
  <c r="A804" i="2"/>
  <c r="N803" i="2"/>
  <c r="M803" i="2"/>
  <c r="L803" i="2"/>
  <c r="J803" i="2"/>
  <c r="H803" i="2"/>
  <c r="G803" i="2"/>
  <c r="F803" i="2"/>
  <c r="E803" i="2"/>
  <c r="C803" i="2"/>
  <c r="B803" i="2"/>
  <c r="A803" i="2"/>
  <c r="N802" i="2"/>
  <c r="M802" i="2"/>
  <c r="L802" i="2"/>
  <c r="K802" i="2"/>
  <c r="J802" i="2"/>
  <c r="H802" i="2"/>
  <c r="G802" i="2"/>
  <c r="F802" i="2"/>
  <c r="E802" i="2"/>
  <c r="C802" i="2"/>
  <c r="B802" i="2"/>
  <c r="A802" i="2"/>
  <c r="N801" i="2"/>
  <c r="M801" i="2"/>
  <c r="L801" i="2"/>
  <c r="J801" i="2"/>
  <c r="H801" i="2"/>
  <c r="E801" i="2"/>
  <c r="C801" i="2"/>
  <c r="B801" i="2"/>
  <c r="A801" i="2"/>
  <c r="N800" i="2"/>
  <c r="M800" i="2"/>
  <c r="L800" i="2"/>
  <c r="K800" i="2"/>
  <c r="J800" i="2"/>
  <c r="H800" i="2"/>
  <c r="G800" i="2"/>
  <c r="F800" i="2"/>
  <c r="E800" i="2"/>
  <c r="C800" i="2"/>
  <c r="B800" i="2"/>
  <c r="A800" i="2"/>
  <c r="N799" i="2"/>
  <c r="M799" i="2"/>
  <c r="L799" i="2"/>
  <c r="K799" i="2"/>
  <c r="J799" i="2"/>
  <c r="H799" i="2"/>
  <c r="F799" i="2"/>
  <c r="E799" i="2"/>
  <c r="C799" i="2"/>
  <c r="B799" i="2"/>
  <c r="A799" i="2"/>
  <c r="N798" i="2"/>
  <c r="M798" i="2"/>
  <c r="L798" i="2"/>
  <c r="J798" i="2"/>
  <c r="H798" i="2"/>
  <c r="E798" i="2"/>
  <c r="C798" i="2"/>
  <c r="B798" i="2"/>
  <c r="A798" i="2"/>
  <c r="N797" i="2"/>
  <c r="M797" i="2"/>
  <c r="L797" i="2"/>
  <c r="K797" i="2"/>
  <c r="J797" i="2"/>
  <c r="H797" i="2"/>
  <c r="G797" i="2"/>
  <c r="F797" i="2"/>
  <c r="E797" i="2"/>
  <c r="C797" i="2"/>
  <c r="B797" i="2"/>
  <c r="A797" i="2"/>
  <c r="N796" i="2"/>
  <c r="M796" i="2"/>
  <c r="L796" i="2"/>
  <c r="K796" i="2"/>
  <c r="J796" i="2"/>
  <c r="H796" i="2"/>
  <c r="G796" i="2"/>
  <c r="F796" i="2"/>
  <c r="E796" i="2"/>
  <c r="C796" i="2"/>
  <c r="B796" i="2"/>
  <c r="A796" i="2"/>
  <c r="N795" i="2"/>
  <c r="M795" i="2"/>
  <c r="L795" i="2"/>
  <c r="K795" i="2"/>
  <c r="J795" i="2"/>
  <c r="H795" i="2"/>
  <c r="G795" i="2"/>
  <c r="F795" i="2"/>
  <c r="E795" i="2"/>
  <c r="C795" i="2"/>
  <c r="B795" i="2"/>
  <c r="A795" i="2"/>
  <c r="N794" i="2"/>
  <c r="M794" i="2"/>
  <c r="L794" i="2"/>
  <c r="K794" i="2"/>
  <c r="J794" i="2"/>
  <c r="H794" i="2"/>
  <c r="G794" i="2"/>
  <c r="F794" i="2"/>
  <c r="E794" i="2"/>
  <c r="C794" i="2"/>
  <c r="B794" i="2"/>
  <c r="A794" i="2"/>
  <c r="N793" i="2"/>
  <c r="M793" i="2"/>
  <c r="L793" i="2"/>
  <c r="K793" i="2"/>
  <c r="J793" i="2"/>
  <c r="H793" i="2"/>
  <c r="G793" i="2"/>
  <c r="F793" i="2"/>
  <c r="E793" i="2"/>
  <c r="C793" i="2"/>
  <c r="B793" i="2"/>
  <c r="A793" i="2"/>
  <c r="N792" i="2"/>
  <c r="M792" i="2"/>
  <c r="L792" i="2"/>
  <c r="K792" i="2"/>
  <c r="J792" i="2"/>
  <c r="H792" i="2"/>
  <c r="F792" i="2"/>
  <c r="E792" i="2"/>
  <c r="C792" i="2"/>
  <c r="B792" i="2"/>
  <c r="A792" i="2"/>
  <c r="N791" i="2"/>
  <c r="M791" i="2"/>
  <c r="L791" i="2"/>
  <c r="J791" i="2"/>
  <c r="H791" i="2"/>
  <c r="E791" i="2"/>
  <c r="C791" i="2"/>
  <c r="B791" i="2"/>
  <c r="A791" i="2"/>
  <c r="N790" i="2"/>
  <c r="M790" i="2"/>
  <c r="L790" i="2"/>
  <c r="K790" i="2"/>
  <c r="J790" i="2"/>
  <c r="H790" i="2"/>
  <c r="G790" i="2"/>
  <c r="F790" i="2"/>
  <c r="E790" i="2"/>
  <c r="C790" i="2"/>
  <c r="B790" i="2"/>
  <c r="A790" i="2"/>
  <c r="N789" i="2"/>
  <c r="M789" i="2"/>
  <c r="L789" i="2"/>
  <c r="K789" i="2"/>
  <c r="J789" i="2"/>
  <c r="H789" i="2"/>
  <c r="G789" i="2"/>
  <c r="F789" i="2"/>
  <c r="E789" i="2"/>
  <c r="C789" i="2"/>
  <c r="B789" i="2"/>
  <c r="A789" i="2"/>
  <c r="N788" i="2"/>
  <c r="M788" i="2"/>
  <c r="L788" i="2"/>
  <c r="K788" i="2"/>
  <c r="J788" i="2"/>
  <c r="H788" i="2"/>
  <c r="F788" i="2"/>
  <c r="E788" i="2"/>
  <c r="C788" i="2"/>
  <c r="B788" i="2"/>
  <c r="A788" i="2"/>
  <c r="N787" i="2"/>
  <c r="M787" i="2"/>
  <c r="L787" i="2"/>
  <c r="J787" i="2"/>
  <c r="H787" i="2"/>
  <c r="G787" i="2"/>
  <c r="F787" i="2"/>
  <c r="E787" i="2"/>
  <c r="C787" i="2"/>
  <c r="B787" i="2"/>
  <c r="A787" i="2"/>
  <c r="N786" i="2"/>
  <c r="M786" i="2"/>
  <c r="L786" i="2"/>
  <c r="K786" i="2"/>
  <c r="J786" i="2"/>
  <c r="H786" i="2"/>
  <c r="G786" i="2"/>
  <c r="F786" i="2"/>
  <c r="E786" i="2"/>
  <c r="C786" i="2"/>
  <c r="B786" i="2"/>
  <c r="A786" i="2"/>
  <c r="N785" i="2"/>
  <c r="M785" i="2"/>
  <c r="L785" i="2"/>
  <c r="K785" i="2"/>
  <c r="J785" i="2"/>
  <c r="H785" i="2"/>
  <c r="G785" i="2"/>
  <c r="F785" i="2"/>
  <c r="E785" i="2"/>
  <c r="C785" i="2"/>
  <c r="B785" i="2"/>
  <c r="A785" i="2"/>
  <c r="N784" i="2"/>
  <c r="M784" i="2"/>
  <c r="L784" i="2"/>
  <c r="K784" i="2"/>
  <c r="J784" i="2"/>
  <c r="H784" i="2"/>
  <c r="G784" i="2"/>
  <c r="F784" i="2"/>
  <c r="E784" i="2"/>
  <c r="C784" i="2"/>
  <c r="B784" i="2"/>
  <c r="A784" i="2"/>
  <c r="N783" i="2"/>
  <c r="M783" i="2"/>
  <c r="L783" i="2"/>
  <c r="K783" i="2"/>
  <c r="J783" i="2"/>
  <c r="H783" i="2"/>
  <c r="G783" i="2"/>
  <c r="F783" i="2"/>
  <c r="E783" i="2"/>
  <c r="C783" i="2"/>
  <c r="B783" i="2"/>
  <c r="A783" i="2"/>
  <c r="N782" i="2"/>
  <c r="M782" i="2"/>
  <c r="L782" i="2"/>
  <c r="K782" i="2"/>
  <c r="J782" i="2"/>
  <c r="H782" i="2"/>
  <c r="G782" i="2"/>
  <c r="F782" i="2"/>
  <c r="E782" i="2"/>
  <c r="C782" i="2"/>
  <c r="B782" i="2"/>
  <c r="A782" i="2"/>
  <c r="N781" i="2"/>
  <c r="M781" i="2"/>
  <c r="L781" i="2"/>
  <c r="K781" i="2"/>
  <c r="J781" i="2"/>
  <c r="H781" i="2"/>
  <c r="G781" i="2"/>
  <c r="F781" i="2"/>
  <c r="E781" i="2"/>
  <c r="C781" i="2"/>
  <c r="B781" i="2"/>
  <c r="A781" i="2"/>
  <c r="N780" i="2"/>
  <c r="M780" i="2"/>
  <c r="L780" i="2"/>
  <c r="K780" i="2"/>
  <c r="J780" i="2"/>
  <c r="H780" i="2"/>
  <c r="G780" i="2"/>
  <c r="F780" i="2"/>
  <c r="E780" i="2"/>
  <c r="C780" i="2"/>
  <c r="B780" i="2"/>
  <c r="A780" i="2"/>
  <c r="N779" i="2"/>
  <c r="M779" i="2"/>
  <c r="L779" i="2"/>
  <c r="K779" i="2"/>
  <c r="J779" i="2"/>
  <c r="H779" i="2"/>
  <c r="G779" i="2"/>
  <c r="F779" i="2"/>
  <c r="E779" i="2"/>
  <c r="C779" i="2"/>
  <c r="B779" i="2"/>
  <c r="A779" i="2"/>
  <c r="N778" i="2"/>
  <c r="M778" i="2"/>
  <c r="L778" i="2"/>
  <c r="K778" i="2"/>
  <c r="J778" i="2"/>
  <c r="H778" i="2"/>
  <c r="G778" i="2"/>
  <c r="F778" i="2"/>
  <c r="E778" i="2"/>
  <c r="C778" i="2"/>
  <c r="B778" i="2"/>
  <c r="A778" i="2"/>
  <c r="N777" i="2"/>
  <c r="M777" i="2"/>
  <c r="L777" i="2"/>
  <c r="K777" i="2"/>
  <c r="J777" i="2"/>
  <c r="H777" i="2"/>
  <c r="G777" i="2"/>
  <c r="F777" i="2"/>
  <c r="E777" i="2"/>
  <c r="C777" i="2"/>
  <c r="B777" i="2"/>
  <c r="A777" i="2"/>
  <c r="N776" i="2"/>
  <c r="M776" i="2"/>
  <c r="L776" i="2"/>
  <c r="K776" i="2"/>
  <c r="J776" i="2"/>
  <c r="H776" i="2"/>
  <c r="G776" i="2"/>
  <c r="F776" i="2"/>
  <c r="E776" i="2"/>
  <c r="C776" i="2"/>
  <c r="B776" i="2"/>
  <c r="A776" i="2"/>
  <c r="N775" i="2"/>
  <c r="M775" i="2"/>
  <c r="L775" i="2"/>
  <c r="K775" i="2"/>
  <c r="J775" i="2"/>
  <c r="H775" i="2"/>
  <c r="G775" i="2"/>
  <c r="F775" i="2"/>
  <c r="E775" i="2"/>
  <c r="C775" i="2"/>
  <c r="B775" i="2"/>
  <c r="A775" i="2"/>
  <c r="N774" i="2"/>
  <c r="M774" i="2"/>
  <c r="L774" i="2"/>
  <c r="J774" i="2"/>
  <c r="H774" i="2"/>
  <c r="E774" i="2"/>
  <c r="C774" i="2"/>
  <c r="B774" i="2"/>
  <c r="A774" i="2"/>
  <c r="N773" i="2"/>
  <c r="M773" i="2"/>
  <c r="L773" i="2"/>
  <c r="K773" i="2"/>
  <c r="J773" i="2"/>
  <c r="H773" i="2"/>
  <c r="G773" i="2"/>
  <c r="F773" i="2"/>
  <c r="E773" i="2"/>
  <c r="C773" i="2"/>
  <c r="B773" i="2"/>
  <c r="A773" i="2"/>
  <c r="N772" i="2"/>
  <c r="M772" i="2"/>
  <c r="L772" i="2"/>
  <c r="K772" i="2"/>
  <c r="J772" i="2"/>
  <c r="H772" i="2"/>
  <c r="G772" i="2"/>
  <c r="F772" i="2"/>
  <c r="E772" i="2"/>
  <c r="C772" i="2"/>
  <c r="B772" i="2"/>
  <c r="A772" i="2"/>
  <c r="N771" i="2"/>
  <c r="M771" i="2"/>
  <c r="L771" i="2"/>
  <c r="K771" i="2"/>
  <c r="J771" i="2"/>
  <c r="H771" i="2"/>
  <c r="G771" i="2"/>
  <c r="F771" i="2"/>
  <c r="E771" i="2"/>
  <c r="C771" i="2"/>
  <c r="B771" i="2"/>
  <c r="A771" i="2"/>
  <c r="N770" i="2"/>
  <c r="M770" i="2"/>
  <c r="L770" i="2"/>
  <c r="K770" i="2"/>
  <c r="J770" i="2"/>
  <c r="H770" i="2"/>
  <c r="F770" i="2"/>
  <c r="E770" i="2"/>
  <c r="C770" i="2"/>
  <c r="B770" i="2"/>
  <c r="A770" i="2"/>
  <c r="N769" i="2"/>
  <c r="M769" i="2"/>
  <c r="L769" i="2"/>
  <c r="J769" i="2"/>
  <c r="H769" i="2"/>
  <c r="E769" i="2"/>
  <c r="C769" i="2"/>
  <c r="B769" i="2"/>
  <c r="A769" i="2"/>
  <c r="N768" i="2"/>
  <c r="M768" i="2"/>
  <c r="L768" i="2"/>
  <c r="K768" i="2"/>
  <c r="J768" i="2"/>
  <c r="H768" i="2"/>
  <c r="G768" i="2"/>
  <c r="F768" i="2"/>
  <c r="E768" i="2"/>
  <c r="C768" i="2"/>
  <c r="B768" i="2"/>
  <c r="A768" i="2"/>
  <c r="N767" i="2"/>
  <c r="M767" i="2"/>
  <c r="L767" i="2"/>
  <c r="K767" i="2"/>
  <c r="J767" i="2"/>
  <c r="H767" i="2"/>
  <c r="G767" i="2"/>
  <c r="F767" i="2"/>
  <c r="E767" i="2"/>
  <c r="C767" i="2"/>
  <c r="B767" i="2"/>
  <c r="A767" i="2"/>
  <c r="N766" i="2"/>
  <c r="M766" i="2"/>
  <c r="L766" i="2"/>
  <c r="K766" i="2"/>
  <c r="J766" i="2"/>
  <c r="H766" i="2"/>
  <c r="G766" i="2"/>
  <c r="F766" i="2"/>
  <c r="E766" i="2"/>
  <c r="C766" i="2"/>
  <c r="B766" i="2"/>
  <c r="A766" i="2"/>
  <c r="N765" i="2"/>
  <c r="M765" i="2"/>
  <c r="L765" i="2"/>
  <c r="K765" i="2"/>
  <c r="J765" i="2"/>
  <c r="H765" i="2"/>
  <c r="F765" i="2"/>
  <c r="E765" i="2"/>
  <c r="C765" i="2"/>
  <c r="B765" i="2"/>
  <c r="A765" i="2"/>
  <c r="N764" i="2"/>
  <c r="M764" i="2"/>
  <c r="L764" i="2"/>
  <c r="J764" i="2"/>
  <c r="H764" i="2"/>
  <c r="E764" i="2"/>
  <c r="C764" i="2"/>
  <c r="B764" i="2"/>
  <c r="A764" i="2"/>
  <c r="N763" i="2"/>
  <c r="M763" i="2"/>
  <c r="L763" i="2"/>
  <c r="K763" i="2"/>
  <c r="J763" i="2"/>
  <c r="H763" i="2"/>
  <c r="G763" i="2"/>
  <c r="F763" i="2"/>
  <c r="E763" i="2"/>
  <c r="C763" i="2"/>
  <c r="B763" i="2"/>
  <c r="A763" i="2"/>
  <c r="N762" i="2"/>
  <c r="M762" i="2"/>
  <c r="L762" i="2"/>
  <c r="K762" i="2"/>
  <c r="J762" i="2"/>
  <c r="H762" i="2"/>
  <c r="G762" i="2"/>
  <c r="F762" i="2"/>
  <c r="E762" i="2"/>
  <c r="C762" i="2"/>
  <c r="B762" i="2"/>
  <c r="A762" i="2"/>
  <c r="N761" i="2"/>
  <c r="M761" i="2"/>
  <c r="L761" i="2"/>
  <c r="K761" i="2"/>
  <c r="J761" i="2"/>
  <c r="H761" i="2"/>
  <c r="G761" i="2"/>
  <c r="F761" i="2"/>
  <c r="E761" i="2"/>
  <c r="C761" i="2"/>
  <c r="B761" i="2"/>
  <c r="A761" i="2"/>
  <c r="N760" i="2"/>
  <c r="M760" i="2"/>
  <c r="L760" i="2"/>
  <c r="K760" i="2"/>
  <c r="J760" i="2"/>
  <c r="H760" i="2"/>
  <c r="G760" i="2"/>
  <c r="F760" i="2"/>
  <c r="E760" i="2"/>
  <c r="C760" i="2"/>
  <c r="B760" i="2"/>
  <c r="A760" i="2"/>
  <c r="N759" i="2"/>
  <c r="M759" i="2"/>
  <c r="L759" i="2"/>
  <c r="K759" i="2"/>
  <c r="J759" i="2"/>
  <c r="H759" i="2"/>
  <c r="G759" i="2"/>
  <c r="F759" i="2"/>
  <c r="E759" i="2"/>
  <c r="C759" i="2"/>
  <c r="B759" i="2"/>
  <c r="A759" i="2"/>
  <c r="N758" i="2"/>
  <c r="M758" i="2"/>
  <c r="L758" i="2"/>
  <c r="J758" i="2"/>
  <c r="H758" i="2"/>
  <c r="E758" i="2"/>
  <c r="C758" i="2"/>
  <c r="B758" i="2"/>
  <c r="A758" i="2"/>
  <c r="N757" i="2"/>
  <c r="M757" i="2"/>
  <c r="L757" i="2"/>
  <c r="K757" i="2"/>
  <c r="J757" i="2"/>
  <c r="H757" i="2"/>
  <c r="G757" i="2"/>
  <c r="F757" i="2"/>
  <c r="E757" i="2"/>
  <c r="C757" i="2"/>
  <c r="B757" i="2"/>
  <c r="A757" i="2"/>
  <c r="N756" i="2"/>
  <c r="M756" i="2"/>
  <c r="L756" i="2"/>
  <c r="K756" i="2"/>
  <c r="J756" i="2"/>
  <c r="H756" i="2"/>
  <c r="G756" i="2"/>
  <c r="F756" i="2"/>
  <c r="E756" i="2"/>
  <c r="C756" i="2"/>
  <c r="B756" i="2"/>
  <c r="A756" i="2"/>
  <c r="N755" i="2"/>
  <c r="M755" i="2"/>
  <c r="L755" i="2"/>
  <c r="J755" i="2"/>
  <c r="H755" i="2"/>
  <c r="E755" i="2"/>
  <c r="C755" i="2"/>
  <c r="B755" i="2"/>
  <c r="A755" i="2"/>
  <c r="N754" i="2"/>
  <c r="M754" i="2"/>
  <c r="L754" i="2"/>
  <c r="K754" i="2"/>
  <c r="J754" i="2"/>
  <c r="H754" i="2"/>
  <c r="G754" i="2"/>
  <c r="F754" i="2"/>
  <c r="E754" i="2"/>
  <c r="C754" i="2"/>
  <c r="B754" i="2"/>
  <c r="A754" i="2"/>
  <c r="N753" i="2"/>
  <c r="M753" i="2"/>
  <c r="L753" i="2"/>
  <c r="K753" i="2"/>
  <c r="J753" i="2"/>
  <c r="H753" i="2"/>
  <c r="G753" i="2"/>
  <c r="F753" i="2"/>
  <c r="E753" i="2"/>
  <c r="C753" i="2"/>
  <c r="B753" i="2"/>
  <c r="A753" i="2"/>
  <c r="N752" i="2"/>
  <c r="M752" i="2"/>
  <c r="L752" i="2"/>
  <c r="J752" i="2"/>
  <c r="H752" i="2"/>
  <c r="E752" i="2"/>
  <c r="C752" i="2"/>
  <c r="B752" i="2"/>
  <c r="A752" i="2"/>
  <c r="N751" i="2"/>
  <c r="M751" i="2"/>
  <c r="L751" i="2"/>
  <c r="K751" i="2"/>
  <c r="J751" i="2"/>
  <c r="H751" i="2"/>
  <c r="G751" i="2"/>
  <c r="F751" i="2"/>
  <c r="E751" i="2"/>
  <c r="C751" i="2"/>
  <c r="B751" i="2"/>
  <c r="A751" i="2"/>
  <c r="N750" i="2"/>
  <c r="M750" i="2"/>
  <c r="L750" i="2"/>
  <c r="K750" i="2"/>
  <c r="J750" i="2"/>
  <c r="H750" i="2"/>
  <c r="G750" i="2"/>
  <c r="F750" i="2"/>
  <c r="E750" i="2"/>
  <c r="C750" i="2"/>
  <c r="B750" i="2"/>
  <c r="A750" i="2"/>
  <c r="N749" i="2"/>
  <c r="M749" i="2"/>
  <c r="L749" i="2"/>
  <c r="J749" i="2"/>
  <c r="H749" i="2"/>
  <c r="E749" i="2"/>
  <c r="C749" i="2"/>
  <c r="B749" i="2"/>
  <c r="A749" i="2"/>
  <c r="N748" i="2"/>
  <c r="M748" i="2"/>
  <c r="L748" i="2"/>
  <c r="K748" i="2"/>
  <c r="J748" i="2"/>
  <c r="H748" i="2"/>
  <c r="G748" i="2"/>
  <c r="F748" i="2"/>
  <c r="E748" i="2"/>
  <c r="C748" i="2"/>
  <c r="B748" i="2"/>
  <c r="A748" i="2"/>
  <c r="N747" i="2"/>
  <c r="M747" i="2"/>
  <c r="L747" i="2"/>
  <c r="K747" i="2"/>
  <c r="J747" i="2"/>
  <c r="H747" i="2"/>
  <c r="G747" i="2"/>
  <c r="F747" i="2"/>
  <c r="E747" i="2"/>
  <c r="C747" i="2"/>
  <c r="B747" i="2"/>
  <c r="A747" i="2"/>
  <c r="N746" i="2"/>
  <c r="M746" i="2"/>
  <c r="L746" i="2"/>
  <c r="K746" i="2"/>
  <c r="J746" i="2"/>
  <c r="H746" i="2"/>
  <c r="G746" i="2"/>
  <c r="F746" i="2"/>
  <c r="E746" i="2"/>
  <c r="C746" i="2"/>
  <c r="B746" i="2"/>
  <c r="A746" i="2"/>
  <c r="N745" i="2"/>
  <c r="M745" i="2"/>
  <c r="L745" i="2"/>
  <c r="K745" i="2"/>
  <c r="J745" i="2"/>
  <c r="H745" i="2"/>
  <c r="G745" i="2"/>
  <c r="F745" i="2"/>
  <c r="E745" i="2"/>
  <c r="C745" i="2"/>
  <c r="B745" i="2"/>
  <c r="A745" i="2"/>
  <c r="N744" i="2"/>
  <c r="M744" i="2"/>
  <c r="L744" i="2"/>
  <c r="K744" i="2"/>
  <c r="J744" i="2"/>
  <c r="H744" i="2"/>
  <c r="G744" i="2"/>
  <c r="F744" i="2"/>
  <c r="E744" i="2"/>
  <c r="C744" i="2"/>
  <c r="B744" i="2"/>
  <c r="A744" i="2"/>
  <c r="N743" i="2"/>
  <c r="M743" i="2"/>
  <c r="L743" i="2"/>
  <c r="K743" i="2"/>
  <c r="J743" i="2"/>
  <c r="H743" i="2"/>
  <c r="G743" i="2"/>
  <c r="F743" i="2"/>
  <c r="E743" i="2"/>
  <c r="C743" i="2"/>
  <c r="B743" i="2"/>
  <c r="A743" i="2"/>
  <c r="N742" i="2"/>
  <c r="M742" i="2"/>
  <c r="L742" i="2"/>
  <c r="K742" i="2"/>
  <c r="J742" i="2"/>
  <c r="H742" i="2"/>
  <c r="G742" i="2"/>
  <c r="F742" i="2"/>
  <c r="E742" i="2"/>
  <c r="C742" i="2"/>
  <c r="B742" i="2"/>
  <c r="A742" i="2"/>
  <c r="N741" i="2"/>
  <c r="M741" i="2"/>
  <c r="L741" i="2"/>
  <c r="K741" i="2"/>
  <c r="J741" i="2"/>
  <c r="H741" i="2"/>
  <c r="G741" i="2"/>
  <c r="F741" i="2"/>
  <c r="E741" i="2"/>
  <c r="C741" i="2"/>
  <c r="B741" i="2"/>
  <c r="A741" i="2"/>
  <c r="N740" i="2"/>
  <c r="M740" i="2"/>
  <c r="L740" i="2"/>
  <c r="K740" i="2"/>
  <c r="J740" i="2"/>
  <c r="H740" i="2"/>
  <c r="G740" i="2"/>
  <c r="F740" i="2"/>
  <c r="E740" i="2"/>
  <c r="C740" i="2"/>
  <c r="B740" i="2"/>
  <c r="A740" i="2"/>
  <c r="N739" i="2"/>
  <c r="M739" i="2"/>
  <c r="L739" i="2"/>
  <c r="K739" i="2"/>
  <c r="J739" i="2"/>
  <c r="H739" i="2"/>
  <c r="G739" i="2"/>
  <c r="F739" i="2"/>
  <c r="E739" i="2"/>
  <c r="C739" i="2"/>
  <c r="B739" i="2"/>
  <c r="A739" i="2"/>
  <c r="N738" i="2"/>
  <c r="M738" i="2"/>
  <c r="L738" i="2"/>
  <c r="K738" i="2"/>
  <c r="J738" i="2"/>
  <c r="H738" i="2"/>
  <c r="G738" i="2"/>
  <c r="F738" i="2"/>
  <c r="E738" i="2"/>
  <c r="C738" i="2"/>
  <c r="B738" i="2"/>
  <c r="A738" i="2"/>
  <c r="N737" i="2"/>
  <c r="M737" i="2"/>
  <c r="L737" i="2"/>
  <c r="K737" i="2"/>
  <c r="J737" i="2"/>
  <c r="H737" i="2"/>
  <c r="G737" i="2"/>
  <c r="F737" i="2"/>
  <c r="E737" i="2"/>
  <c r="C737" i="2"/>
  <c r="B737" i="2"/>
  <c r="A737" i="2"/>
  <c r="N736" i="2"/>
  <c r="M736" i="2"/>
  <c r="L736" i="2"/>
  <c r="J736" i="2"/>
  <c r="H736" i="2"/>
  <c r="G736" i="2"/>
  <c r="F736" i="2"/>
  <c r="E736" i="2"/>
  <c r="C736" i="2"/>
  <c r="B736" i="2"/>
  <c r="A736" i="2"/>
  <c r="N735" i="2"/>
  <c r="M735" i="2"/>
  <c r="L735" i="2"/>
  <c r="J735" i="2"/>
  <c r="H735" i="2"/>
  <c r="F735" i="2"/>
  <c r="E735" i="2"/>
  <c r="C735" i="2"/>
  <c r="B735" i="2"/>
  <c r="A735" i="2"/>
  <c r="N734" i="2"/>
  <c r="M734" i="2"/>
  <c r="L734" i="2"/>
  <c r="K734" i="2"/>
  <c r="J734" i="2"/>
  <c r="H734" i="2"/>
  <c r="G734" i="2"/>
  <c r="F734" i="2"/>
  <c r="E734" i="2"/>
  <c r="C734" i="2"/>
  <c r="B734" i="2"/>
  <c r="A734" i="2"/>
  <c r="N733" i="2"/>
  <c r="M733" i="2"/>
  <c r="L733" i="2"/>
  <c r="K733" i="2"/>
  <c r="J733" i="2"/>
  <c r="H733" i="2"/>
  <c r="G733" i="2"/>
  <c r="F733" i="2"/>
  <c r="E733" i="2"/>
  <c r="C733" i="2"/>
  <c r="B733" i="2"/>
  <c r="A733" i="2"/>
  <c r="N732" i="2"/>
  <c r="M732" i="2"/>
  <c r="L732" i="2"/>
  <c r="J732" i="2"/>
  <c r="H732" i="2"/>
  <c r="E732" i="2"/>
  <c r="C732" i="2"/>
  <c r="B732" i="2"/>
  <c r="A732" i="2"/>
  <c r="N731" i="2"/>
  <c r="M731" i="2"/>
  <c r="L731" i="2"/>
  <c r="K731" i="2"/>
  <c r="J731" i="2"/>
  <c r="H731" i="2"/>
  <c r="G731" i="2"/>
  <c r="F731" i="2"/>
  <c r="E731" i="2"/>
  <c r="C731" i="2"/>
  <c r="B731" i="2"/>
  <c r="A731" i="2"/>
  <c r="N730" i="2"/>
  <c r="M730" i="2"/>
  <c r="L730" i="2"/>
  <c r="K730" i="2"/>
  <c r="J730" i="2"/>
  <c r="H730" i="2"/>
  <c r="F730" i="2"/>
  <c r="E730" i="2"/>
  <c r="C730" i="2"/>
  <c r="B730" i="2"/>
  <c r="A730" i="2"/>
  <c r="N729" i="2"/>
  <c r="M729" i="2"/>
  <c r="L729" i="2"/>
  <c r="J729" i="2"/>
  <c r="H729" i="2"/>
  <c r="E729" i="2"/>
  <c r="C729" i="2"/>
  <c r="B729" i="2"/>
  <c r="A729" i="2"/>
  <c r="N728" i="2"/>
  <c r="M728" i="2"/>
  <c r="L728" i="2"/>
  <c r="K728" i="2"/>
  <c r="J728" i="2"/>
  <c r="H728" i="2"/>
  <c r="G728" i="2"/>
  <c r="F728" i="2"/>
  <c r="E728" i="2"/>
  <c r="C728" i="2"/>
  <c r="B728" i="2"/>
  <c r="A728" i="2"/>
  <c r="N727" i="2"/>
  <c r="M727" i="2"/>
  <c r="L727" i="2"/>
  <c r="K727" i="2"/>
  <c r="J727" i="2"/>
  <c r="H727" i="2"/>
  <c r="G727" i="2"/>
  <c r="F727" i="2"/>
  <c r="E727" i="2"/>
  <c r="C727" i="2"/>
  <c r="B727" i="2"/>
  <c r="A727" i="2"/>
  <c r="N726" i="2"/>
  <c r="M726" i="2"/>
  <c r="L726" i="2"/>
  <c r="K726" i="2"/>
  <c r="J726" i="2"/>
  <c r="H726" i="2"/>
  <c r="G726" i="2"/>
  <c r="F726" i="2"/>
  <c r="E726" i="2"/>
  <c r="C726" i="2"/>
  <c r="B726" i="2"/>
  <c r="A726" i="2"/>
  <c r="N725" i="2"/>
  <c r="M725" i="2"/>
  <c r="L725" i="2"/>
  <c r="K725" i="2"/>
  <c r="J725" i="2"/>
  <c r="H725" i="2"/>
  <c r="G725" i="2"/>
  <c r="F725" i="2"/>
  <c r="E725" i="2"/>
  <c r="C725" i="2"/>
  <c r="B725" i="2"/>
  <c r="A725" i="2"/>
  <c r="N724" i="2"/>
  <c r="M724" i="2"/>
  <c r="L724" i="2"/>
  <c r="K724" i="2"/>
  <c r="J724" i="2"/>
  <c r="H724" i="2"/>
  <c r="F724" i="2"/>
  <c r="E724" i="2"/>
  <c r="C724" i="2"/>
  <c r="B724" i="2"/>
  <c r="A724" i="2"/>
  <c r="N723" i="2"/>
  <c r="M723" i="2"/>
  <c r="L723" i="2"/>
  <c r="J723" i="2"/>
  <c r="H723" i="2"/>
  <c r="E723" i="2"/>
  <c r="C723" i="2"/>
  <c r="B723" i="2"/>
  <c r="A723" i="2"/>
  <c r="N722" i="2"/>
  <c r="M722" i="2"/>
  <c r="L722" i="2"/>
  <c r="K722" i="2"/>
  <c r="J722" i="2"/>
  <c r="H722" i="2"/>
  <c r="G722" i="2"/>
  <c r="F722" i="2"/>
  <c r="E722" i="2"/>
  <c r="C722" i="2"/>
  <c r="B722" i="2"/>
  <c r="A722" i="2"/>
  <c r="N721" i="2"/>
  <c r="M721" i="2"/>
  <c r="L721" i="2"/>
  <c r="K721" i="2"/>
  <c r="J721" i="2"/>
  <c r="H721" i="2"/>
  <c r="F721" i="2"/>
  <c r="E721" i="2"/>
  <c r="C721" i="2"/>
  <c r="B721" i="2"/>
  <c r="A721" i="2"/>
  <c r="N720" i="2"/>
  <c r="M720" i="2"/>
  <c r="L720" i="2"/>
  <c r="J720" i="2"/>
  <c r="H720" i="2"/>
  <c r="E720" i="2"/>
  <c r="C720" i="2"/>
  <c r="B720" i="2"/>
  <c r="A720" i="2"/>
  <c r="N719" i="2"/>
  <c r="M719" i="2"/>
  <c r="L719" i="2"/>
  <c r="K719" i="2"/>
  <c r="J719" i="2"/>
  <c r="H719" i="2"/>
  <c r="G719" i="2"/>
  <c r="F719" i="2"/>
  <c r="E719" i="2"/>
  <c r="C719" i="2"/>
  <c r="B719" i="2"/>
  <c r="A719" i="2"/>
  <c r="N718" i="2"/>
  <c r="M718" i="2"/>
  <c r="L718" i="2"/>
  <c r="K718" i="2"/>
  <c r="J718" i="2"/>
  <c r="H718" i="2"/>
  <c r="F718" i="2"/>
  <c r="E718" i="2"/>
  <c r="C718" i="2"/>
  <c r="B718" i="2"/>
  <c r="A718" i="2"/>
  <c r="N717" i="2"/>
  <c r="M717" i="2"/>
  <c r="L717" i="2"/>
  <c r="J717" i="2"/>
  <c r="H717" i="2"/>
  <c r="E717" i="2"/>
  <c r="C717" i="2"/>
  <c r="B717" i="2"/>
  <c r="A717" i="2"/>
  <c r="N716" i="2"/>
  <c r="M716" i="2"/>
  <c r="L716" i="2"/>
  <c r="K716" i="2"/>
  <c r="J716" i="2"/>
  <c r="H716" i="2"/>
  <c r="G716" i="2"/>
  <c r="F716" i="2"/>
  <c r="E716" i="2"/>
  <c r="C716" i="2"/>
  <c r="B716" i="2"/>
  <c r="A716" i="2"/>
  <c r="N715" i="2"/>
  <c r="M715" i="2"/>
  <c r="L715" i="2"/>
  <c r="K715" i="2"/>
  <c r="J715" i="2"/>
  <c r="H715" i="2"/>
  <c r="G715" i="2"/>
  <c r="F715" i="2"/>
  <c r="E715" i="2"/>
  <c r="C715" i="2"/>
  <c r="B715" i="2"/>
  <c r="A715" i="2"/>
  <c r="N714" i="2"/>
  <c r="M714" i="2"/>
  <c r="L714" i="2"/>
  <c r="K714" i="2"/>
  <c r="J714" i="2"/>
  <c r="H714" i="2"/>
  <c r="F714" i="2"/>
  <c r="E714" i="2"/>
  <c r="C714" i="2"/>
  <c r="B714" i="2"/>
  <c r="A714" i="2"/>
  <c r="N713" i="2"/>
  <c r="M713" i="2"/>
  <c r="L713" i="2"/>
  <c r="J713" i="2"/>
  <c r="H713" i="2"/>
  <c r="E713" i="2"/>
  <c r="C713" i="2"/>
  <c r="B713" i="2"/>
  <c r="A713" i="2"/>
  <c r="N712" i="2"/>
  <c r="M712" i="2"/>
  <c r="L712" i="2"/>
  <c r="J712" i="2"/>
  <c r="H712" i="2"/>
  <c r="G712" i="2"/>
  <c r="F712" i="2"/>
  <c r="E712" i="2"/>
  <c r="C712" i="2"/>
  <c r="B712" i="2"/>
  <c r="A712" i="2"/>
  <c r="N711" i="2"/>
  <c r="M711" i="2"/>
  <c r="L711" i="2"/>
  <c r="K711" i="2"/>
  <c r="J711" i="2"/>
  <c r="H711" i="2"/>
  <c r="G711" i="2"/>
  <c r="F711" i="2"/>
  <c r="E711" i="2"/>
  <c r="C711" i="2"/>
  <c r="B711" i="2"/>
  <c r="A711" i="2"/>
  <c r="N710" i="2"/>
  <c r="M710" i="2"/>
  <c r="L710" i="2"/>
  <c r="K710" i="2"/>
  <c r="J710" i="2"/>
  <c r="H710" i="2"/>
  <c r="G710" i="2"/>
  <c r="F710" i="2"/>
  <c r="E710" i="2"/>
  <c r="C710" i="2"/>
  <c r="B710" i="2"/>
  <c r="A710" i="2"/>
  <c r="N709" i="2"/>
  <c r="M709" i="2"/>
  <c r="L709" i="2"/>
  <c r="K709" i="2"/>
  <c r="J709" i="2"/>
  <c r="H709" i="2"/>
  <c r="G709" i="2"/>
  <c r="F709" i="2"/>
  <c r="E709" i="2"/>
  <c r="C709" i="2"/>
  <c r="B709" i="2"/>
  <c r="A709" i="2"/>
  <c r="N708" i="2"/>
  <c r="M708" i="2"/>
  <c r="L708" i="2"/>
  <c r="K708" i="2"/>
  <c r="J708" i="2"/>
  <c r="H708" i="2"/>
  <c r="F708" i="2"/>
  <c r="E708" i="2"/>
  <c r="C708" i="2"/>
  <c r="B708" i="2"/>
  <c r="A708" i="2"/>
  <c r="N707" i="2"/>
  <c r="M707" i="2"/>
  <c r="L707" i="2"/>
  <c r="J707" i="2"/>
  <c r="H707" i="2"/>
  <c r="E707" i="2"/>
  <c r="C707" i="2"/>
  <c r="B707" i="2"/>
  <c r="A707" i="2"/>
  <c r="N706" i="2"/>
  <c r="M706" i="2"/>
  <c r="L706" i="2"/>
  <c r="K706" i="2"/>
  <c r="J706" i="2"/>
  <c r="H706" i="2"/>
  <c r="G706" i="2"/>
  <c r="F706" i="2"/>
  <c r="E706" i="2"/>
  <c r="C706" i="2"/>
  <c r="B706" i="2"/>
  <c r="A706" i="2"/>
  <c r="N705" i="2"/>
  <c r="M705" i="2"/>
  <c r="L705" i="2"/>
  <c r="K705" i="2"/>
  <c r="J705" i="2"/>
  <c r="H705" i="2"/>
  <c r="F705" i="2"/>
  <c r="E705" i="2"/>
  <c r="C705" i="2"/>
  <c r="B705" i="2"/>
  <c r="A705" i="2"/>
  <c r="N704" i="2"/>
  <c r="M704" i="2"/>
  <c r="L704" i="2"/>
  <c r="J704" i="2"/>
  <c r="H704" i="2"/>
  <c r="E704" i="2"/>
  <c r="C704" i="2"/>
  <c r="B704" i="2"/>
  <c r="A704" i="2"/>
  <c r="N703" i="2"/>
  <c r="M703" i="2"/>
  <c r="L703" i="2"/>
  <c r="K703" i="2"/>
  <c r="J703" i="2"/>
  <c r="H703" i="2"/>
  <c r="G703" i="2"/>
  <c r="F703" i="2"/>
  <c r="E703" i="2"/>
  <c r="C703" i="2"/>
  <c r="B703" i="2"/>
  <c r="A703" i="2"/>
  <c r="N702" i="2"/>
  <c r="M702" i="2"/>
  <c r="L702" i="2"/>
  <c r="K702" i="2"/>
  <c r="J702" i="2"/>
  <c r="H702" i="2"/>
  <c r="G702" i="2"/>
  <c r="F702" i="2"/>
  <c r="E702" i="2"/>
  <c r="C702" i="2"/>
  <c r="B702" i="2"/>
  <c r="A702" i="2"/>
  <c r="N701" i="2"/>
  <c r="M701" i="2"/>
  <c r="L701" i="2"/>
  <c r="K701" i="2"/>
  <c r="J701" i="2"/>
  <c r="H701" i="2"/>
  <c r="G701" i="2"/>
  <c r="F701" i="2"/>
  <c r="E701" i="2"/>
  <c r="C701" i="2"/>
  <c r="B701" i="2"/>
  <c r="A701" i="2"/>
  <c r="N700" i="2"/>
  <c r="M700" i="2"/>
  <c r="L700" i="2"/>
  <c r="K700" i="2"/>
  <c r="J700" i="2"/>
  <c r="H700" i="2"/>
  <c r="G700" i="2"/>
  <c r="F700" i="2"/>
  <c r="E700" i="2"/>
  <c r="C700" i="2"/>
  <c r="B700" i="2"/>
  <c r="A700" i="2"/>
  <c r="N699" i="2"/>
  <c r="M699" i="2"/>
  <c r="L699" i="2"/>
  <c r="K699" i="2"/>
  <c r="J699" i="2"/>
  <c r="H699" i="2"/>
  <c r="F699" i="2"/>
  <c r="E699" i="2"/>
  <c r="C699" i="2"/>
  <c r="B699" i="2"/>
  <c r="A699" i="2"/>
  <c r="N698" i="2"/>
  <c r="M698" i="2"/>
  <c r="L698" i="2"/>
  <c r="K698" i="2"/>
  <c r="J698" i="2"/>
  <c r="H698" i="2"/>
  <c r="G698" i="2"/>
  <c r="F698" i="2"/>
  <c r="E698" i="2"/>
  <c r="C698" i="2"/>
  <c r="B698" i="2"/>
  <c r="A698" i="2"/>
  <c r="N697" i="2"/>
  <c r="M697" i="2"/>
  <c r="L697" i="2"/>
  <c r="J697" i="2"/>
  <c r="H697" i="2"/>
  <c r="E697" i="2"/>
  <c r="C697" i="2"/>
  <c r="B697" i="2"/>
  <c r="A697" i="2"/>
  <c r="N696" i="2"/>
  <c r="M696" i="2"/>
  <c r="L696" i="2"/>
  <c r="K696" i="2"/>
  <c r="J696" i="2"/>
  <c r="H696" i="2"/>
  <c r="G696" i="2"/>
  <c r="F696" i="2"/>
  <c r="E696" i="2"/>
  <c r="C696" i="2"/>
  <c r="B696" i="2"/>
  <c r="A696" i="2"/>
  <c r="N695" i="2"/>
  <c r="M695" i="2"/>
  <c r="L695" i="2"/>
  <c r="K695" i="2"/>
  <c r="J695" i="2"/>
  <c r="H695" i="2"/>
  <c r="G695" i="2"/>
  <c r="F695" i="2"/>
  <c r="E695" i="2"/>
  <c r="C695" i="2"/>
  <c r="B695" i="2"/>
  <c r="A695" i="2"/>
  <c r="N694" i="2"/>
  <c r="M694" i="2"/>
  <c r="L694" i="2"/>
  <c r="K694" i="2"/>
  <c r="J694" i="2"/>
  <c r="H694" i="2"/>
  <c r="F694" i="2"/>
  <c r="E694" i="2"/>
  <c r="C694" i="2"/>
  <c r="B694" i="2"/>
  <c r="A694" i="2"/>
  <c r="N693" i="2"/>
  <c r="M693" i="2"/>
  <c r="L693" i="2"/>
  <c r="J693" i="2"/>
  <c r="H693" i="2"/>
  <c r="E693" i="2"/>
  <c r="C693" i="2"/>
  <c r="B693" i="2"/>
  <c r="A693" i="2"/>
  <c r="N692" i="2"/>
  <c r="M692" i="2"/>
  <c r="L692" i="2"/>
  <c r="K692" i="2"/>
  <c r="J692" i="2"/>
  <c r="H692" i="2"/>
  <c r="G692" i="2"/>
  <c r="F692" i="2"/>
  <c r="E692" i="2"/>
  <c r="C692" i="2"/>
  <c r="B692" i="2"/>
  <c r="A692" i="2"/>
  <c r="N691" i="2"/>
  <c r="M691" i="2"/>
  <c r="L691" i="2"/>
  <c r="K691" i="2"/>
  <c r="J691" i="2"/>
  <c r="H691" i="2"/>
  <c r="G691" i="2"/>
  <c r="F691" i="2"/>
  <c r="E691" i="2"/>
  <c r="C691" i="2"/>
  <c r="B691" i="2"/>
  <c r="A691" i="2"/>
  <c r="N690" i="2"/>
  <c r="M690" i="2"/>
  <c r="L690" i="2"/>
  <c r="K690" i="2"/>
  <c r="J690" i="2"/>
  <c r="H690" i="2"/>
  <c r="F690" i="2"/>
  <c r="E690" i="2"/>
  <c r="C690" i="2"/>
  <c r="B690" i="2"/>
  <c r="A690" i="2"/>
  <c r="N689" i="2"/>
  <c r="M689" i="2"/>
  <c r="L689" i="2"/>
  <c r="K689" i="2"/>
  <c r="J689" i="2"/>
  <c r="H689" i="2"/>
  <c r="G689" i="2"/>
  <c r="F689" i="2"/>
  <c r="E689" i="2"/>
  <c r="C689" i="2"/>
  <c r="B689" i="2"/>
  <c r="A689" i="2"/>
  <c r="N688" i="2"/>
  <c r="M688" i="2"/>
  <c r="L688" i="2"/>
  <c r="J688" i="2"/>
  <c r="H688" i="2"/>
  <c r="E688" i="2"/>
  <c r="C688" i="2"/>
  <c r="B688" i="2"/>
  <c r="A688" i="2"/>
  <c r="N687" i="2"/>
  <c r="M687" i="2"/>
  <c r="L687" i="2"/>
  <c r="K687" i="2"/>
  <c r="J687" i="2"/>
  <c r="H687" i="2"/>
  <c r="G687" i="2"/>
  <c r="F687" i="2"/>
  <c r="E687" i="2"/>
  <c r="C687" i="2"/>
  <c r="B687" i="2"/>
  <c r="A687" i="2"/>
  <c r="N686" i="2"/>
  <c r="M686" i="2"/>
  <c r="L686" i="2"/>
  <c r="K686" i="2"/>
  <c r="J686" i="2"/>
  <c r="H686" i="2"/>
  <c r="G686" i="2"/>
  <c r="F686" i="2"/>
  <c r="E686" i="2"/>
  <c r="C686" i="2"/>
  <c r="B686" i="2"/>
  <c r="A686" i="2"/>
  <c r="N685" i="2"/>
  <c r="M685" i="2"/>
  <c r="L685" i="2"/>
  <c r="K685" i="2"/>
  <c r="J685" i="2"/>
  <c r="H685" i="2"/>
  <c r="G685" i="2"/>
  <c r="F685" i="2"/>
  <c r="E685" i="2"/>
  <c r="C685" i="2"/>
  <c r="B685" i="2"/>
  <c r="A685" i="2"/>
  <c r="N684" i="2"/>
  <c r="M684" i="2"/>
  <c r="L684" i="2"/>
  <c r="K684" i="2"/>
  <c r="J684" i="2"/>
  <c r="H684" i="2"/>
  <c r="G684" i="2"/>
  <c r="F684" i="2"/>
  <c r="E684" i="2"/>
  <c r="C684" i="2"/>
  <c r="B684" i="2"/>
  <c r="A684" i="2"/>
  <c r="N683" i="2"/>
  <c r="M683" i="2"/>
  <c r="L683" i="2"/>
  <c r="K683" i="2"/>
  <c r="J683" i="2"/>
  <c r="H683" i="2"/>
  <c r="G683" i="2"/>
  <c r="F683" i="2"/>
  <c r="E683" i="2"/>
  <c r="C683" i="2"/>
  <c r="B683" i="2"/>
  <c r="A683" i="2"/>
  <c r="N682" i="2"/>
  <c r="M682" i="2"/>
  <c r="L682" i="2"/>
  <c r="K682" i="2"/>
  <c r="J682" i="2"/>
  <c r="H682" i="2"/>
  <c r="F682" i="2"/>
  <c r="E682" i="2"/>
  <c r="C682" i="2"/>
  <c r="B682" i="2"/>
  <c r="A682" i="2"/>
  <c r="N681" i="2"/>
  <c r="M681" i="2"/>
  <c r="L681" i="2"/>
  <c r="J681" i="2"/>
  <c r="H681" i="2"/>
  <c r="G681" i="2"/>
  <c r="F681" i="2"/>
  <c r="E681" i="2"/>
  <c r="C681" i="2"/>
  <c r="B681" i="2"/>
  <c r="A681" i="2"/>
  <c r="N680" i="2"/>
  <c r="M680" i="2"/>
  <c r="L680" i="2"/>
  <c r="K680" i="2"/>
  <c r="J680" i="2"/>
  <c r="H680" i="2"/>
  <c r="G680" i="2"/>
  <c r="F680" i="2"/>
  <c r="E680" i="2"/>
  <c r="C680" i="2"/>
  <c r="B680" i="2"/>
  <c r="A680" i="2"/>
  <c r="N679" i="2"/>
  <c r="M679" i="2"/>
  <c r="L679" i="2"/>
  <c r="K679" i="2"/>
  <c r="J679" i="2"/>
  <c r="H679" i="2"/>
  <c r="G679" i="2"/>
  <c r="F679" i="2"/>
  <c r="E679" i="2"/>
  <c r="C679" i="2"/>
  <c r="B679" i="2"/>
  <c r="A679" i="2"/>
  <c r="N678" i="2"/>
  <c r="M678" i="2"/>
  <c r="L678" i="2"/>
  <c r="J678" i="2"/>
  <c r="H678" i="2"/>
  <c r="E678" i="2"/>
  <c r="C678" i="2"/>
  <c r="B678" i="2"/>
  <c r="A678" i="2"/>
  <c r="N677" i="2"/>
  <c r="M677" i="2"/>
  <c r="L677" i="2"/>
  <c r="K677" i="2"/>
  <c r="J677" i="2"/>
  <c r="H677" i="2"/>
  <c r="G677" i="2"/>
  <c r="F677" i="2"/>
  <c r="E677" i="2"/>
  <c r="C677" i="2"/>
  <c r="B677" i="2"/>
  <c r="A677" i="2"/>
  <c r="N676" i="2"/>
  <c r="M676" i="2"/>
  <c r="L676" i="2"/>
  <c r="K676" i="2"/>
  <c r="J676" i="2"/>
  <c r="H676" i="2"/>
  <c r="G676" i="2"/>
  <c r="F676" i="2"/>
  <c r="E676" i="2"/>
  <c r="C676" i="2"/>
  <c r="B676" i="2"/>
  <c r="A676" i="2"/>
  <c r="N675" i="2"/>
  <c r="M675" i="2"/>
  <c r="L675" i="2"/>
  <c r="K675" i="2"/>
  <c r="J675" i="2"/>
  <c r="H675" i="2"/>
  <c r="F675" i="2"/>
  <c r="E675" i="2"/>
  <c r="C675" i="2"/>
  <c r="B675" i="2"/>
  <c r="A675" i="2"/>
  <c r="N674" i="2"/>
  <c r="M674" i="2"/>
  <c r="L674" i="2"/>
  <c r="K674" i="2"/>
  <c r="J674" i="2"/>
  <c r="H674" i="2"/>
  <c r="G674" i="2"/>
  <c r="F674" i="2"/>
  <c r="E674" i="2"/>
  <c r="C674" i="2"/>
  <c r="B674" i="2"/>
  <c r="A674" i="2"/>
  <c r="N673" i="2"/>
  <c r="M673" i="2"/>
  <c r="L673" i="2"/>
  <c r="K673" i="2"/>
  <c r="J673" i="2"/>
  <c r="H673" i="2"/>
  <c r="G673" i="2"/>
  <c r="F673" i="2"/>
  <c r="E673" i="2"/>
  <c r="C673" i="2"/>
  <c r="B673" i="2"/>
  <c r="A673" i="2"/>
  <c r="N672" i="2"/>
  <c r="M672" i="2"/>
  <c r="L672" i="2"/>
  <c r="J672" i="2"/>
  <c r="H672" i="2"/>
  <c r="E672" i="2"/>
  <c r="C672" i="2"/>
  <c r="B672" i="2"/>
  <c r="A672" i="2"/>
  <c r="N671" i="2"/>
  <c r="M671" i="2"/>
  <c r="L671" i="2"/>
  <c r="K671" i="2"/>
  <c r="J671" i="2"/>
  <c r="H671" i="2"/>
  <c r="G671" i="2"/>
  <c r="F671" i="2"/>
  <c r="E671" i="2"/>
  <c r="C671" i="2"/>
  <c r="B671" i="2"/>
  <c r="A671" i="2"/>
  <c r="N670" i="2"/>
  <c r="M670" i="2"/>
  <c r="L670" i="2"/>
  <c r="K670" i="2"/>
  <c r="J670" i="2"/>
  <c r="H670" i="2"/>
  <c r="G670" i="2"/>
  <c r="F670" i="2"/>
  <c r="E670" i="2"/>
  <c r="C670" i="2"/>
  <c r="B670" i="2"/>
  <c r="A670" i="2"/>
  <c r="N669" i="2"/>
  <c r="M669" i="2"/>
  <c r="L669" i="2"/>
  <c r="K669" i="2"/>
  <c r="J669" i="2"/>
  <c r="H669" i="2"/>
  <c r="G669" i="2"/>
  <c r="F669" i="2"/>
  <c r="E669" i="2"/>
  <c r="C669" i="2"/>
  <c r="B669" i="2"/>
  <c r="A669" i="2"/>
  <c r="N668" i="2"/>
  <c r="M668" i="2"/>
  <c r="L668" i="2"/>
  <c r="K668" i="2"/>
  <c r="J668" i="2"/>
  <c r="H668" i="2"/>
  <c r="F668" i="2"/>
  <c r="E668" i="2"/>
  <c r="C668" i="2"/>
  <c r="B668" i="2"/>
  <c r="A668" i="2"/>
  <c r="N667" i="2"/>
  <c r="M667" i="2"/>
  <c r="L667" i="2"/>
  <c r="K667" i="2"/>
  <c r="J667" i="2"/>
  <c r="H667" i="2"/>
  <c r="G667" i="2"/>
  <c r="F667" i="2"/>
  <c r="E667" i="2"/>
  <c r="C667" i="2"/>
  <c r="B667" i="2"/>
  <c r="A667" i="2"/>
  <c r="N666" i="2"/>
  <c r="M666" i="2"/>
  <c r="L666" i="2"/>
  <c r="K666" i="2"/>
  <c r="J666" i="2"/>
  <c r="H666" i="2"/>
  <c r="G666" i="2"/>
  <c r="F666" i="2"/>
  <c r="E666" i="2"/>
  <c r="C666" i="2"/>
  <c r="B666" i="2"/>
  <c r="A666" i="2"/>
  <c r="N665" i="2"/>
  <c r="M665" i="2"/>
  <c r="L665" i="2"/>
  <c r="K665" i="2"/>
  <c r="J665" i="2"/>
  <c r="H665" i="2"/>
  <c r="G665" i="2"/>
  <c r="F665" i="2"/>
  <c r="E665" i="2"/>
  <c r="C665" i="2"/>
  <c r="B665" i="2"/>
  <c r="A665" i="2"/>
  <c r="N664" i="2"/>
  <c r="M664" i="2"/>
  <c r="L664" i="2"/>
  <c r="K664" i="2"/>
  <c r="J664" i="2"/>
  <c r="H664" i="2"/>
  <c r="G664" i="2"/>
  <c r="F664" i="2"/>
  <c r="E664" i="2"/>
  <c r="C664" i="2"/>
  <c r="B664" i="2"/>
  <c r="A664" i="2"/>
  <c r="N663" i="2"/>
  <c r="M663" i="2"/>
  <c r="L663" i="2"/>
  <c r="K663" i="2"/>
  <c r="J663" i="2"/>
  <c r="H663" i="2"/>
  <c r="G663" i="2"/>
  <c r="F663" i="2"/>
  <c r="E663" i="2"/>
  <c r="C663" i="2"/>
  <c r="B663" i="2"/>
  <c r="A663" i="2"/>
  <c r="N662" i="2"/>
  <c r="M662" i="2"/>
  <c r="L662" i="2"/>
  <c r="K662" i="2"/>
  <c r="J662" i="2"/>
  <c r="H662" i="2"/>
  <c r="G662" i="2"/>
  <c r="F662" i="2"/>
  <c r="E662" i="2"/>
  <c r="C662" i="2"/>
  <c r="B662" i="2"/>
  <c r="A662" i="2"/>
  <c r="N661" i="2"/>
  <c r="M661" i="2"/>
  <c r="L661" i="2"/>
  <c r="K661" i="2"/>
  <c r="J661" i="2"/>
  <c r="H661" i="2"/>
  <c r="G661" i="2"/>
  <c r="F661" i="2"/>
  <c r="E661" i="2"/>
  <c r="C661" i="2"/>
  <c r="B661" i="2"/>
  <c r="A661" i="2"/>
  <c r="N660" i="2"/>
  <c r="M660" i="2"/>
  <c r="L660" i="2"/>
  <c r="J660" i="2"/>
  <c r="H660" i="2"/>
  <c r="E660" i="2"/>
  <c r="C660" i="2"/>
  <c r="B660" i="2"/>
  <c r="A660" i="2"/>
  <c r="N659" i="2"/>
  <c r="M659" i="2"/>
  <c r="L659" i="2"/>
  <c r="K659" i="2"/>
  <c r="J659" i="2"/>
  <c r="H659" i="2"/>
  <c r="G659" i="2"/>
  <c r="F659" i="2"/>
  <c r="E659" i="2"/>
  <c r="C659" i="2"/>
  <c r="B659" i="2"/>
  <c r="A659" i="2"/>
  <c r="N658" i="2"/>
  <c r="M658" i="2"/>
  <c r="L658" i="2"/>
  <c r="K658" i="2"/>
  <c r="J658" i="2"/>
  <c r="H658" i="2"/>
  <c r="G658" i="2"/>
  <c r="F658" i="2"/>
  <c r="E658" i="2"/>
  <c r="C658" i="2"/>
  <c r="B658" i="2"/>
  <c r="A658" i="2"/>
  <c r="N657" i="2"/>
  <c r="M657" i="2"/>
  <c r="L657" i="2"/>
  <c r="K657" i="2"/>
  <c r="J657" i="2"/>
  <c r="H657" i="2"/>
  <c r="G657" i="2"/>
  <c r="F657" i="2"/>
  <c r="E657" i="2"/>
  <c r="C657" i="2"/>
  <c r="B657" i="2"/>
  <c r="A657" i="2"/>
  <c r="N656" i="2"/>
  <c r="M656" i="2"/>
  <c r="L656" i="2"/>
  <c r="K656" i="2"/>
  <c r="J656" i="2"/>
  <c r="H656" i="2"/>
  <c r="F656" i="2"/>
  <c r="E656" i="2"/>
  <c r="C656" i="2"/>
  <c r="B656" i="2"/>
  <c r="A656" i="2"/>
  <c r="N655" i="2"/>
  <c r="M655" i="2"/>
  <c r="L655" i="2"/>
  <c r="J655" i="2"/>
  <c r="H655" i="2"/>
  <c r="E655" i="2"/>
  <c r="C655" i="2"/>
  <c r="B655" i="2"/>
  <c r="A655" i="2"/>
  <c r="N654" i="2"/>
  <c r="M654" i="2"/>
  <c r="L654" i="2"/>
  <c r="K654" i="2"/>
  <c r="J654" i="2"/>
  <c r="H654" i="2"/>
  <c r="G654" i="2"/>
  <c r="F654" i="2"/>
  <c r="E654" i="2"/>
  <c r="C654" i="2"/>
  <c r="B654" i="2"/>
  <c r="A654" i="2"/>
  <c r="N653" i="2"/>
  <c r="M653" i="2"/>
  <c r="L653" i="2"/>
  <c r="K653" i="2"/>
  <c r="J653" i="2"/>
  <c r="H653" i="2"/>
  <c r="G653" i="2"/>
  <c r="F653" i="2"/>
  <c r="E653" i="2"/>
  <c r="C653" i="2"/>
  <c r="B653" i="2"/>
  <c r="A653" i="2"/>
  <c r="N652" i="2"/>
  <c r="M652" i="2"/>
  <c r="L652" i="2"/>
  <c r="K652" i="2"/>
  <c r="J652" i="2"/>
  <c r="H652" i="2"/>
  <c r="G652" i="2"/>
  <c r="F652" i="2"/>
  <c r="E652" i="2"/>
  <c r="C652" i="2"/>
  <c r="B652" i="2"/>
  <c r="A652" i="2"/>
  <c r="N651" i="2"/>
  <c r="M651" i="2"/>
  <c r="L651" i="2"/>
  <c r="K651" i="2"/>
  <c r="J651" i="2"/>
  <c r="H651" i="2"/>
  <c r="F651" i="2"/>
  <c r="E651" i="2"/>
  <c r="C651" i="2"/>
  <c r="B651" i="2"/>
  <c r="A651" i="2"/>
  <c r="N650" i="2"/>
  <c r="M650" i="2"/>
  <c r="L650" i="2"/>
  <c r="J650" i="2"/>
  <c r="H650" i="2"/>
  <c r="E650" i="2"/>
  <c r="C650" i="2"/>
  <c r="B650" i="2"/>
  <c r="A650" i="2"/>
  <c r="N649" i="2"/>
  <c r="M649" i="2"/>
  <c r="L649" i="2"/>
  <c r="J649" i="2"/>
  <c r="H649" i="2"/>
  <c r="G649" i="2"/>
  <c r="F649" i="2"/>
  <c r="E649" i="2"/>
  <c r="C649" i="2"/>
  <c r="B649" i="2"/>
  <c r="A649" i="2"/>
  <c r="N648" i="2"/>
  <c r="M648" i="2"/>
  <c r="L648" i="2"/>
  <c r="K648" i="2"/>
  <c r="J648" i="2"/>
  <c r="H648" i="2"/>
  <c r="G648" i="2"/>
  <c r="F648" i="2"/>
  <c r="E648" i="2"/>
  <c r="C648" i="2"/>
  <c r="B648" i="2"/>
  <c r="A648" i="2"/>
  <c r="N647" i="2"/>
  <c r="M647" i="2"/>
  <c r="L647" i="2"/>
  <c r="K647" i="2"/>
  <c r="J647" i="2"/>
  <c r="H647" i="2"/>
  <c r="G647" i="2"/>
  <c r="F647" i="2"/>
  <c r="E647" i="2"/>
  <c r="C647" i="2"/>
  <c r="B647" i="2"/>
  <c r="A647" i="2"/>
  <c r="N646" i="2"/>
  <c r="M646" i="2"/>
  <c r="L646" i="2"/>
  <c r="K646" i="2"/>
  <c r="J646" i="2"/>
  <c r="H646" i="2"/>
  <c r="G646" i="2"/>
  <c r="F646" i="2"/>
  <c r="E646" i="2"/>
  <c r="C646" i="2"/>
  <c r="B646" i="2"/>
  <c r="A646" i="2"/>
  <c r="N645" i="2"/>
  <c r="M645" i="2"/>
  <c r="L645" i="2"/>
  <c r="K645" i="2"/>
  <c r="J645" i="2"/>
  <c r="H645" i="2"/>
  <c r="G645" i="2"/>
  <c r="F645" i="2"/>
  <c r="E645" i="2"/>
  <c r="C645" i="2"/>
  <c r="B645" i="2"/>
  <c r="A645" i="2"/>
  <c r="N644" i="2"/>
  <c r="M644" i="2"/>
  <c r="L644" i="2"/>
  <c r="K644" i="2"/>
  <c r="J644" i="2"/>
  <c r="H644" i="2"/>
  <c r="G644" i="2"/>
  <c r="F644" i="2"/>
  <c r="E644" i="2"/>
  <c r="C644" i="2"/>
  <c r="B644" i="2"/>
  <c r="A644" i="2"/>
  <c r="N643" i="2"/>
  <c r="M643" i="2"/>
  <c r="L643" i="2"/>
  <c r="K643" i="2"/>
  <c r="J643" i="2"/>
  <c r="H643" i="2"/>
  <c r="G643" i="2"/>
  <c r="F643" i="2"/>
  <c r="E643" i="2"/>
  <c r="C643" i="2"/>
  <c r="B643" i="2"/>
  <c r="A643" i="2"/>
  <c r="N642" i="2"/>
  <c r="M642" i="2"/>
  <c r="L642" i="2"/>
  <c r="K642" i="2"/>
  <c r="J642" i="2"/>
  <c r="H642" i="2"/>
  <c r="G642" i="2"/>
  <c r="F642" i="2"/>
  <c r="E642" i="2"/>
  <c r="C642" i="2"/>
  <c r="B642" i="2"/>
  <c r="A642" i="2"/>
  <c r="N641" i="2"/>
  <c r="M641" i="2"/>
  <c r="L641" i="2"/>
  <c r="K641" i="2"/>
  <c r="J641" i="2"/>
  <c r="H641" i="2"/>
  <c r="F641" i="2"/>
  <c r="E641" i="2"/>
  <c r="C641" i="2"/>
  <c r="B641" i="2"/>
  <c r="A641" i="2"/>
  <c r="N640" i="2"/>
  <c r="M640" i="2"/>
  <c r="L640" i="2"/>
  <c r="K640" i="2"/>
  <c r="J640" i="2"/>
  <c r="H640" i="2"/>
  <c r="G640" i="2"/>
  <c r="F640" i="2"/>
  <c r="E640" i="2"/>
  <c r="C640" i="2"/>
  <c r="B640" i="2"/>
  <c r="A640" i="2"/>
  <c r="N639" i="2"/>
  <c r="M639" i="2"/>
  <c r="L639" i="2"/>
  <c r="K639" i="2"/>
  <c r="J639" i="2"/>
  <c r="H639" i="2"/>
  <c r="G639" i="2"/>
  <c r="F639" i="2"/>
  <c r="E639" i="2"/>
  <c r="C639" i="2"/>
  <c r="B639" i="2"/>
  <c r="A639" i="2"/>
  <c r="N638" i="2"/>
  <c r="M638" i="2"/>
  <c r="L638" i="2"/>
  <c r="K638" i="2"/>
  <c r="J638" i="2"/>
  <c r="H638" i="2"/>
  <c r="G638" i="2"/>
  <c r="F638" i="2"/>
  <c r="E638" i="2"/>
  <c r="C638" i="2"/>
  <c r="B638" i="2"/>
  <c r="A638" i="2"/>
  <c r="N637" i="2"/>
  <c r="M637" i="2"/>
  <c r="L637" i="2"/>
  <c r="K637" i="2"/>
  <c r="J637" i="2"/>
  <c r="H637" i="2"/>
  <c r="G637" i="2"/>
  <c r="F637" i="2"/>
  <c r="E637" i="2"/>
  <c r="C637" i="2"/>
  <c r="B637" i="2"/>
  <c r="A637" i="2"/>
  <c r="N636" i="2"/>
  <c r="M636" i="2"/>
  <c r="L636" i="2"/>
  <c r="K636" i="2"/>
  <c r="J636" i="2"/>
  <c r="H636" i="2"/>
  <c r="G636" i="2"/>
  <c r="F636" i="2"/>
  <c r="E636" i="2"/>
  <c r="C636" i="2"/>
  <c r="B636" i="2"/>
  <c r="A636" i="2"/>
  <c r="N635" i="2"/>
  <c r="M635" i="2"/>
  <c r="L635" i="2"/>
  <c r="K635" i="2"/>
  <c r="J635" i="2"/>
  <c r="H635" i="2"/>
  <c r="G635" i="2"/>
  <c r="F635" i="2"/>
  <c r="E635" i="2"/>
  <c r="C635" i="2"/>
  <c r="B635" i="2"/>
  <c r="A635" i="2"/>
  <c r="N634" i="2"/>
  <c r="M634" i="2"/>
  <c r="L634" i="2"/>
  <c r="K634" i="2"/>
  <c r="J634" i="2"/>
  <c r="H634" i="2"/>
  <c r="G634" i="2"/>
  <c r="F634" i="2"/>
  <c r="E634" i="2"/>
  <c r="C634" i="2"/>
  <c r="B634" i="2"/>
  <c r="A634" i="2"/>
  <c r="N633" i="2"/>
  <c r="M633" i="2"/>
  <c r="L633" i="2"/>
  <c r="K633" i="2"/>
  <c r="J633" i="2"/>
  <c r="H633" i="2"/>
  <c r="G633" i="2"/>
  <c r="F633" i="2"/>
  <c r="E633" i="2"/>
  <c r="C633" i="2"/>
  <c r="B633" i="2"/>
  <c r="A633" i="2"/>
  <c r="N632" i="2"/>
  <c r="M632" i="2"/>
  <c r="L632" i="2"/>
  <c r="K632" i="2"/>
  <c r="J632" i="2"/>
  <c r="H632" i="2"/>
  <c r="G632" i="2"/>
  <c r="F632" i="2"/>
  <c r="E632" i="2"/>
  <c r="C632" i="2"/>
  <c r="B632" i="2"/>
  <c r="A632" i="2"/>
  <c r="N631" i="2"/>
  <c r="M631" i="2"/>
  <c r="L631" i="2"/>
  <c r="K631" i="2"/>
  <c r="J631" i="2"/>
  <c r="H631" i="2"/>
  <c r="G631" i="2"/>
  <c r="F631" i="2"/>
  <c r="E631" i="2"/>
  <c r="C631" i="2"/>
  <c r="B631" i="2"/>
  <c r="A631" i="2"/>
  <c r="N630" i="2"/>
  <c r="M630" i="2"/>
  <c r="L630" i="2"/>
  <c r="K630" i="2"/>
  <c r="J630" i="2"/>
  <c r="H630" i="2"/>
  <c r="G630" i="2"/>
  <c r="F630" i="2"/>
  <c r="E630" i="2"/>
  <c r="C630" i="2"/>
  <c r="B630" i="2"/>
  <c r="A630" i="2"/>
  <c r="N629" i="2"/>
  <c r="M629" i="2"/>
  <c r="L629" i="2"/>
  <c r="K629" i="2"/>
  <c r="J629" i="2"/>
  <c r="H629" i="2"/>
  <c r="G629" i="2"/>
  <c r="F629" i="2"/>
  <c r="E629" i="2"/>
  <c r="C629" i="2"/>
  <c r="B629" i="2"/>
  <c r="A629" i="2"/>
  <c r="N628" i="2"/>
  <c r="M628" i="2"/>
  <c r="L628" i="2"/>
  <c r="K628" i="2"/>
  <c r="J628" i="2"/>
  <c r="H628" i="2"/>
  <c r="G628" i="2"/>
  <c r="F628" i="2"/>
  <c r="E628" i="2"/>
  <c r="C628" i="2"/>
  <c r="B628" i="2"/>
  <c r="A628" i="2"/>
  <c r="N627" i="2"/>
  <c r="M627" i="2"/>
  <c r="L627" i="2"/>
  <c r="K627" i="2"/>
  <c r="J627" i="2"/>
  <c r="H627" i="2"/>
  <c r="G627" i="2"/>
  <c r="F627" i="2"/>
  <c r="E627" i="2"/>
  <c r="C627" i="2"/>
  <c r="B627" i="2"/>
  <c r="A627" i="2"/>
  <c r="N626" i="2"/>
  <c r="M626" i="2"/>
  <c r="L626" i="2"/>
  <c r="K626" i="2"/>
  <c r="J626" i="2"/>
  <c r="H626" i="2"/>
  <c r="G626" i="2"/>
  <c r="F626" i="2"/>
  <c r="E626" i="2"/>
  <c r="C626" i="2"/>
  <c r="B626" i="2"/>
  <c r="A626" i="2"/>
  <c r="N625" i="2"/>
  <c r="M625" i="2"/>
  <c r="L625" i="2"/>
  <c r="K625" i="2"/>
  <c r="J625" i="2"/>
  <c r="H625" i="2"/>
  <c r="G625" i="2"/>
  <c r="F625" i="2"/>
  <c r="E625" i="2"/>
  <c r="C625" i="2"/>
  <c r="B625" i="2"/>
  <c r="A625" i="2"/>
  <c r="N624" i="2"/>
  <c r="M624" i="2"/>
  <c r="L624" i="2"/>
  <c r="K624" i="2"/>
  <c r="J624" i="2"/>
  <c r="H624" i="2"/>
  <c r="G624" i="2"/>
  <c r="F624" i="2"/>
  <c r="E624" i="2"/>
  <c r="C624" i="2"/>
  <c r="B624" i="2"/>
  <c r="A624" i="2"/>
  <c r="N623" i="2"/>
  <c r="M623" i="2"/>
  <c r="L623" i="2"/>
  <c r="K623" i="2"/>
  <c r="J623" i="2"/>
  <c r="H623" i="2"/>
  <c r="G623" i="2"/>
  <c r="F623" i="2"/>
  <c r="E623" i="2"/>
  <c r="C623" i="2"/>
  <c r="B623" i="2"/>
  <c r="A623" i="2"/>
  <c r="N622" i="2"/>
  <c r="M622" i="2"/>
  <c r="L622" i="2"/>
  <c r="K622" i="2"/>
  <c r="J622" i="2"/>
  <c r="H622" i="2"/>
  <c r="G622" i="2"/>
  <c r="F622" i="2"/>
  <c r="E622" i="2"/>
  <c r="C622" i="2"/>
  <c r="B622" i="2"/>
  <c r="A622" i="2"/>
  <c r="N621" i="2"/>
  <c r="M621" i="2"/>
  <c r="L621" i="2"/>
  <c r="J621" i="2"/>
  <c r="H621" i="2"/>
  <c r="G621" i="2"/>
  <c r="F621" i="2"/>
  <c r="E621" i="2"/>
  <c r="C621" i="2"/>
  <c r="B621" i="2"/>
  <c r="A621" i="2"/>
  <c r="N620" i="2"/>
  <c r="M620" i="2"/>
  <c r="L620" i="2"/>
  <c r="J620" i="2"/>
  <c r="H620" i="2"/>
  <c r="G620" i="2"/>
  <c r="F620" i="2"/>
  <c r="E620" i="2"/>
  <c r="C620" i="2"/>
  <c r="B620" i="2"/>
  <c r="A620" i="2"/>
  <c r="N619" i="2"/>
  <c r="M619" i="2"/>
  <c r="L619" i="2"/>
  <c r="J619" i="2"/>
  <c r="H619" i="2"/>
  <c r="E619" i="2"/>
  <c r="C619" i="2"/>
  <c r="B619" i="2"/>
  <c r="A619" i="2"/>
  <c r="N618" i="2"/>
  <c r="M618" i="2"/>
  <c r="L618" i="2"/>
  <c r="K618" i="2"/>
  <c r="J618" i="2"/>
  <c r="H618" i="2"/>
  <c r="G618" i="2"/>
  <c r="F618" i="2"/>
  <c r="E618" i="2"/>
  <c r="C618" i="2"/>
  <c r="B618" i="2"/>
  <c r="A618" i="2"/>
  <c r="N617" i="2"/>
  <c r="M617" i="2"/>
  <c r="L617" i="2"/>
  <c r="K617" i="2"/>
  <c r="J617" i="2"/>
  <c r="H617" i="2"/>
  <c r="F617" i="2"/>
  <c r="E617" i="2"/>
  <c r="C617" i="2"/>
  <c r="B617" i="2"/>
  <c r="A617" i="2"/>
  <c r="N616" i="2"/>
  <c r="M616" i="2"/>
  <c r="L616" i="2"/>
  <c r="J616" i="2"/>
  <c r="H616" i="2"/>
  <c r="E616" i="2"/>
  <c r="C616" i="2"/>
  <c r="B616" i="2"/>
  <c r="A616" i="2"/>
  <c r="N615" i="2"/>
  <c r="M615" i="2"/>
  <c r="L615" i="2"/>
  <c r="K615" i="2"/>
  <c r="J615" i="2"/>
  <c r="H615" i="2"/>
  <c r="G615" i="2"/>
  <c r="F615" i="2"/>
  <c r="E615" i="2"/>
  <c r="C615" i="2"/>
  <c r="B615" i="2"/>
  <c r="A615" i="2"/>
  <c r="N614" i="2"/>
  <c r="M614" i="2"/>
  <c r="L614" i="2"/>
  <c r="K614" i="2"/>
  <c r="J614" i="2"/>
  <c r="H614" i="2"/>
  <c r="G614" i="2"/>
  <c r="F614" i="2"/>
  <c r="E614" i="2"/>
  <c r="C614" i="2"/>
  <c r="B614" i="2"/>
  <c r="A614" i="2"/>
  <c r="N613" i="2"/>
  <c r="M613" i="2"/>
  <c r="L613" i="2"/>
  <c r="K613" i="2"/>
  <c r="J613" i="2"/>
  <c r="H613" i="2"/>
  <c r="G613" i="2"/>
  <c r="F613" i="2"/>
  <c r="E613" i="2"/>
  <c r="C613" i="2"/>
  <c r="B613" i="2"/>
  <c r="A613" i="2"/>
  <c r="N612" i="2"/>
  <c r="M612" i="2"/>
  <c r="L612" i="2"/>
  <c r="K612" i="2"/>
  <c r="J612" i="2"/>
  <c r="H612" i="2"/>
  <c r="F612" i="2"/>
  <c r="E612" i="2"/>
  <c r="C612" i="2"/>
  <c r="B612" i="2"/>
  <c r="A612" i="2"/>
  <c r="N611" i="2"/>
  <c r="M611" i="2"/>
  <c r="L611" i="2"/>
  <c r="K611" i="2"/>
  <c r="J611" i="2"/>
  <c r="H611" i="2"/>
  <c r="G611" i="2"/>
  <c r="F611" i="2"/>
  <c r="E611" i="2"/>
  <c r="C611" i="2"/>
  <c r="B611" i="2"/>
  <c r="A611" i="2"/>
  <c r="N610" i="2"/>
  <c r="M610" i="2"/>
  <c r="L610" i="2"/>
  <c r="K610" i="2"/>
  <c r="J610" i="2"/>
  <c r="H610" i="2"/>
  <c r="G610" i="2"/>
  <c r="F610" i="2"/>
  <c r="E610" i="2"/>
  <c r="C610" i="2"/>
  <c r="B610" i="2"/>
  <c r="A610" i="2"/>
  <c r="N609" i="2"/>
  <c r="M609" i="2"/>
  <c r="L609" i="2"/>
  <c r="K609" i="2"/>
  <c r="J609" i="2"/>
  <c r="H609" i="2"/>
  <c r="G609" i="2"/>
  <c r="F609" i="2"/>
  <c r="E609" i="2"/>
  <c r="C609" i="2"/>
  <c r="B609" i="2"/>
  <c r="A609" i="2"/>
  <c r="N608" i="2"/>
  <c r="M608" i="2"/>
  <c r="L608" i="2"/>
  <c r="J608" i="2"/>
  <c r="H608" i="2"/>
  <c r="E608" i="2"/>
  <c r="C608" i="2"/>
  <c r="B608" i="2"/>
  <c r="A608" i="2"/>
  <c r="N607" i="2"/>
  <c r="M607" i="2"/>
  <c r="L607" i="2"/>
  <c r="K607" i="2"/>
  <c r="J607" i="2"/>
  <c r="H607" i="2"/>
  <c r="G607" i="2"/>
  <c r="F607" i="2"/>
  <c r="E607" i="2"/>
  <c r="C607" i="2"/>
  <c r="B607" i="2"/>
  <c r="A607" i="2"/>
  <c r="N606" i="2"/>
  <c r="M606" i="2"/>
  <c r="L606" i="2"/>
  <c r="K606" i="2"/>
  <c r="J606" i="2"/>
  <c r="H606" i="2"/>
  <c r="G606" i="2"/>
  <c r="F606" i="2"/>
  <c r="E606" i="2"/>
  <c r="C606" i="2"/>
  <c r="B606" i="2"/>
  <c r="A606" i="2"/>
  <c r="N605" i="2"/>
  <c r="M605" i="2"/>
  <c r="L605" i="2"/>
  <c r="K605" i="2"/>
  <c r="J605" i="2"/>
  <c r="H605" i="2"/>
  <c r="G605" i="2"/>
  <c r="F605" i="2"/>
  <c r="E605" i="2"/>
  <c r="C605" i="2"/>
  <c r="B605" i="2"/>
  <c r="A605" i="2"/>
  <c r="N604" i="2"/>
  <c r="M604" i="2"/>
  <c r="L604" i="2"/>
  <c r="K604" i="2"/>
  <c r="J604" i="2"/>
  <c r="H604" i="2"/>
  <c r="G604" i="2"/>
  <c r="F604" i="2"/>
  <c r="E604" i="2"/>
  <c r="C604" i="2"/>
  <c r="B604" i="2"/>
  <c r="A604" i="2"/>
  <c r="N603" i="2"/>
  <c r="M603" i="2"/>
  <c r="L603" i="2"/>
  <c r="K603" i="2"/>
  <c r="J603" i="2"/>
  <c r="H603" i="2"/>
  <c r="G603" i="2"/>
  <c r="F603" i="2"/>
  <c r="E603" i="2"/>
  <c r="C603" i="2"/>
  <c r="B603" i="2"/>
  <c r="A603" i="2"/>
  <c r="N602" i="2"/>
  <c r="M602" i="2"/>
  <c r="L602" i="2"/>
  <c r="K602" i="2"/>
  <c r="J602" i="2"/>
  <c r="H602" i="2"/>
  <c r="G602" i="2"/>
  <c r="F602" i="2"/>
  <c r="E602" i="2"/>
  <c r="C602" i="2"/>
  <c r="B602" i="2"/>
  <c r="A602" i="2"/>
  <c r="N601" i="2"/>
  <c r="M601" i="2"/>
  <c r="L601" i="2"/>
  <c r="K601" i="2"/>
  <c r="J601" i="2"/>
  <c r="H601" i="2"/>
  <c r="G601" i="2"/>
  <c r="F601" i="2"/>
  <c r="E601" i="2"/>
  <c r="C601" i="2"/>
  <c r="B601" i="2"/>
  <c r="A601" i="2"/>
  <c r="N600" i="2"/>
  <c r="M600" i="2"/>
  <c r="L600" i="2"/>
  <c r="K600" i="2"/>
  <c r="J600" i="2"/>
  <c r="H600" i="2"/>
  <c r="G600" i="2"/>
  <c r="F600" i="2"/>
  <c r="E600" i="2"/>
  <c r="C600" i="2"/>
  <c r="B600" i="2"/>
  <c r="A600" i="2"/>
  <c r="N599" i="2"/>
  <c r="M599" i="2"/>
  <c r="L599" i="2"/>
  <c r="K599" i="2"/>
  <c r="J599" i="2"/>
  <c r="H599" i="2"/>
  <c r="G599" i="2"/>
  <c r="F599" i="2"/>
  <c r="E599" i="2"/>
  <c r="C599" i="2"/>
  <c r="B599" i="2"/>
  <c r="A599" i="2"/>
  <c r="N598" i="2"/>
  <c r="M598" i="2"/>
  <c r="L598" i="2"/>
  <c r="K598" i="2"/>
  <c r="J598" i="2"/>
  <c r="H598" i="2"/>
  <c r="G598" i="2"/>
  <c r="F598" i="2"/>
  <c r="E598" i="2"/>
  <c r="C598" i="2"/>
  <c r="B598" i="2"/>
  <c r="A598" i="2"/>
  <c r="N597" i="2"/>
  <c r="M597" i="2"/>
  <c r="L597" i="2"/>
  <c r="K597" i="2"/>
  <c r="J597" i="2"/>
  <c r="H597" i="2"/>
  <c r="G597" i="2"/>
  <c r="F597" i="2"/>
  <c r="E597" i="2"/>
  <c r="C597" i="2"/>
  <c r="B597" i="2"/>
  <c r="A597" i="2"/>
  <c r="N596" i="2"/>
  <c r="M596" i="2"/>
  <c r="L596" i="2"/>
  <c r="K596" i="2"/>
  <c r="J596" i="2"/>
  <c r="H596" i="2"/>
  <c r="G596" i="2"/>
  <c r="F596" i="2"/>
  <c r="E596" i="2"/>
  <c r="C596" i="2"/>
  <c r="B596" i="2"/>
  <c r="A596" i="2"/>
  <c r="N595" i="2"/>
  <c r="M595" i="2"/>
  <c r="L595" i="2"/>
  <c r="K595" i="2"/>
  <c r="J595" i="2"/>
  <c r="H595" i="2"/>
  <c r="F595" i="2"/>
  <c r="E595" i="2"/>
  <c r="C595" i="2"/>
  <c r="B595" i="2"/>
  <c r="A595" i="2"/>
  <c r="N594" i="2"/>
  <c r="M594" i="2"/>
  <c r="L594" i="2"/>
  <c r="K594" i="2"/>
  <c r="J594" i="2"/>
  <c r="H594" i="2"/>
  <c r="G594" i="2"/>
  <c r="F594" i="2"/>
  <c r="E594" i="2"/>
  <c r="C594" i="2"/>
  <c r="B594" i="2"/>
  <c r="A594" i="2"/>
  <c r="N593" i="2"/>
  <c r="M593" i="2"/>
  <c r="L593" i="2"/>
  <c r="K593" i="2"/>
  <c r="J593" i="2"/>
  <c r="H593" i="2"/>
  <c r="G593" i="2"/>
  <c r="F593" i="2"/>
  <c r="E593" i="2"/>
  <c r="C593" i="2"/>
  <c r="B593" i="2"/>
  <c r="A593" i="2"/>
  <c r="N592" i="2"/>
  <c r="M592" i="2"/>
  <c r="L592" i="2"/>
  <c r="K592" i="2"/>
  <c r="J592" i="2"/>
  <c r="H592" i="2"/>
  <c r="G592" i="2"/>
  <c r="F592" i="2"/>
  <c r="E592" i="2"/>
  <c r="C592" i="2"/>
  <c r="B592" i="2"/>
  <c r="A592" i="2"/>
  <c r="N591" i="2"/>
  <c r="M591" i="2"/>
  <c r="L591" i="2"/>
  <c r="J591" i="2"/>
  <c r="H591" i="2"/>
  <c r="G591" i="2"/>
  <c r="F591" i="2"/>
  <c r="E591" i="2"/>
  <c r="C591" i="2"/>
  <c r="B591" i="2"/>
  <c r="A591" i="2"/>
  <c r="N590" i="2"/>
  <c r="M590" i="2"/>
  <c r="L590" i="2"/>
  <c r="K590" i="2"/>
  <c r="J590" i="2"/>
  <c r="H590" i="2"/>
  <c r="G590" i="2"/>
  <c r="F590" i="2"/>
  <c r="E590" i="2"/>
  <c r="C590" i="2"/>
  <c r="B590" i="2"/>
  <c r="A590" i="2"/>
  <c r="N589" i="2"/>
  <c r="M589" i="2"/>
  <c r="L589" i="2"/>
  <c r="K589" i="2"/>
  <c r="J589" i="2"/>
  <c r="H589" i="2"/>
  <c r="G589" i="2"/>
  <c r="F589" i="2"/>
  <c r="E589" i="2"/>
  <c r="C589" i="2"/>
  <c r="B589" i="2"/>
  <c r="A589" i="2"/>
  <c r="N588" i="2"/>
  <c r="M588" i="2"/>
  <c r="L588" i="2"/>
  <c r="K588" i="2"/>
  <c r="J588" i="2"/>
  <c r="H588" i="2"/>
  <c r="G588" i="2"/>
  <c r="F588" i="2"/>
  <c r="E588" i="2"/>
  <c r="C588" i="2"/>
  <c r="B588" i="2"/>
  <c r="A588" i="2"/>
  <c r="N587" i="2"/>
  <c r="M587" i="2"/>
  <c r="L587" i="2"/>
  <c r="K587" i="2"/>
  <c r="J587" i="2"/>
  <c r="H587" i="2"/>
  <c r="G587" i="2"/>
  <c r="F587" i="2"/>
  <c r="E587" i="2"/>
  <c r="C587" i="2"/>
  <c r="B587" i="2"/>
  <c r="A587" i="2"/>
  <c r="N586" i="2"/>
  <c r="M586" i="2"/>
  <c r="L586" i="2"/>
  <c r="K586" i="2"/>
  <c r="J586" i="2"/>
  <c r="H586" i="2"/>
  <c r="G586" i="2"/>
  <c r="F586" i="2"/>
  <c r="E586" i="2"/>
  <c r="C586" i="2"/>
  <c r="B586" i="2"/>
  <c r="A586" i="2"/>
  <c r="N585" i="2"/>
  <c r="M585" i="2"/>
  <c r="L585" i="2"/>
  <c r="K585" i="2"/>
  <c r="J585" i="2"/>
  <c r="H585" i="2"/>
  <c r="G585" i="2"/>
  <c r="F585" i="2"/>
  <c r="E585" i="2"/>
  <c r="C585" i="2"/>
  <c r="B585" i="2"/>
  <c r="A585" i="2"/>
  <c r="N584" i="2"/>
  <c r="M584" i="2"/>
  <c r="L584" i="2"/>
  <c r="K584" i="2"/>
  <c r="J584" i="2"/>
  <c r="H584" i="2"/>
  <c r="G584" i="2"/>
  <c r="F584" i="2"/>
  <c r="E584" i="2"/>
  <c r="C584" i="2"/>
  <c r="B584" i="2"/>
  <c r="A584" i="2"/>
  <c r="N583" i="2"/>
  <c r="M583" i="2"/>
  <c r="L583" i="2"/>
  <c r="K583" i="2"/>
  <c r="J583" i="2"/>
  <c r="H583" i="2"/>
  <c r="G583" i="2"/>
  <c r="F583" i="2"/>
  <c r="E583" i="2"/>
  <c r="C583" i="2"/>
  <c r="B583" i="2"/>
  <c r="A583" i="2"/>
  <c r="N582" i="2"/>
  <c r="M582" i="2"/>
  <c r="L582" i="2"/>
  <c r="K582" i="2"/>
  <c r="J582" i="2"/>
  <c r="H582" i="2"/>
  <c r="G582" i="2"/>
  <c r="F582" i="2"/>
  <c r="E582" i="2"/>
  <c r="C582" i="2"/>
  <c r="B582" i="2"/>
  <c r="A582" i="2"/>
  <c r="N581" i="2"/>
  <c r="M581" i="2"/>
  <c r="L581" i="2"/>
  <c r="K581" i="2"/>
  <c r="J581" i="2"/>
  <c r="H581" i="2"/>
  <c r="G581" i="2"/>
  <c r="F581" i="2"/>
  <c r="E581" i="2"/>
  <c r="C581" i="2"/>
  <c r="B581" i="2"/>
  <c r="A581" i="2"/>
  <c r="N580" i="2"/>
  <c r="M580" i="2"/>
  <c r="L580" i="2"/>
  <c r="K580" i="2"/>
  <c r="J580" i="2"/>
  <c r="H580" i="2"/>
  <c r="G580" i="2"/>
  <c r="F580" i="2"/>
  <c r="E580" i="2"/>
  <c r="C580" i="2"/>
  <c r="B580" i="2"/>
  <c r="A580" i="2"/>
  <c r="N579" i="2"/>
  <c r="M579" i="2"/>
  <c r="L579" i="2"/>
  <c r="K579" i="2"/>
  <c r="J579" i="2"/>
  <c r="H579" i="2"/>
  <c r="G579" i="2"/>
  <c r="F579" i="2"/>
  <c r="E579" i="2"/>
  <c r="C579" i="2"/>
  <c r="B579" i="2"/>
  <c r="A579" i="2"/>
  <c r="N578" i="2"/>
  <c r="M578" i="2"/>
  <c r="L578" i="2"/>
  <c r="K578" i="2"/>
  <c r="J578" i="2"/>
  <c r="H578" i="2"/>
  <c r="G578" i="2"/>
  <c r="F578" i="2"/>
  <c r="E578" i="2"/>
  <c r="C578" i="2"/>
  <c r="B578" i="2"/>
  <c r="A578" i="2"/>
  <c r="N577" i="2"/>
  <c r="M577" i="2"/>
  <c r="L577" i="2"/>
  <c r="K577" i="2"/>
  <c r="J577" i="2"/>
  <c r="H577" i="2"/>
  <c r="G577" i="2"/>
  <c r="F577" i="2"/>
  <c r="E577" i="2"/>
  <c r="C577" i="2"/>
  <c r="B577" i="2"/>
  <c r="A577" i="2"/>
  <c r="N576" i="2"/>
  <c r="M576" i="2"/>
  <c r="L576" i="2"/>
  <c r="K576" i="2"/>
  <c r="J576" i="2"/>
  <c r="H576" i="2"/>
  <c r="G576" i="2"/>
  <c r="F576" i="2"/>
  <c r="E576" i="2"/>
  <c r="C576" i="2"/>
  <c r="B576" i="2"/>
  <c r="A576" i="2"/>
  <c r="N575" i="2"/>
  <c r="M575" i="2"/>
  <c r="L575" i="2"/>
  <c r="K575" i="2"/>
  <c r="J575" i="2"/>
  <c r="H575" i="2"/>
  <c r="G575" i="2"/>
  <c r="F575" i="2"/>
  <c r="E575" i="2"/>
  <c r="C575" i="2"/>
  <c r="B575" i="2"/>
  <c r="A575" i="2"/>
  <c r="N574" i="2"/>
  <c r="M574" i="2"/>
  <c r="L574" i="2"/>
  <c r="K574" i="2"/>
  <c r="J574" i="2"/>
  <c r="H574" i="2"/>
  <c r="G574" i="2"/>
  <c r="F574" i="2"/>
  <c r="E574" i="2"/>
  <c r="C574" i="2"/>
  <c r="B574" i="2"/>
  <c r="A574" i="2"/>
  <c r="N573" i="2"/>
  <c r="M573" i="2"/>
  <c r="L573" i="2"/>
  <c r="K573" i="2"/>
  <c r="J573" i="2"/>
  <c r="H573" i="2"/>
  <c r="G573" i="2"/>
  <c r="F573" i="2"/>
  <c r="E573" i="2"/>
  <c r="C573" i="2"/>
  <c r="B573" i="2"/>
  <c r="A573" i="2"/>
  <c r="N572" i="2"/>
  <c r="M572" i="2"/>
  <c r="L572" i="2"/>
  <c r="K572" i="2"/>
  <c r="J572" i="2"/>
  <c r="H572" i="2"/>
  <c r="G572" i="2"/>
  <c r="F572" i="2"/>
  <c r="E572" i="2"/>
  <c r="C572" i="2"/>
  <c r="B572" i="2"/>
  <c r="A572" i="2"/>
  <c r="N571" i="2"/>
  <c r="M571" i="2"/>
  <c r="L571" i="2"/>
  <c r="K571" i="2"/>
  <c r="J571" i="2"/>
  <c r="H571" i="2"/>
  <c r="G571" i="2"/>
  <c r="F571" i="2"/>
  <c r="E571" i="2"/>
  <c r="C571" i="2"/>
  <c r="B571" i="2"/>
  <c r="A571" i="2"/>
  <c r="N570" i="2"/>
  <c r="M570" i="2"/>
  <c r="L570" i="2"/>
  <c r="K570" i="2"/>
  <c r="J570" i="2"/>
  <c r="H570" i="2"/>
  <c r="G570" i="2"/>
  <c r="F570" i="2"/>
  <c r="E570" i="2"/>
  <c r="C570" i="2"/>
  <c r="B570" i="2"/>
  <c r="A570" i="2"/>
  <c r="N569" i="2"/>
  <c r="M569" i="2"/>
  <c r="L569" i="2"/>
  <c r="K569" i="2"/>
  <c r="J569" i="2"/>
  <c r="H569" i="2"/>
  <c r="G569" i="2"/>
  <c r="F569" i="2"/>
  <c r="E569" i="2"/>
  <c r="C569" i="2"/>
  <c r="B569" i="2"/>
  <c r="A569" i="2"/>
  <c r="N568" i="2"/>
  <c r="M568" i="2"/>
  <c r="L568" i="2"/>
  <c r="K568" i="2"/>
  <c r="J568" i="2"/>
  <c r="H568" i="2"/>
  <c r="G568" i="2"/>
  <c r="F568" i="2"/>
  <c r="E568" i="2"/>
  <c r="C568" i="2"/>
  <c r="B568" i="2"/>
  <c r="A568" i="2"/>
  <c r="N567" i="2"/>
  <c r="M567" i="2"/>
  <c r="L567" i="2"/>
  <c r="K567" i="2"/>
  <c r="J567" i="2"/>
  <c r="H567" i="2"/>
  <c r="G567" i="2"/>
  <c r="F567" i="2"/>
  <c r="E567" i="2"/>
  <c r="C567" i="2"/>
  <c r="B567" i="2"/>
  <c r="A567" i="2"/>
  <c r="N566" i="2"/>
  <c r="M566" i="2"/>
  <c r="L566" i="2"/>
  <c r="K566" i="2"/>
  <c r="J566" i="2"/>
  <c r="H566" i="2"/>
  <c r="G566" i="2"/>
  <c r="F566" i="2"/>
  <c r="E566" i="2"/>
  <c r="C566" i="2"/>
  <c r="B566" i="2"/>
  <c r="A566" i="2"/>
  <c r="N565" i="2"/>
  <c r="M565" i="2"/>
  <c r="L565" i="2"/>
  <c r="K565" i="2"/>
  <c r="J565" i="2"/>
  <c r="H565" i="2"/>
  <c r="G565" i="2"/>
  <c r="F565" i="2"/>
  <c r="E565" i="2"/>
  <c r="C565" i="2"/>
  <c r="B565" i="2"/>
  <c r="A565" i="2"/>
  <c r="N564" i="2"/>
  <c r="M564" i="2"/>
  <c r="L564" i="2"/>
  <c r="K564" i="2"/>
  <c r="J564" i="2"/>
  <c r="H564" i="2"/>
  <c r="G564" i="2"/>
  <c r="F564" i="2"/>
  <c r="E564" i="2"/>
  <c r="C564" i="2"/>
  <c r="B564" i="2"/>
  <c r="A564" i="2"/>
  <c r="N563" i="2"/>
  <c r="M563" i="2"/>
  <c r="L563" i="2"/>
  <c r="K563" i="2"/>
  <c r="J563" i="2"/>
  <c r="H563" i="2"/>
  <c r="G563" i="2"/>
  <c r="F563" i="2"/>
  <c r="E563" i="2"/>
  <c r="C563" i="2"/>
  <c r="B563" i="2"/>
  <c r="A563" i="2"/>
  <c r="N562" i="2"/>
  <c r="M562" i="2"/>
  <c r="L562" i="2"/>
  <c r="K562" i="2"/>
  <c r="J562" i="2"/>
  <c r="H562" i="2"/>
  <c r="G562" i="2"/>
  <c r="F562" i="2"/>
  <c r="E562" i="2"/>
  <c r="C562" i="2"/>
  <c r="B562" i="2"/>
  <c r="A562" i="2"/>
  <c r="N561" i="2"/>
  <c r="M561" i="2"/>
  <c r="L561" i="2"/>
  <c r="K561" i="2"/>
  <c r="J561" i="2"/>
  <c r="H561" i="2"/>
  <c r="G561" i="2"/>
  <c r="F561" i="2"/>
  <c r="E561" i="2"/>
  <c r="C561" i="2"/>
  <c r="B561" i="2"/>
  <c r="A561" i="2"/>
  <c r="N560" i="2"/>
  <c r="M560" i="2"/>
  <c r="L560" i="2"/>
  <c r="K560" i="2"/>
  <c r="J560" i="2"/>
  <c r="H560" i="2"/>
  <c r="G560" i="2"/>
  <c r="F560" i="2"/>
  <c r="E560" i="2"/>
  <c r="C560" i="2"/>
  <c r="B560" i="2"/>
  <c r="A560" i="2"/>
  <c r="N559" i="2"/>
  <c r="M559" i="2"/>
  <c r="L559" i="2"/>
  <c r="K559" i="2"/>
  <c r="J559" i="2"/>
  <c r="H559" i="2"/>
  <c r="G559" i="2"/>
  <c r="F559" i="2"/>
  <c r="E559" i="2"/>
  <c r="C559" i="2"/>
  <c r="B559" i="2"/>
  <c r="A559" i="2"/>
  <c r="N558" i="2"/>
  <c r="M558" i="2"/>
  <c r="L558" i="2"/>
  <c r="K558" i="2"/>
  <c r="J558" i="2"/>
  <c r="H558" i="2"/>
  <c r="G558" i="2"/>
  <c r="F558" i="2"/>
  <c r="E558" i="2"/>
  <c r="C558" i="2"/>
  <c r="B558" i="2"/>
  <c r="A558" i="2"/>
  <c r="N557" i="2"/>
  <c r="M557" i="2"/>
  <c r="L557" i="2"/>
  <c r="K557" i="2"/>
  <c r="J557" i="2"/>
  <c r="H557" i="2"/>
  <c r="G557" i="2"/>
  <c r="F557" i="2"/>
  <c r="E557" i="2"/>
  <c r="C557" i="2"/>
  <c r="B557" i="2"/>
  <c r="A557" i="2"/>
  <c r="N556" i="2"/>
  <c r="M556" i="2"/>
  <c r="L556" i="2"/>
  <c r="K556" i="2"/>
  <c r="J556" i="2"/>
  <c r="H556" i="2"/>
  <c r="G556" i="2"/>
  <c r="F556" i="2"/>
  <c r="E556" i="2"/>
  <c r="C556" i="2"/>
  <c r="B556" i="2"/>
  <c r="A556" i="2"/>
  <c r="N555" i="2"/>
  <c r="M555" i="2"/>
  <c r="L555" i="2"/>
  <c r="K555" i="2"/>
  <c r="J555" i="2"/>
  <c r="H555" i="2"/>
  <c r="G555" i="2"/>
  <c r="F555" i="2"/>
  <c r="E555" i="2"/>
  <c r="C555" i="2"/>
  <c r="B555" i="2"/>
  <c r="A555" i="2"/>
  <c r="N554" i="2"/>
  <c r="M554" i="2"/>
  <c r="L554" i="2"/>
  <c r="K554" i="2"/>
  <c r="J554" i="2"/>
  <c r="H554" i="2"/>
  <c r="G554" i="2"/>
  <c r="F554" i="2"/>
  <c r="E554" i="2"/>
  <c r="C554" i="2"/>
  <c r="B554" i="2"/>
  <c r="A554" i="2"/>
  <c r="N553" i="2"/>
  <c r="M553" i="2"/>
  <c r="L553" i="2"/>
  <c r="K553" i="2"/>
  <c r="J553" i="2"/>
  <c r="H553" i="2"/>
  <c r="G553" i="2"/>
  <c r="F553" i="2"/>
  <c r="E553" i="2"/>
  <c r="C553" i="2"/>
  <c r="B553" i="2"/>
  <c r="A553" i="2"/>
  <c r="N552" i="2"/>
  <c r="M552" i="2"/>
  <c r="L552" i="2"/>
  <c r="K552" i="2"/>
  <c r="J552" i="2"/>
  <c r="H552" i="2"/>
  <c r="G552" i="2"/>
  <c r="F552" i="2"/>
  <c r="E552" i="2"/>
  <c r="C552" i="2"/>
  <c r="B552" i="2"/>
  <c r="A552" i="2"/>
  <c r="N551" i="2"/>
  <c r="M551" i="2"/>
  <c r="L551" i="2"/>
  <c r="J551" i="2"/>
  <c r="H551" i="2"/>
  <c r="G551" i="2"/>
  <c r="F551" i="2"/>
  <c r="E551" i="2"/>
  <c r="C551" i="2"/>
  <c r="B551" i="2"/>
  <c r="A551" i="2"/>
  <c r="N550" i="2"/>
  <c r="M550" i="2"/>
  <c r="L550" i="2"/>
  <c r="K550" i="2"/>
  <c r="J550" i="2"/>
  <c r="H550" i="2"/>
  <c r="G550" i="2"/>
  <c r="F550" i="2"/>
  <c r="E550" i="2"/>
  <c r="C550" i="2"/>
  <c r="B550" i="2"/>
  <c r="A550" i="2"/>
  <c r="N549" i="2"/>
  <c r="M549" i="2"/>
  <c r="L549" i="2"/>
  <c r="K549" i="2"/>
  <c r="J549" i="2"/>
  <c r="H549" i="2"/>
  <c r="G549" i="2"/>
  <c r="F549" i="2"/>
  <c r="E549" i="2"/>
  <c r="C549" i="2"/>
  <c r="B549" i="2"/>
  <c r="A549" i="2"/>
  <c r="N548" i="2"/>
  <c r="M548" i="2"/>
  <c r="L548" i="2"/>
  <c r="K548" i="2"/>
  <c r="J548" i="2"/>
  <c r="H548" i="2"/>
  <c r="G548" i="2"/>
  <c r="F548" i="2"/>
  <c r="E548" i="2"/>
  <c r="C548" i="2"/>
  <c r="B548" i="2"/>
  <c r="A548" i="2"/>
  <c r="N547" i="2"/>
  <c r="M547" i="2"/>
  <c r="L547" i="2"/>
  <c r="J547" i="2"/>
  <c r="H547" i="2"/>
  <c r="E547" i="2"/>
  <c r="C547" i="2"/>
  <c r="B547" i="2"/>
  <c r="A547" i="2"/>
  <c r="N546" i="2"/>
  <c r="M546" i="2"/>
  <c r="L546" i="2"/>
  <c r="K546" i="2"/>
  <c r="J546" i="2"/>
  <c r="H546" i="2"/>
  <c r="G546" i="2"/>
  <c r="F546" i="2"/>
  <c r="E546" i="2"/>
  <c r="C546" i="2"/>
  <c r="B546" i="2"/>
  <c r="A546" i="2"/>
  <c r="N545" i="2"/>
  <c r="M545" i="2"/>
  <c r="L545" i="2"/>
  <c r="K545" i="2"/>
  <c r="J545" i="2"/>
  <c r="H545" i="2"/>
  <c r="G545" i="2"/>
  <c r="F545" i="2"/>
  <c r="E545" i="2"/>
  <c r="C545" i="2"/>
  <c r="B545" i="2"/>
  <c r="A545" i="2"/>
  <c r="N544" i="2"/>
  <c r="M544" i="2"/>
  <c r="L544" i="2"/>
  <c r="K544" i="2"/>
  <c r="J544" i="2"/>
  <c r="H544" i="2"/>
  <c r="F544" i="2"/>
  <c r="E544" i="2"/>
  <c r="C544" i="2"/>
  <c r="B544" i="2"/>
  <c r="A544" i="2"/>
  <c r="N543" i="2"/>
  <c r="M543" i="2"/>
  <c r="L543" i="2"/>
  <c r="J543" i="2"/>
  <c r="H543" i="2"/>
  <c r="E543" i="2"/>
  <c r="C543" i="2"/>
  <c r="B543" i="2"/>
  <c r="A543" i="2"/>
  <c r="N542" i="2"/>
  <c r="M542" i="2"/>
  <c r="L542" i="2"/>
  <c r="K542" i="2"/>
  <c r="J542" i="2"/>
  <c r="H542" i="2"/>
  <c r="G542" i="2"/>
  <c r="F542" i="2"/>
  <c r="E542" i="2"/>
  <c r="C542" i="2"/>
  <c r="B542" i="2"/>
  <c r="A542" i="2"/>
  <c r="N541" i="2"/>
  <c r="M541" i="2"/>
  <c r="L541" i="2"/>
  <c r="K541" i="2"/>
  <c r="J541" i="2"/>
  <c r="H541" i="2"/>
  <c r="G541" i="2"/>
  <c r="F541" i="2"/>
  <c r="E541" i="2"/>
  <c r="C541" i="2"/>
  <c r="B541" i="2"/>
  <c r="A541" i="2"/>
  <c r="N540" i="2"/>
  <c r="M540" i="2"/>
  <c r="L540" i="2"/>
  <c r="K540" i="2"/>
  <c r="J540" i="2"/>
  <c r="H540" i="2"/>
  <c r="F540" i="2"/>
  <c r="E540" i="2"/>
  <c r="C540" i="2"/>
  <c r="B540" i="2"/>
  <c r="A540" i="2"/>
  <c r="N539" i="2"/>
  <c r="M539" i="2"/>
  <c r="L539" i="2"/>
  <c r="J539" i="2"/>
  <c r="H539" i="2"/>
  <c r="E539" i="2"/>
  <c r="C539" i="2"/>
  <c r="B539" i="2"/>
  <c r="A539" i="2"/>
  <c r="N538" i="2"/>
  <c r="M538" i="2"/>
  <c r="L538" i="2"/>
  <c r="K538" i="2"/>
  <c r="J538" i="2"/>
  <c r="H538" i="2"/>
  <c r="G538" i="2"/>
  <c r="F538" i="2"/>
  <c r="E538" i="2"/>
  <c r="C538" i="2"/>
  <c r="B538" i="2"/>
  <c r="A538" i="2"/>
  <c r="N537" i="2"/>
  <c r="M537" i="2"/>
  <c r="L537" i="2"/>
  <c r="K537" i="2"/>
  <c r="J537" i="2"/>
  <c r="H537" i="2"/>
  <c r="G537" i="2"/>
  <c r="F537" i="2"/>
  <c r="E537" i="2"/>
  <c r="C537" i="2"/>
  <c r="B537" i="2"/>
  <c r="A537" i="2"/>
  <c r="N536" i="2"/>
  <c r="M536" i="2"/>
  <c r="L536" i="2"/>
  <c r="K536" i="2"/>
  <c r="J536" i="2"/>
  <c r="H536" i="2"/>
  <c r="G536" i="2"/>
  <c r="F536" i="2"/>
  <c r="E536" i="2"/>
  <c r="C536" i="2"/>
  <c r="B536" i="2"/>
  <c r="A536" i="2"/>
  <c r="N535" i="2"/>
  <c r="M535" i="2"/>
  <c r="L535" i="2"/>
  <c r="K535" i="2"/>
  <c r="J535" i="2"/>
  <c r="H535" i="2"/>
  <c r="G535" i="2"/>
  <c r="F535" i="2"/>
  <c r="E535" i="2"/>
  <c r="C535" i="2"/>
  <c r="B535" i="2"/>
  <c r="A535" i="2"/>
  <c r="N534" i="2"/>
  <c r="M534" i="2"/>
  <c r="L534" i="2"/>
  <c r="K534" i="2"/>
  <c r="J534" i="2"/>
  <c r="H534" i="2"/>
  <c r="G534" i="2"/>
  <c r="F534" i="2"/>
  <c r="E534" i="2"/>
  <c r="C534" i="2"/>
  <c r="B534" i="2"/>
  <c r="A534" i="2"/>
  <c r="N533" i="2"/>
  <c r="M533" i="2"/>
  <c r="L533" i="2"/>
  <c r="K533" i="2"/>
  <c r="J533" i="2"/>
  <c r="H533" i="2"/>
  <c r="G533" i="2"/>
  <c r="F533" i="2"/>
  <c r="E533" i="2"/>
  <c r="C533" i="2"/>
  <c r="B533" i="2"/>
  <c r="A533" i="2"/>
  <c r="N532" i="2"/>
  <c r="M532" i="2"/>
  <c r="L532" i="2"/>
  <c r="K532" i="2"/>
  <c r="J532" i="2"/>
  <c r="H532" i="2"/>
  <c r="G532" i="2"/>
  <c r="F532" i="2"/>
  <c r="E532" i="2"/>
  <c r="C532" i="2"/>
  <c r="B532" i="2"/>
  <c r="A532" i="2"/>
  <c r="N531" i="2"/>
  <c r="M531" i="2"/>
  <c r="L531" i="2"/>
  <c r="K531" i="2"/>
  <c r="J531" i="2"/>
  <c r="H531" i="2"/>
  <c r="G531" i="2"/>
  <c r="F531" i="2"/>
  <c r="E531" i="2"/>
  <c r="C531" i="2"/>
  <c r="B531" i="2"/>
  <c r="A531" i="2"/>
  <c r="N530" i="2"/>
  <c r="M530" i="2"/>
  <c r="L530" i="2"/>
  <c r="K530" i="2"/>
  <c r="J530" i="2"/>
  <c r="H530" i="2"/>
  <c r="F530" i="2"/>
  <c r="E530" i="2"/>
  <c r="C530" i="2"/>
  <c r="B530" i="2"/>
  <c r="A530" i="2"/>
  <c r="N529" i="2"/>
  <c r="M529" i="2"/>
  <c r="L529" i="2"/>
  <c r="J529" i="2"/>
  <c r="H529" i="2"/>
  <c r="G529" i="2"/>
  <c r="F529" i="2"/>
  <c r="E529" i="2"/>
  <c r="C529" i="2"/>
  <c r="B529" i="2"/>
  <c r="A529" i="2"/>
  <c r="N528" i="2"/>
  <c r="M528" i="2"/>
  <c r="L528" i="2"/>
  <c r="J528" i="2"/>
  <c r="H528" i="2"/>
  <c r="E528" i="2"/>
  <c r="C528" i="2"/>
  <c r="B528" i="2"/>
  <c r="A528" i="2"/>
  <c r="N527" i="2"/>
  <c r="M527" i="2"/>
  <c r="L527" i="2"/>
  <c r="K527" i="2"/>
  <c r="J527" i="2"/>
  <c r="H527" i="2"/>
  <c r="G527" i="2"/>
  <c r="F527" i="2"/>
  <c r="E527" i="2"/>
  <c r="C527" i="2"/>
  <c r="B527" i="2"/>
  <c r="A527" i="2"/>
  <c r="N526" i="2"/>
  <c r="M526" i="2"/>
  <c r="L526" i="2"/>
  <c r="K526" i="2"/>
  <c r="J526" i="2"/>
  <c r="H526" i="2"/>
  <c r="G526" i="2"/>
  <c r="F526" i="2"/>
  <c r="E526" i="2"/>
  <c r="C526" i="2"/>
  <c r="B526" i="2"/>
  <c r="A526" i="2"/>
  <c r="N525" i="2"/>
  <c r="M525" i="2"/>
  <c r="L525" i="2"/>
  <c r="K525" i="2"/>
  <c r="J525" i="2"/>
  <c r="H525" i="2"/>
  <c r="F525" i="2"/>
  <c r="E525" i="2"/>
  <c r="C525" i="2"/>
  <c r="B525" i="2"/>
  <c r="A525" i="2"/>
  <c r="N524" i="2"/>
  <c r="M524" i="2"/>
  <c r="L524" i="2"/>
  <c r="K524" i="2"/>
  <c r="J524" i="2"/>
  <c r="H524" i="2"/>
  <c r="G524" i="2"/>
  <c r="F524" i="2"/>
  <c r="E524" i="2"/>
  <c r="C524" i="2"/>
  <c r="B524" i="2"/>
  <c r="A524" i="2"/>
  <c r="N523" i="2"/>
  <c r="M523" i="2"/>
  <c r="L523" i="2"/>
  <c r="K523" i="2"/>
  <c r="J523" i="2"/>
  <c r="H523" i="2"/>
  <c r="G523" i="2"/>
  <c r="F523" i="2"/>
  <c r="E523" i="2"/>
  <c r="C523" i="2"/>
  <c r="B523" i="2"/>
  <c r="A523" i="2"/>
  <c r="N522" i="2"/>
  <c r="M522" i="2"/>
  <c r="L522" i="2"/>
  <c r="K522" i="2"/>
  <c r="J522" i="2"/>
  <c r="H522" i="2"/>
  <c r="G522" i="2"/>
  <c r="F522" i="2"/>
  <c r="E522" i="2"/>
  <c r="C522" i="2"/>
  <c r="B522" i="2"/>
  <c r="A522" i="2"/>
  <c r="N521" i="2"/>
  <c r="M521" i="2"/>
  <c r="L521" i="2"/>
  <c r="K521" i="2"/>
  <c r="J521" i="2"/>
  <c r="H521" i="2"/>
  <c r="G521" i="2"/>
  <c r="F521" i="2"/>
  <c r="E521" i="2"/>
  <c r="C521" i="2"/>
  <c r="B521" i="2"/>
  <c r="A521" i="2"/>
  <c r="N520" i="2"/>
  <c r="M520" i="2"/>
  <c r="L520" i="2"/>
  <c r="K520" i="2"/>
  <c r="J520" i="2"/>
  <c r="H520" i="2"/>
  <c r="G520" i="2"/>
  <c r="F520" i="2"/>
  <c r="E520" i="2"/>
  <c r="C520" i="2"/>
  <c r="B520" i="2"/>
  <c r="A520" i="2"/>
  <c r="N519" i="2"/>
  <c r="M519" i="2"/>
  <c r="L519" i="2"/>
  <c r="K519" i="2"/>
  <c r="J519" i="2"/>
  <c r="H519" i="2"/>
  <c r="G519" i="2"/>
  <c r="F519" i="2"/>
  <c r="E519" i="2"/>
  <c r="C519" i="2"/>
  <c r="B519" i="2"/>
  <c r="A519" i="2"/>
  <c r="N518" i="2"/>
  <c r="M518" i="2"/>
  <c r="L518" i="2"/>
  <c r="K518" i="2"/>
  <c r="J518" i="2"/>
  <c r="H518" i="2"/>
  <c r="G518" i="2"/>
  <c r="F518" i="2"/>
  <c r="E518" i="2"/>
  <c r="C518" i="2"/>
  <c r="B518" i="2"/>
  <c r="A518" i="2"/>
  <c r="N517" i="2"/>
  <c r="M517" i="2"/>
  <c r="L517" i="2"/>
  <c r="J517" i="2"/>
  <c r="H517" i="2"/>
  <c r="G517" i="2"/>
  <c r="F517" i="2"/>
  <c r="E517" i="2"/>
  <c r="C517" i="2"/>
  <c r="B517" i="2"/>
  <c r="A517" i="2"/>
  <c r="N516" i="2"/>
  <c r="M516" i="2"/>
  <c r="L516" i="2"/>
  <c r="K516" i="2"/>
  <c r="J516" i="2"/>
  <c r="H516" i="2"/>
  <c r="G516" i="2"/>
  <c r="F516" i="2"/>
  <c r="E516" i="2"/>
  <c r="C516" i="2"/>
  <c r="B516" i="2"/>
  <c r="A516" i="2"/>
  <c r="N515" i="2"/>
  <c r="M515" i="2"/>
  <c r="L515" i="2"/>
  <c r="K515" i="2"/>
  <c r="J515" i="2"/>
  <c r="H515" i="2"/>
  <c r="G515" i="2"/>
  <c r="F515" i="2"/>
  <c r="E515" i="2"/>
  <c r="C515" i="2"/>
  <c r="B515" i="2"/>
  <c r="A515" i="2"/>
  <c r="N514" i="2"/>
  <c r="M514" i="2"/>
  <c r="L514" i="2"/>
  <c r="J514" i="2"/>
  <c r="H514" i="2"/>
  <c r="E514" i="2"/>
  <c r="C514" i="2"/>
  <c r="B514" i="2"/>
  <c r="A514" i="2"/>
  <c r="N513" i="2"/>
  <c r="M513" i="2"/>
  <c r="L513" i="2"/>
  <c r="K513" i="2"/>
  <c r="J513" i="2"/>
  <c r="H513" i="2"/>
  <c r="G513" i="2"/>
  <c r="F513" i="2"/>
  <c r="E513" i="2"/>
  <c r="C513" i="2"/>
  <c r="B513" i="2"/>
  <c r="A513" i="2"/>
  <c r="N512" i="2"/>
  <c r="M512" i="2"/>
  <c r="L512" i="2"/>
  <c r="K512" i="2"/>
  <c r="J512" i="2"/>
  <c r="H512" i="2"/>
  <c r="G512" i="2"/>
  <c r="F512" i="2"/>
  <c r="E512" i="2"/>
  <c r="C512" i="2"/>
  <c r="B512" i="2"/>
  <c r="A512" i="2"/>
  <c r="N511" i="2"/>
  <c r="M511" i="2"/>
  <c r="L511" i="2"/>
  <c r="K511" i="2"/>
  <c r="J511" i="2"/>
  <c r="H511" i="2"/>
  <c r="G511" i="2"/>
  <c r="F511" i="2"/>
  <c r="E511" i="2"/>
  <c r="C511" i="2"/>
  <c r="B511" i="2"/>
  <c r="A511" i="2"/>
  <c r="N510" i="2"/>
  <c r="M510" i="2"/>
  <c r="L510" i="2"/>
  <c r="K510" i="2"/>
  <c r="J510" i="2"/>
  <c r="H510" i="2"/>
  <c r="G510" i="2"/>
  <c r="F510" i="2"/>
  <c r="E510" i="2"/>
  <c r="C510" i="2"/>
  <c r="B510" i="2"/>
  <c r="A510" i="2"/>
  <c r="N509" i="2"/>
  <c r="M509" i="2"/>
  <c r="L509" i="2"/>
  <c r="K509" i="2"/>
  <c r="J509" i="2"/>
  <c r="H509" i="2"/>
  <c r="G509" i="2"/>
  <c r="F509" i="2"/>
  <c r="E509" i="2"/>
  <c r="C509" i="2"/>
  <c r="B509" i="2"/>
  <c r="A509" i="2"/>
  <c r="N508" i="2"/>
  <c r="M508" i="2"/>
  <c r="L508" i="2"/>
  <c r="K508" i="2"/>
  <c r="J508" i="2"/>
  <c r="H508" i="2"/>
  <c r="G508" i="2"/>
  <c r="F508" i="2"/>
  <c r="E508" i="2"/>
  <c r="C508" i="2"/>
  <c r="B508" i="2"/>
  <c r="A508" i="2"/>
  <c r="N507" i="2"/>
  <c r="M507" i="2"/>
  <c r="L507" i="2"/>
  <c r="K507" i="2"/>
  <c r="J507" i="2"/>
  <c r="H507" i="2"/>
  <c r="G507" i="2"/>
  <c r="F507" i="2"/>
  <c r="E507" i="2"/>
  <c r="C507" i="2"/>
  <c r="B507" i="2"/>
  <c r="A507" i="2"/>
  <c r="N506" i="2"/>
  <c r="M506" i="2"/>
  <c r="L506" i="2"/>
  <c r="K506" i="2"/>
  <c r="J506" i="2"/>
  <c r="H506" i="2"/>
  <c r="F506" i="2"/>
  <c r="E506" i="2"/>
  <c r="C506" i="2"/>
  <c r="B506" i="2"/>
  <c r="A506" i="2"/>
  <c r="N505" i="2"/>
  <c r="M505" i="2"/>
  <c r="L505" i="2"/>
  <c r="K505" i="2"/>
  <c r="J505" i="2"/>
  <c r="H505" i="2"/>
  <c r="G505" i="2"/>
  <c r="F505" i="2"/>
  <c r="E505" i="2"/>
  <c r="C505" i="2"/>
  <c r="B505" i="2"/>
  <c r="A505" i="2"/>
  <c r="N504" i="2"/>
  <c r="M504" i="2"/>
  <c r="L504" i="2"/>
  <c r="J504" i="2"/>
  <c r="H504" i="2"/>
  <c r="E504" i="2"/>
  <c r="C504" i="2"/>
  <c r="B504" i="2"/>
  <c r="A504" i="2"/>
  <c r="N503" i="2"/>
  <c r="M503" i="2"/>
  <c r="L503" i="2"/>
  <c r="K503" i="2"/>
  <c r="J503" i="2"/>
  <c r="H503" i="2"/>
  <c r="G503" i="2"/>
  <c r="F503" i="2"/>
  <c r="E503" i="2"/>
  <c r="C503" i="2"/>
  <c r="B503" i="2"/>
  <c r="A503" i="2"/>
  <c r="N502" i="2"/>
  <c r="M502" i="2"/>
  <c r="L502" i="2"/>
  <c r="K502" i="2"/>
  <c r="J502" i="2"/>
  <c r="H502" i="2"/>
  <c r="G502" i="2"/>
  <c r="F502" i="2"/>
  <c r="E502" i="2"/>
  <c r="C502" i="2"/>
  <c r="B502" i="2"/>
  <c r="A502" i="2"/>
  <c r="N501" i="2"/>
  <c r="M501" i="2"/>
  <c r="L501" i="2"/>
  <c r="K501" i="2"/>
  <c r="J501" i="2"/>
  <c r="H501" i="2"/>
  <c r="F501" i="2"/>
  <c r="E501" i="2"/>
  <c r="C501" i="2"/>
  <c r="B501" i="2"/>
  <c r="A501" i="2"/>
  <c r="N500" i="2"/>
  <c r="M500" i="2"/>
  <c r="L500" i="2"/>
  <c r="J500" i="2"/>
  <c r="H500" i="2"/>
  <c r="E500" i="2"/>
  <c r="C500" i="2"/>
  <c r="B500" i="2"/>
  <c r="A500" i="2"/>
  <c r="N499" i="2"/>
  <c r="M499" i="2"/>
  <c r="L499" i="2"/>
  <c r="K499" i="2"/>
  <c r="J499" i="2"/>
  <c r="H499" i="2"/>
  <c r="G499" i="2"/>
  <c r="F499" i="2"/>
  <c r="E499" i="2"/>
  <c r="C499" i="2"/>
  <c r="B499" i="2"/>
  <c r="A499" i="2"/>
  <c r="N498" i="2"/>
  <c r="M498" i="2"/>
  <c r="L498" i="2"/>
  <c r="K498" i="2"/>
  <c r="J498" i="2"/>
  <c r="H498" i="2"/>
  <c r="F498" i="2"/>
  <c r="E498" i="2"/>
  <c r="C498" i="2"/>
  <c r="B498" i="2"/>
  <c r="A498" i="2"/>
  <c r="N497" i="2"/>
  <c r="M497" i="2"/>
  <c r="L497" i="2"/>
  <c r="J497" i="2"/>
  <c r="H497" i="2"/>
  <c r="E497" i="2"/>
  <c r="C497" i="2"/>
  <c r="B497" i="2"/>
  <c r="A497" i="2"/>
  <c r="N496" i="2"/>
  <c r="M496" i="2"/>
  <c r="L496" i="2"/>
  <c r="K496" i="2"/>
  <c r="J496" i="2"/>
  <c r="H496" i="2"/>
  <c r="G496" i="2"/>
  <c r="F496" i="2"/>
  <c r="E496" i="2"/>
  <c r="C496" i="2"/>
  <c r="B496" i="2"/>
  <c r="A496" i="2"/>
  <c r="N495" i="2"/>
  <c r="M495" i="2"/>
  <c r="L495" i="2"/>
  <c r="K495" i="2"/>
  <c r="J495" i="2"/>
  <c r="H495" i="2"/>
  <c r="F495" i="2"/>
  <c r="E495" i="2"/>
  <c r="C495" i="2"/>
  <c r="B495" i="2"/>
  <c r="A495" i="2"/>
  <c r="N494" i="2"/>
  <c r="M494" i="2"/>
  <c r="L494" i="2"/>
  <c r="J494" i="2"/>
  <c r="H494" i="2"/>
  <c r="E494" i="2"/>
  <c r="C494" i="2"/>
  <c r="B494" i="2"/>
  <c r="A494" i="2"/>
  <c r="N493" i="2"/>
  <c r="M493" i="2"/>
  <c r="L493" i="2"/>
  <c r="J493" i="2"/>
  <c r="H493" i="2"/>
  <c r="G493" i="2"/>
  <c r="F493" i="2"/>
  <c r="E493" i="2"/>
  <c r="C493" i="2"/>
  <c r="B493" i="2"/>
  <c r="A493" i="2"/>
  <c r="N492" i="2"/>
  <c r="M492" i="2"/>
  <c r="L492" i="2"/>
  <c r="K492" i="2"/>
  <c r="J492" i="2"/>
  <c r="H492" i="2"/>
  <c r="G492" i="2"/>
  <c r="F492" i="2"/>
  <c r="E492" i="2"/>
  <c r="C492" i="2"/>
  <c r="B492" i="2"/>
  <c r="A492" i="2"/>
  <c r="N491" i="2"/>
  <c r="M491" i="2"/>
  <c r="L491" i="2"/>
  <c r="K491" i="2"/>
  <c r="J491" i="2"/>
  <c r="H491" i="2"/>
  <c r="G491" i="2"/>
  <c r="F491" i="2"/>
  <c r="E491" i="2"/>
  <c r="C491" i="2"/>
  <c r="B491" i="2"/>
  <c r="A491" i="2"/>
  <c r="N490" i="2"/>
  <c r="M490" i="2"/>
  <c r="L490" i="2"/>
  <c r="K490" i="2"/>
  <c r="J490" i="2"/>
  <c r="H490" i="2"/>
  <c r="G490" i="2"/>
  <c r="F490" i="2"/>
  <c r="E490" i="2"/>
  <c r="C490" i="2"/>
  <c r="B490" i="2"/>
  <c r="A490" i="2"/>
  <c r="N489" i="2"/>
  <c r="M489" i="2"/>
  <c r="L489" i="2"/>
  <c r="K489" i="2"/>
  <c r="J489" i="2"/>
  <c r="H489" i="2"/>
  <c r="G489" i="2"/>
  <c r="F489" i="2"/>
  <c r="E489" i="2"/>
  <c r="C489" i="2"/>
  <c r="B489" i="2"/>
  <c r="A489" i="2"/>
  <c r="N488" i="2"/>
  <c r="M488" i="2"/>
  <c r="L488" i="2"/>
  <c r="K488" i="2"/>
  <c r="J488" i="2"/>
  <c r="H488" i="2"/>
  <c r="G488" i="2"/>
  <c r="F488" i="2"/>
  <c r="E488" i="2"/>
  <c r="C488" i="2"/>
  <c r="B488" i="2"/>
  <c r="A488" i="2"/>
  <c r="N487" i="2"/>
  <c r="M487" i="2"/>
  <c r="L487" i="2"/>
  <c r="K487" i="2"/>
  <c r="J487" i="2"/>
  <c r="H487" i="2"/>
  <c r="G487" i="2"/>
  <c r="F487" i="2"/>
  <c r="E487" i="2"/>
  <c r="C487" i="2"/>
  <c r="B487" i="2"/>
  <c r="A487" i="2"/>
  <c r="N486" i="2"/>
  <c r="M486" i="2"/>
  <c r="L486" i="2"/>
  <c r="K486" i="2"/>
  <c r="J486" i="2"/>
  <c r="H486" i="2"/>
  <c r="F486" i="2"/>
  <c r="E486" i="2"/>
  <c r="C486" i="2"/>
  <c r="B486" i="2"/>
  <c r="A486" i="2"/>
  <c r="N485" i="2"/>
  <c r="M485" i="2"/>
  <c r="L485" i="2"/>
  <c r="J485" i="2"/>
  <c r="H485" i="2"/>
  <c r="G485" i="2"/>
  <c r="F485" i="2"/>
  <c r="E485" i="2"/>
  <c r="C485" i="2"/>
  <c r="B485" i="2"/>
  <c r="A485" i="2"/>
  <c r="N484" i="2"/>
  <c r="M484" i="2"/>
  <c r="L484" i="2"/>
  <c r="J484" i="2"/>
  <c r="H484" i="2"/>
  <c r="E484" i="2"/>
  <c r="C484" i="2"/>
  <c r="B484" i="2"/>
  <c r="A484" i="2"/>
  <c r="N483" i="2"/>
  <c r="M483" i="2"/>
  <c r="L483" i="2"/>
  <c r="K483" i="2"/>
  <c r="J483" i="2"/>
  <c r="H483" i="2"/>
  <c r="G483" i="2"/>
  <c r="F483" i="2"/>
  <c r="E483" i="2"/>
  <c r="C483" i="2"/>
  <c r="B483" i="2"/>
  <c r="A483" i="2"/>
  <c r="N482" i="2"/>
  <c r="M482" i="2"/>
  <c r="L482" i="2"/>
  <c r="K482" i="2"/>
  <c r="J482" i="2"/>
  <c r="H482" i="2"/>
  <c r="F482" i="2"/>
  <c r="E482" i="2"/>
  <c r="C482" i="2"/>
  <c r="B482" i="2"/>
  <c r="A482" i="2"/>
  <c r="N481" i="2"/>
  <c r="M481" i="2"/>
  <c r="L481" i="2"/>
  <c r="J481" i="2"/>
  <c r="H481" i="2"/>
  <c r="E481" i="2"/>
  <c r="C481" i="2"/>
  <c r="B481" i="2"/>
  <c r="A481" i="2"/>
  <c r="N480" i="2"/>
  <c r="M480" i="2"/>
  <c r="L480" i="2"/>
  <c r="K480" i="2"/>
  <c r="J480" i="2"/>
  <c r="H480" i="2"/>
  <c r="G480" i="2"/>
  <c r="F480" i="2"/>
  <c r="E480" i="2"/>
  <c r="C480" i="2"/>
  <c r="B480" i="2"/>
  <c r="A480" i="2"/>
  <c r="N479" i="2"/>
  <c r="M479" i="2"/>
  <c r="L479" i="2"/>
  <c r="K479" i="2"/>
  <c r="J479" i="2"/>
  <c r="H479" i="2"/>
  <c r="F479" i="2"/>
  <c r="E479" i="2"/>
  <c r="C479" i="2"/>
  <c r="B479" i="2"/>
  <c r="A479" i="2"/>
  <c r="N478" i="2"/>
  <c r="M478" i="2"/>
  <c r="L478" i="2"/>
  <c r="J478" i="2"/>
  <c r="H478" i="2"/>
  <c r="E478" i="2"/>
  <c r="C478" i="2"/>
  <c r="B478" i="2"/>
  <c r="A478" i="2"/>
  <c r="N477" i="2"/>
  <c r="M477" i="2"/>
  <c r="L477" i="2"/>
  <c r="K477" i="2"/>
  <c r="J477" i="2"/>
  <c r="H477" i="2"/>
  <c r="G477" i="2"/>
  <c r="F477" i="2"/>
  <c r="E477" i="2"/>
  <c r="C477" i="2"/>
  <c r="B477" i="2"/>
  <c r="A477" i="2"/>
  <c r="N476" i="2"/>
  <c r="M476" i="2"/>
  <c r="L476" i="2"/>
  <c r="K476" i="2"/>
  <c r="J476" i="2"/>
  <c r="H476" i="2"/>
  <c r="F476" i="2"/>
  <c r="E476" i="2"/>
  <c r="C476" i="2"/>
  <c r="B476" i="2"/>
  <c r="A476" i="2"/>
  <c r="N475" i="2"/>
  <c r="M475" i="2"/>
  <c r="L475" i="2"/>
  <c r="J475" i="2"/>
  <c r="H475" i="2"/>
  <c r="E475" i="2"/>
  <c r="C475" i="2"/>
  <c r="B475" i="2"/>
  <c r="A475" i="2"/>
  <c r="N474" i="2"/>
  <c r="M474" i="2"/>
  <c r="L474" i="2"/>
  <c r="K474" i="2"/>
  <c r="J474" i="2"/>
  <c r="H474" i="2"/>
  <c r="G474" i="2"/>
  <c r="F474" i="2"/>
  <c r="E474" i="2"/>
  <c r="C474" i="2"/>
  <c r="B474" i="2"/>
  <c r="A474" i="2"/>
  <c r="N473" i="2"/>
  <c r="M473" i="2"/>
  <c r="L473" i="2"/>
  <c r="K473" i="2"/>
  <c r="J473" i="2"/>
  <c r="H473" i="2"/>
  <c r="G473" i="2"/>
  <c r="F473" i="2"/>
  <c r="E473" i="2"/>
  <c r="C473" i="2"/>
  <c r="B473" i="2"/>
  <c r="A473" i="2"/>
  <c r="N472" i="2"/>
  <c r="M472" i="2"/>
  <c r="L472" i="2"/>
  <c r="K472" i="2"/>
  <c r="J472" i="2"/>
  <c r="H472" i="2"/>
  <c r="G472" i="2"/>
  <c r="F472" i="2"/>
  <c r="E472" i="2"/>
  <c r="C472" i="2"/>
  <c r="B472" i="2"/>
  <c r="A472" i="2"/>
  <c r="N471" i="2"/>
  <c r="M471" i="2"/>
  <c r="L471" i="2"/>
  <c r="K471" i="2"/>
  <c r="J471" i="2"/>
  <c r="H471" i="2"/>
  <c r="G471" i="2"/>
  <c r="F471" i="2"/>
  <c r="E471" i="2"/>
  <c r="C471" i="2"/>
  <c r="B471" i="2"/>
  <c r="A471" i="2"/>
  <c r="N470" i="2"/>
  <c r="M470" i="2"/>
  <c r="L470" i="2"/>
  <c r="K470" i="2"/>
  <c r="J470" i="2"/>
  <c r="H470" i="2"/>
  <c r="G470" i="2"/>
  <c r="F470" i="2"/>
  <c r="E470" i="2"/>
  <c r="C470" i="2"/>
  <c r="B470" i="2"/>
  <c r="A470" i="2"/>
  <c r="N469" i="2"/>
  <c r="M469" i="2"/>
  <c r="L469" i="2"/>
  <c r="J469" i="2"/>
  <c r="H469" i="2"/>
  <c r="E469" i="2"/>
  <c r="C469" i="2"/>
  <c r="B469" i="2"/>
  <c r="A469" i="2"/>
  <c r="N468" i="2"/>
  <c r="M468" i="2"/>
  <c r="L468" i="2"/>
  <c r="K468" i="2"/>
  <c r="J468" i="2"/>
  <c r="H468" i="2"/>
  <c r="G468" i="2"/>
  <c r="F468" i="2"/>
  <c r="E468" i="2"/>
  <c r="C468" i="2"/>
  <c r="B468" i="2"/>
  <c r="A468" i="2"/>
  <c r="N467" i="2"/>
  <c r="M467" i="2"/>
  <c r="L467" i="2"/>
  <c r="K467" i="2"/>
  <c r="J467" i="2"/>
  <c r="H467" i="2"/>
  <c r="G467" i="2"/>
  <c r="F467" i="2"/>
  <c r="E467" i="2"/>
  <c r="C467" i="2"/>
  <c r="B467" i="2"/>
  <c r="A467" i="2"/>
  <c r="N466" i="2"/>
  <c r="M466" i="2"/>
  <c r="L466" i="2"/>
  <c r="K466" i="2"/>
  <c r="J466" i="2"/>
  <c r="H466" i="2"/>
  <c r="F466" i="2"/>
  <c r="E466" i="2"/>
  <c r="C466" i="2"/>
  <c r="B466" i="2"/>
  <c r="A466" i="2"/>
  <c r="N465" i="2"/>
  <c r="M465" i="2"/>
  <c r="L465" i="2"/>
  <c r="J465" i="2"/>
  <c r="H465" i="2"/>
  <c r="E465" i="2"/>
  <c r="C465" i="2"/>
  <c r="B465" i="2"/>
  <c r="A465" i="2"/>
  <c r="N464" i="2"/>
  <c r="M464" i="2"/>
  <c r="L464" i="2"/>
  <c r="K464" i="2"/>
  <c r="J464" i="2"/>
  <c r="H464" i="2"/>
  <c r="G464" i="2"/>
  <c r="F464" i="2"/>
  <c r="E464" i="2"/>
  <c r="C464" i="2"/>
  <c r="B464" i="2"/>
  <c r="A464" i="2"/>
  <c r="N463" i="2"/>
  <c r="M463" i="2"/>
  <c r="L463" i="2"/>
  <c r="K463" i="2"/>
  <c r="J463" i="2"/>
  <c r="H463" i="2"/>
  <c r="G463" i="2"/>
  <c r="F463" i="2"/>
  <c r="E463" i="2"/>
  <c r="C463" i="2"/>
  <c r="B463" i="2"/>
  <c r="A463" i="2"/>
  <c r="N462" i="2"/>
  <c r="M462" i="2"/>
  <c r="L462" i="2"/>
  <c r="K462" i="2"/>
  <c r="J462" i="2"/>
  <c r="H462" i="2"/>
  <c r="G462" i="2"/>
  <c r="F462" i="2"/>
  <c r="E462" i="2"/>
  <c r="C462" i="2"/>
  <c r="B462" i="2"/>
  <c r="A462" i="2"/>
  <c r="N461" i="2"/>
  <c r="M461" i="2"/>
  <c r="L461" i="2"/>
  <c r="K461" i="2"/>
  <c r="J461" i="2"/>
  <c r="H461" i="2"/>
  <c r="G461" i="2"/>
  <c r="F461" i="2"/>
  <c r="E461" i="2"/>
  <c r="C461" i="2"/>
  <c r="B461" i="2"/>
  <c r="A461" i="2"/>
  <c r="N460" i="2"/>
  <c r="M460" i="2"/>
  <c r="L460" i="2"/>
  <c r="K460" i="2"/>
  <c r="J460" i="2"/>
  <c r="H460" i="2"/>
  <c r="G460" i="2"/>
  <c r="F460" i="2"/>
  <c r="E460" i="2"/>
  <c r="C460" i="2"/>
  <c r="B460" i="2"/>
  <c r="A460" i="2"/>
  <c r="N459" i="2"/>
  <c r="M459" i="2"/>
  <c r="L459" i="2"/>
  <c r="K459" i="2"/>
  <c r="J459" i="2"/>
  <c r="H459" i="2"/>
  <c r="G459" i="2"/>
  <c r="F459" i="2"/>
  <c r="E459" i="2"/>
  <c r="C459" i="2"/>
  <c r="B459" i="2"/>
  <c r="A459" i="2"/>
  <c r="N458" i="2"/>
  <c r="M458" i="2"/>
  <c r="L458" i="2"/>
  <c r="K458" i="2"/>
  <c r="J458" i="2"/>
  <c r="H458" i="2"/>
  <c r="G458" i="2"/>
  <c r="F458" i="2"/>
  <c r="E458" i="2"/>
  <c r="C458" i="2"/>
  <c r="B458" i="2"/>
  <c r="A458" i="2"/>
  <c r="N457" i="2"/>
  <c r="M457" i="2"/>
  <c r="L457" i="2"/>
  <c r="K457" i="2"/>
  <c r="J457" i="2"/>
  <c r="H457" i="2"/>
  <c r="G457" i="2"/>
  <c r="F457" i="2"/>
  <c r="E457" i="2"/>
  <c r="C457" i="2"/>
  <c r="B457" i="2"/>
  <c r="A457" i="2"/>
  <c r="N456" i="2"/>
  <c r="M456" i="2"/>
  <c r="L456" i="2"/>
  <c r="K456" i="2"/>
  <c r="J456" i="2"/>
  <c r="H456" i="2"/>
  <c r="G456" i="2"/>
  <c r="F456" i="2"/>
  <c r="E456" i="2"/>
  <c r="C456" i="2"/>
  <c r="B456" i="2"/>
  <c r="A456" i="2"/>
  <c r="N455" i="2"/>
  <c r="M455" i="2"/>
  <c r="L455" i="2"/>
  <c r="K455" i="2"/>
  <c r="J455" i="2"/>
  <c r="H455" i="2"/>
  <c r="G455" i="2"/>
  <c r="F455" i="2"/>
  <c r="E455" i="2"/>
  <c r="C455" i="2"/>
  <c r="B455" i="2"/>
  <c r="A455" i="2"/>
  <c r="N454" i="2"/>
  <c r="M454" i="2"/>
  <c r="L454" i="2"/>
  <c r="K454" i="2"/>
  <c r="J454" i="2"/>
  <c r="H454" i="2"/>
  <c r="G454" i="2"/>
  <c r="F454" i="2"/>
  <c r="E454" i="2"/>
  <c r="C454" i="2"/>
  <c r="B454" i="2"/>
  <c r="A454" i="2"/>
  <c r="N453" i="2"/>
  <c r="M453" i="2"/>
  <c r="L453" i="2"/>
  <c r="K453" i="2"/>
  <c r="J453" i="2"/>
  <c r="H453" i="2"/>
  <c r="G453" i="2"/>
  <c r="F453" i="2"/>
  <c r="E453" i="2"/>
  <c r="C453" i="2"/>
  <c r="B453" i="2"/>
  <c r="A453" i="2"/>
  <c r="N452" i="2"/>
  <c r="M452" i="2"/>
  <c r="L452" i="2"/>
  <c r="K452" i="2"/>
  <c r="J452" i="2"/>
  <c r="H452" i="2"/>
  <c r="G452" i="2"/>
  <c r="F452" i="2"/>
  <c r="E452" i="2"/>
  <c r="C452" i="2"/>
  <c r="B452" i="2"/>
  <c r="A452" i="2"/>
  <c r="N451" i="2"/>
  <c r="M451" i="2"/>
  <c r="L451" i="2"/>
  <c r="K451" i="2"/>
  <c r="J451" i="2"/>
  <c r="H451" i="2"/>
  <c r="G451" i="2"/>
  <c r="F451" i="2"/>
  <c r="E451" i="2"/>
  <c r="C451" i="2"/>
  <c r="B451" i="2"/>
  <c r="A451" i="2"/>
  <c r="N450" i="2"/>
  <c r="M450" i="2"/>
  <c r="L450" i="2"/>
  <c r="K450" i="2"/>
  <c r="J450" i="2"/>
  <c r="H450" i="2"/>
  <c r="G450" i="2"/>
  <c r="F450" i="2"/>
  <c r="E450" i="2"/>
  <c r="C450" i="2"/>
  <c r="B450" i="2"/>
  <c r="A450" i="2"/>
  <c r="N449" i="2"/>
  <c r="M449" i="2"/>
  <c r="L449" i="2"/>
  <c r="K449" i="2"/>
  <c r="J449" i="2"/>
  <c r="H449" i="2"/>
  <c r="G449" i="2"/>
  <c r="F449" i="2"/>
  <c r="E449" i="2"/>
  <c r="C449" i="2"/>
  <c r="B449" i="2"/>
  <c r="A449" i="2"/>
  <c r="N448" i="2"/>
  <c r="M448" i="2"/>
  <c r="L448" i="2"/>
  <c r="K448" i="2"/>
  <c r="J448" i="2"/>
  <c r="H448" i="2"/>
  <c r="G448" i="2"/>
  <c r="F448" i="2"/>
  <c r="E448" i="2"/>
  <c r="C448" i="2"/>
  <c r="B448" i="2"/>
  <c r="A448" i="2"/>
  <c r="N447" i="2"/>
  <c r="M447" i="2"/>
  <c r="L447" i="2"/>
  <c r="K447" i="2"/>
  <c r="J447" i="2"/>
  <c r="H447" i="2"/>
  <c r="G447" i="2"/>
  <c r="F447" i="2"/>
  <c r="E447" i="2"/>
  <c r="C447" i="2"/>
  <c r="B447" i="2"/>
  <c r="A447" i="2"/>
  <c r="N446" i="2"/>
  <c r="M446" i="2"/>
  <c r="L446" i="2"/>
  <c r="K446" i="2"/>
  <c r="J446" i="2"/>
  <c r="H446" i="2"/>
  <c r="G446" i="2"/>
  <c r="F446" i="2"/>
  <c r="E446" i="2"/>
  <c r="C446" i="2"/>
  <c r="B446" i="2"/>
  <c r="A446" i="2"/>
  <c r="N445" i="2"/>
  <c r="M445" i="2"/>
  <c r="L445" i="2"/>
  <c r="K445" i="2"/>
  <c r="J445" i="2"/>
  <c r="H445" i="2"/>
  <c r="G445" i="2"/>
  <c r="F445" i="2"/>
  <c r="E445" i="2"/>
  <c r="C445" i="2"/>
  <c r="B445" i="2"/>
  <c r="A445" i="2"/>
  <c r="N444" i="2"/>
  <c r="M444" i="2"/>
  <c r="L444" i="2"/>
  <c r="K444" i="2"/>
  <c r="J444" i="2"/>
  <c r="H444" i="2"/>
  <c r="G444" i="2"/>
  <c r="F444" i="2"/>
  <c r="E444" i="2"/>
  <c r="C444" i="2"/>
  <c r="B444" i="2"/>
  <c r="A444" i="2"/>
  <c r="N443" i="2"/>
  <c r="M443" i="2"/>
  <c r="L443" i="2"/>
  <c r="K443" i="2"/>
  <c r="J443" i="2"/>
  <c r="H443" i="2"/>
  <c r="G443" i="2"/>
  <c r="F443" i="2"/>
  <c r="E443" i="2"/>
  <c r="C443" i="2"/>
  <c r="B443" i="2"/>
  <c r="A443" i="2"/>
  <c r="N442" i="2"/>
  <c r="M442" i="2"/>
  <c r="L442" i="2"/>
  <c r="K442" i="2"/>
  <c r="J442" i="2"/>
  <c r="H442" i="2"/>
  <c r="G442" i="2"/>
  <c r="F442" i="2"/>
  <c r="E442" i="2"/>
  <c r="C442" i="2"/>
  <c r="B442" i="2"/>
  <c r="A442" i="2"/>
  <c r="N441" i="2"/>
  <c r="M441" i="2"/>
  <c r="L441" i="2"/>
  <c r="K441" i="2"/>
  <c r="J441" i="2"/>
  <c r="H441" i="2"/>
  <c r="G441" i="2"/>
  <c r="F441" i="2"/>
  <c r="E441" i="2"/>
  <c r="C441" i="2"/>
  <c r="B441" i="2"/>
  <c r="A441" i="2"/>
  <c r="N440" i="2"/>
  <c r="M440" i="2"/>
  <c r="L440" i="2"/>
  <c r="K440" i="2"/>
  <c r="J440" i="2"/>
  <c r="H440" i="2"/>
  <c r="G440" i="2"/>
  <c r="F440" i="2"/>
  <c r="E440" i="2"/>
  <c r="C440" i="2"/>
  <c r="B440" i="2"/>
  <c r="A440" i="2"/>
  <c r="N439" i="2"/>
  <c r="M439" i="2"/>
  <c r="L439" i="2"/>
  <c r="K439" i="2"/>
  <c r="J439" i="2"/>
  <c r="H439" i="2"/>
  <c r="G439" i="2"/>
  <c r="F439" i="2"/>
  <c r="E439" i="2"/>
  <c r="C439" i="2"/>
  <c r="B439" i="2"/>
  <c r="A439" i="2"/>
  <c r="N438" i="2"/>
  <c r="M438" i="2"/>
  <c r="L438" i="2"/>
  <c r="K438" i="2"/>
  <c r="J438" i="2"/>
  <c r="H438" i="2"/>
  <c r="F438" i="2"/>
  <c r="E438" i="2"/>
  <c r="C438" i="2"/>
  <c r="B438" i="2"/>
  <c r="A438" i="2"/>
  <c r="N437" i="2"/>
  <c r="M437" i="2"/>
  <c r="L437" i="2"/>
  <c r="J437" i="2"/>
  <c r="H437" i="2"/>
  <c r="G437" i="2"/>
  <c r="F437" i="2"/>
  <c r="E437" i="2"/>
  <c r="C437" i="2"/>
  <c r="B437" i="2"/>
  <c r="A437" i="2"/>
  <c r="N436" i="2"/>
  <c r="M436" i="2"/>
  <c r="L436" i="2"/>
  <c r="J436" i="2"/>
  <c r="H436" i="2"/>
  <c r="E436" i="2"/>
  <c r="C436" i="2"/>
  <c r="B436" i="2"/>
  <c r="A436" i="2"/>
  <c r="N435" i="2"/>
  <c r="M435" i="2"/>
  <c r="L435" i="2"/>
  <c r="K435" i="2"/>
  <c r="J435" i="2"/>
  <c r="H435" i="2"/>
  <c r="G435" i="2"/>
  <c r="F435" i="2"/>
  <c r="E435" i="2"/>
  <c r="C435" i="2"/>
  <c r="B435" i="2"/>
  <c r="A435" i="2"/>
  <c r="N434" i="2"/>
  <c r="M434" i="2"/>
  <c r="L434" i="2"/>
  <c r="K434" i="2"/>
  <c r="J434" i="2"/>
  <c r="H434" i="2"/>
  <c r="G434" i="2"/>
  <c r="F434" i="2"/>
  <c r="E434" i="2"/>
  <c r="C434" i="2"/>
  <c r="B434" i="2"/>
  <c r="A434" i="2"/>
  <c r="N433" i="2"/>
  <c r="M433" i="2"/>
  <c r="L433" i="2"/>
  <c r="K433" i="2"/>
  <c r="J433" i="2"/>
  <c r="H433" i="2"/>
  <c r="G433" i="2"/>
  <c r="F433" i="2"/>
  <c r="E433" i="2"/>
  <c r="C433" i="2"/>
  <c r="B433" i="2"/>
  <c r="A433" i="2"/>
  <c r="N432" i="2"/>
  <c r="M432" i="2"/>
  <c r="L432" i="2"/>
  <c r="K432" i="2"/>
  <c r="J432" i="2"/>
  <c r="H432" i="2"/>
  <c r="G432" i="2"/>
  <c r="F432" i="2"/>
  <c r="E432" i="2"/>
  <c r="C432" i="2"/>
  <c r="B432" i="2"/>
  <c r="A432" i="2"/>
  <c r="N431" i="2"/>
  <c r="M431" i="2"/>
  <c r="L431" i="2"/>
  <c r="K431" i="2"/>
  <c r="J431" i="2"/>
  <c r="H431" i="2"/>
  <c r="F431" i="2"/>
  <c r="E431" i="2"/>
  <c r="C431" i="2"/>
  <c r="B431" i="2"/>
  <c r="A431" i="2"/>
  <c r="N430" i="2"/>
  <c r="M430" i="2"/>
  <c r="L430" i="2"/>
  <c r="K430" i="2"/>
  <c r="J430" i="2"/>
  <c r="I430" i="2"/>
  <c r="H430" i="2"/>
  <c r="G430" i="2"/>
  <c r="F430" i="2"/>
  <c r="E430" i="2"/>
  <c r="C430" i="2"/>
  <c r="B430" i="2"/>
  <c r="A430" i="2"/>
  <c r="N429" i="2"/>
  <c r="M429" i="2"/>
  <c r="L429" i="2"/>
  <c r="K429" i="2"/>
  <c r="J429" i="2"/>
  <c r="I429" i="2"/>
  <c r="H429" i="2"/>
  <c r="G429" i="2"/>
  <c r="F429" i="2"/>
  <c r="E429" i="2"/>
  <c r="C429" i="2"/>
  <c r="B429" i="2"/>
  <c r="A429" i="2"/>
  <c r="N428" i="2"/>
  <c r="M428" i="2"/>
  <c r="L428" i="2"/>
  <c r="K428" i="2"/>
  <c r="J428" i="2"/>
  <c r="I428" i="2"/>
  <c r="H428" i="2"/>
  <c r="G428" i="2"/>
  <c r="F428" i="2"/>
  <c r="E428" i="2"/>
  <c r="C428" i="2"/>
  <c r="B428" i="2"/>
  <c r="A428" i="2"/>
  <c r="N427" i="2"/>
  <c r="M427" i="2"/>
  <c r="L427" i="2"/>
  <c r="K427" i="2"/>
  <c r="J427" i="2"/>
  <c r="I427" i="2"/>
  <c r="H427" i="2"/>
  <c r="G427" i="2"/>
  <c r="F427" i="2"/>
  <c r="E427" i="2"/>
  <c r="C427" i="2"/>
  <c r="B427" i="2"/>
  <c r="A427" i="2"/>
  <c r="N426" i="2"/>
  <c r="M426" i="2"/>
  <c r="L426" i="2"/>
  <c r="K426" i="2"/>
  <c r="J426" i="2"/>
  <c r="I426" i="2"/>
  <c r="H426" i="2"/>
  <c r="G426" i="2"/>
  <c r="F426" i="2"/>
  <c r="E426" i="2"/>
  <c r="C426" i="2"/>
  <c r="B426" i="2"/>
  <c r="A426" i="2"/>
  <c r="N425" i="2"/>
  <c r="M425" i="2"/>
  <c r="L425" i="2"/>
  <c r="K425" i="2"/>
  <c r="J425" i="2"/>
  <c r="I425" i="2"/>
  <c r="H425" i="2"/>
  <c r="G425" i="2"/>
  <c r="F425" i="2"/>
  <c r="E425" i="2"/>
  <c r="C425" i="2"/>
  <c r="B425" i="2"/>
  <c r="A425" i="2"/>
  <c r="N424" i="2"/>
  <c r="M424" i="2"/>
  <c r="L424" i="2"/>
  <c r="K424" i="2"/>
  <c r="J424" i="2"/>
  <c r="I424" i="2"/>
  <c r="H424" i="2"/>
  <c r="G424" i="2"/>
  <c r="F424" i="2"/>
  <c r="E424" i="2"/>
  <c r="C424" i="2"/>
  <c r="B424" i="2"/>
  <c r="A424" i="2"/>
  <c r="N423" i="2"/>
  <c r="M423" i="2"/>
  <c r="L423" i="2"/>
  <c r="K423" i="2"/>
  <c r="J423" i="2"/>
  <c r="I423" i="2"/>
  <c r="H423" i="2"/>
  <c r="G423" i="2"/>
  <c r="F423" i="2"/>
  <c r="E423" i="2"/>
  <c r="C423" i="2"/>
  <c r="B423" i="2"/>
  <c r="A423" i="2"/>
  <c r="N422" i="2"/>
  <c r="M422" i="2"/>
  <c r="L422" i="2"/>
  <c r="K422" i="2"/>
  <c r="J422" i="2"/>
  <c r="I422" i="2"/>
  <c r="H422" i="2"/>
  <c r="G422" i="2"/>
  <c r="F422" i="2"/>
  <c r="E422" i="2"/>
  <c r="C422" i="2"/>
  <c r="B422" i="2"/>
  <c r="A422" i="2"/>
  <c r="N421" i="2"/>
  <c r="M421" i="2"/>
  <c r="L421" i="2"/>
  <c r="K421" i="2"/>
  <c r="J421" i="2"/>
  <c r="I421" i="2"/>
  <c r="H421" i="2"/>
  <c r="G421" i="2"/>
  <c r="F421" i="2"/>
  <c r="E421" i="2"/>
  <c r="C421" i="2"/>
  <c r="B421" i="2"/>
  <c r="A421" i="2"/>
  <c r="N420" i="2"/>
  <c r="M420" i="2"/>
  <c r="L420" i="2"/>
  <c r="K420" i="2"/>
  <c r="J420" i="2"/>
  <c r="I420" i="2"/>
  <c r="H420" i="2"/>
  <c r="G420" i="2"/>
  <c r="F420" i="2"/>
  <c r="E420" i="2"/>
  <c r="C420" i="2"/>
  <c r="B420" i="2"/>
  <c r="A420" i="2"/>
  <c r="N419" i="2"/>
  <c r="M419" i="2"/>
  <c r="L419" i="2"/>
  <c r="K419" i="2"/>
  <c r="J419" i="2"/>
  <c r="I419" i="2"/>
  <c r="H419" i="2"/>
  <c r="G419" i="2"/>
  <c r="F419" i="2"/>
  <c r="E419" i="2"/>
  <c r="C419" i="2"/>
  <c r="B419" i="2"/>
  <c r="A419" i="2"/>
  <c r="N418" i="2"/>
  <c r="M418" i="2"/>
  <c r="L418" i="2"/>
  <c r="K418" i="2"/>
  <c r="J418" i="2"/>
  <c r="I418" i="2"/>
  <c r="H418" i="2"/>
  <c r="G418" i="2"/>
  <c r="F418" i="2"/>
  <c r="E418" i="2"/>
  <c r="C418" i="2"/>
  <c r="B418" i="2"/>
  <c r="A418" i="2"/>
  <c r="N417" i="2"/>
  <c r="M417" i="2"/>
  <c r="L417" i="2"/>
  <c r="K417" i="2"/>
  <c r="J417" i="2"/>
  <c r="I417" i="2"/>
  <c r="H417" i="2"/>
  <c r="G417" i="2"/>
  <c r="F417" i="2"/>
  <c r="E417" i="2"/>
  <c r="C417" i="2"/>
  <c r="B417" i="2"/>
  <c r="A417" i="2"/>
  <c r="N416" i="2"/>
  <c r="M416" i="2"/>
  <c r="L416" i="2"/>
  <c r="K416" i="2"/>
  <c r="J416" i="2"/>
  <c r="I416" i="2"/>
  <c r="H416" i="2"/>
  <c r="G416" i="2"/>
  <c r="F416" i="2"/>
  <c r="E416" i="2"/>
  <c r="C416" i="2"/>
  <c r="B416" i="2"/>
  <c r="A416" i="2"/>
  <c r="N415" i="2"/>
  <c r="M415" i="2"/>
  <c r="L415" i="2"/>
  <c r="K415" i="2"/>
  <c r="J415" i="2"/>
  <c r="I415" i="2"/>
  <c r="H415" i="2"/>
  <c r="G415" i="2"/>
  <c r="F415" i="2"/>
  <c r="E415" i="2"/>
  <c r="C415" i="2"/>
  <c r="B415" i="2"/>
  <c r="A415" i="2"/>
  <c r="N414" i="2"/>
  <c r="M414" i="2"/>
  <c r="L414" i="2"/>
  <c r="K414" i="2"/>
  <c r="J414" i="2"/>
  <c r="I414" i="2"/>
  <c r="H414" i="2"/>
  <c r="G414" i="2"/>
  <c r="F414" i="2"/>
  <c r="E414" i="2"/>
  <c r="C414" i="2"/>
  <c r="B414" i="2"/>
  <c r="A414" i="2"/>
  <c r="N413" i="2"/>
  <c r="M413" i="2"/>
  <c r="L413" i="2"/>
  <c r="K413" i="2"/>
  <c r="J413" i="2"/>
  <c r="I413" i="2"/>
  <c r="H413" i="2"/>
  <c r="G413" i="2"/>
  <c r="F413" i="2"/>
  <c r="E413" i="2"/>
  <c r="C413" i="2"/>
  <c r="B413" i="2"/>
  <c r="A413" i="2"/>
  <c r="N412" i="2"/>
  <c r="M412" i="2"/>
  <c r="L412" i="2"/>
  <c r="K412" i="2"/>
  <c r="J412" i="2"/>
  <c r="I412" i="2"/>
  <c r="H412" i="2"/>
  <c r="G412" i="2"/>
  <c r="F412" i="2"/>
  <c r="E412" i="2"/>
  <c r="C412" i="2"/>
  <c r="B412" i="2"/>
  <c r="A412" i="2"/>
  <c r="N411" i="2"/>
  <c r="M411" i="2"/>
  <c r="L411" i="2"/>
  <c r="K411" i="2"/>
  <c r="J411" i="2"/>
  <c r="I411" i="2"/>
  <c r="H411" i="2"/>
  <c r="G411" i="2"/>
  <c r="F411" i="2"/>
  <c r="E411" i="2"/>
  <c r="C411" i="2"/>
  <c r="B411" i="2"/>
  <c r="A411" i="2"/>
  <c r="N410" i="2"/>
  <c r="M410" i="2"/>
  <c r="L410" i="2"/>
  <c r="K410" i="2"/>
  <c r="J410" i="2"/>
  <c r="I410" i="2"/>
  <c r="H410" i="2"/>
  <c r="G410" i="2"/>
  <c r="F410" i="2"/>
  <c r="E410" i="2"/>
  <c r="C410" i="2"/>
  <c r="B410" i="2"/>
  <c r="A410" i="2"/>
  <c r="N409" i="2"/>
  <c r="M409" i="2"/>
  <c r="L409" i="2"/>
  <c r="K409" i="2"/>
  <c r="J409" i="2"/>
  <c r="I409" i="2"/>
  <c r="H409" i="2"/>
  <c r="G409" i="2"/>
  <c r="F409" i="2"/>
  <c r="E409" i="2"/>
  <c r="C409" i="2"/>
  <c r="B409" i="2"/>
  <c r="A409" i="2"/>
  <c r="N408" i="2"/>
  <c r="M408" i="2"/>
  <c r="L408" i="2"/>
  <c r="K408" i="2"/>
  <c r="J408" i="2"/>
  <c r="I408" i="2"/>
  <c r="H408" i="2"/>
  <c r="G408" i="2"/>
  <c r="F408" i="2"/>
  <c r="E408" i="2"/>
  <c r="C408" i="2"/>
  <c r="B408" i="2"/>
  <c r="A408" i="2"/>
  <c r="N407" i="2"/>
  <c r="M407" i="2"/>
  <c r="L407" i="2"/>
  <c r="J407" i="2"/>
  <c r="I407" i="2"/>
  <c r="H407" i="2"/>
  <c r="G407" i="2"/>
  <c r="F407" i="2"/>
  <c r="E407" i="2"/>
  <c r="D407" i="2"/>
  <c r="C407" i="2"/>
  <c r="B407" i="2"/>
  <c r="A407" i="2"/>
  <c r="N406" i="2"/>
  <c r="M406" i="2"/>
  <c r="L406" i="2"/>
  <c r="J406" i="2"/>
  <c r="I406" i="2"/>
  <c r="H406" i="2"/>
  <c r="G406" i="2"/>
  <c r="F406" i="2"/>
  <c r="E406" i="2"/>
  <c r="D406" i="2"/>
  <c r="C406" i="2"/>
  <c r="B406" i="2"/>
  <c r="A406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405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404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403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402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401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400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399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398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397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396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395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394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393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392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391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390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389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388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A387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A386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A385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384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383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382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381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380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379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378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377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376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375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374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373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372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N363" i="2"/>
  <c r="M363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N362" i="2"/>
  <c r="M362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N340" i="2"/>
  <c r="M340" i="2"/>
  <c r="L340" i="2"/>
  <c r="J340" i="2"/>
  <c r="I340" i="2"/>
  <c r="H340" i="2"/>
  <c r="G340" i="2"/>
  <c r="F340" i="2"/>
  <c r="E340" i="2"/>
  <c r="D340" i="2"/>
  <c r="C340" i="2"/>
  <c r="B340" i="2"/>
  <c r="A340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N307" i="2"/>
  <c r="M307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N302" i="2"/>
  <c r="M302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N301" i="2"/>
  <c r="M301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N294" i="2"/>
  <c r="M294" i="2"/>
  <c r="L294" i="2"/>
  <c r="J294" i="2"/>
  <c r="I294" i="2"/>
  <c r="H294" i="2"/>
  <c r="G294" i="2"/>
  <c r="F294" i="2"/>
  <c r="E294" i="2"/>
  <c r="D294" i="2"/>
  <c r="C294" i="2"/>
  <c r="B294" i="2"/>
  <c r="A294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N277" i="2"/>
  <c r="M277" i="2"/>
  <c r="L277" i="2"/>
  <c r="J277" i="2"/>
  <c r="I277" i="2"/>
  <c r="H277" i="2"/>
  <c r="G277" i="2"/>
  <c r="F277" i="2"/>
  <c r="E277" i="2"/>
  <c r="D277" i="2"/>
  <c r="C277" i="2"/>
  <c r="B277" i="2"/>
  <c r="A277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N254" i="2"/>
  <c r="M254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N244" i="2"/>
  <c r="M244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N243" i="2"/>
  <c r="M243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N235" i="2"/>
  <c r="M235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N234" i="2"/>
  <c r="M234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N173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N172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N168" i="2"/>
  <c r="M168" i="2"/>
  <c r="L168" i="2"/>
  <c r="J168" i="2"/>
  <c r="I168" i="2"/>
  <c r="H168" i="2"/>
  <c r="G168" i="2"/>
  <c r="F168" i="2"/>
  <c r="E168" i="2"/>
  <c r="D168" i="2"/>
  <c r="C168" i="2"/>
  <c r="B168" i="2"/>
  <c r="A168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N163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N162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N161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N160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N159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N158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N157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N97" i="2"/>
  <c r="M97" i="2"/>
  <c r="L97" i="2"/>
  <c r="J97" i="2"/>
  <c r="H97" i="2"/>
  <c r="E97" i="2"/>
  <c r="C97" i="2"/>
  <c r="B97" i="2"/>
  <c r="A97" i="2"/>
  <c r="N96" i="2"/>
  <c r="M96" i="2"/>
  <c r="L96" i="2"/>
  <c r="K96" i="2"/>
  <c r="J96" i="2"/>
  <c r="H96" i="2"/>
  <c r="G96" i="2"/>
  <c r="F96" i="2"/>
  <c r="E96" i="2"/>
  <c r="C96" i="2"/>
  <c r="B96" i="2"/>
  <c r="A96" i="2"/>
  <c r="N95" i="2"/>
  <c r="M95" i="2"/>
  <c r="L95" i="2"/>
  <c r="K95" i="2"/>
  <c r="J95" i="2"/>
  <c r="H95" i="2"/>
  <c r="F95" i="2"/>
  <c r="E95" i="2"/>
  <c r="C95" i="2"/>
  <c r="B95" i="2"/>
  <c r="A95" i="2"/>
  <c r="N94" i="2"/>
  <c r="M94" i="2"/>
  <c r="L94" i="2"/>
  <c r="J94" i="2"/>
  <c r="H94" i="2"/>
  <c r="E94" i="2"/>
  <c r="C94" i="2"/>
  <c r="B94" i="2"/>
  <c r="A94" i="2"/>
  <c r="N93" i="2"/>
  <c r="M93" i="2"/>
  <c r="L93" i="2"/>
  <c r="K93" i="2"/>
  <c r="J93" i="2"/>
  <c r="H93" i="2"/>
  <c r="G93" i="2"/>
  <c r="F93" i="2"/>
  <c r="E93" i="2"/>
  <c r="C93" i="2"/>
  <c r="B93" i="2"/>
  <c r="A93" i="2"/>
  <c r="N92" i="2"/>
  <c r="M92" i="2"/>
  <c r="L92" i="2"/>
  <c r="K92" i="2"/>
  <c r="J92" i="2"/>
  <c r="H92" i="2"/>
  <c r="F92" i="2"/>
  <c r="E92" i="2"/>
  <c r="C92" i="2"/>
  <c r="B92" i="2"/>
  <c r="A92" i="2"/>
  <c r="N91" i="2"/>
  <c r="M91" i="2"/>
  <c r="L91" i="2"/>
  <c r="J91" i="2"/>
  <c r="H91" i="2"/>
  <c r="E91" i="2"/>
  <c r="C91" i="2"/>
  <c r="B91" i="2"/>
  <c r="A91" i="2"/>
  <c r="N90" i="2"/>
  <c r="M90" i="2"/>
  <c r="L90" i="2"/>
  <c r="K90" i="2"/>
  <c r="J90" i="2"/>
  <c r="H90" i="2"/>
  <c r="G90" i="2"/>
  <c r="F90" i="2"/>
  <c r="E90" i="2"/>
  <c r="C90" i="2"/>
  <c r="B90" i="2"/>
  <c r="A90" i="2"/>
  <c r="N89" i="2"/>
  <c r="M89" i="2"/>
  <c r="L89" i="2"/>
  <c r="K89" i="2"/>
  <c r="J89" i="2"/>
  <c r="H89" i="2"/>
  <c r="F89" i="2"/>
  <c r="E89" i="2"/>
  <c r="C89" i="2"/>
  <c r="B89" i="2"/>
  <c r="A89" i="2"/>
  <c r="N88" i="2"/>
  <c r="M88" i="2"/>
  <c r="L88" i="2"/>
  <c r="K88" i="2"/>
  <c r="J88" i="2"/>
  <c r="H88" i="2"/>
  <c r="G88" i="2"/>
  <c r="F88" i="2"/>
  <c r="E88" i="2"/>
  <c r="C88" i="2"/>
  <c r="B88" i="2"/>
  <c r="A88" i="2"/>
  <c r="N87" i="2"/>
  <c r="M87" i="2"/>
  <c r="L87" i="2"/>
  <c r="K87" i="2"/>
  <c r="J87" i="2"/>
  <c r="H87" i="2"/>
  <c r="G87" i="2"/>
  <c r="F87" i="2"/>
  <c r="E87" i="2"/>
  <c r="C87" i="2"/>
  <c r="B87" i="2"/>
  <c r="A87" i="2"/>
  <c r="N86" i="2"/>
  <c r="M86" i="2"/>
  <c r="L86" i="2"/>
  <c r="K86" i="2"/>
  <c r="J86" i="2"/>
  <c r="H86" i="2"/>
  <c r="G86" i="2"/>
  <c r="F86" i="2"/>
  <c r="E86" i="2"/>
  <c r="C86" i="2"/>
  <c r="B86" i="2"/>
  <c r="A86" i="2"/>
  <c r="N85" i="2"/>
  <c r="M85" i="2"/>
  <c r="L85" i="2"/>
  <c r="J85" i="2"/>
  <c r="H85" i="2"/>
  <c r="E85" i="2"/>
  <c r="C85" i="2"/>
  <c r="B85" i="2"/>
  <c r="A85" i="2"/>
  <c r="N84" i="2"/>
  <c r="M84" i="2"/>
  <c r="L84" i="2"/>
  <c r="K84" i="2"/>
  <c r="J84" i="2"/>
  <c r="H84" i="2"/>
  <c r="G84" i="2"/>
  <c r="F84" i="2"/>
  <c r="E84" i="2"/>
  <c r="C84" i="2"/>
  <c r="B84" i="2"/>
  <c r="A84" i="2"/>
  <c r="N83" i="2"/>
  <c r="M83" i="2"/>
  <c r="L83" i="2"/>
  <c r="K83" i="2"/>
  <c r="J83" i="2"/>
  <c r="H83" i="2"/>
  <c r="F83" i="2"/>
  <c r="E83" i="2"/>
  <c r="C83" i="2"/>
  <c r="B83" i="2"/>
  <c r="A83" i="2"/>
  <c r="N82" i="2"/>
  <c r="M82" i="2"/>
  <c r="L82" i="2"/>
  <c r="J82" i="2"/>
  <c r="H82" i="2"/>
  <c r="E82" i="2"/>
  <c r="C82" i="2"/>
  <c r="B82" i="2"/>
  <c r="A82" i="2"/>
  <c r="N81" i="2"/>
  <c r="M81" i="2"/>
  <c r="L81" i="2"/>
  <c r="K81" i="2"/>
  <c r="J81" i="2"/>
  <c r="H81" i="2"/>
  <c r="G81" i="2"/>
  <c r="F81" i="2"/>
  <c r="E81" i="2"/>
  <c r="C81" i="2"/>
  <c r="B81" i="2"/>
  <c r="A81" i="2"/>
  <c r="N80" i="2"/>
  <c r="M80" i="2"/>
  <c r="L80" i="2"/>
  <c r="K80" i="2"/>
  <c r="J80" i="2"/>
  <c r="H80" i="2"/>
  <c r="F80" i="2"/>
  <c r="E80" i="2"/>
  <c r="C80" i="2"/>
  <c r="B80" i="2"/>
  <c r="A80" i="2"/>
  <c r="N79" i="2"/>
  <c r="M79" i="2"/>
  <c r="L79" i="2"/>
  <c r="J79" i="2"/>
  <c r="H79" i="2"/>
  <c r="E79" i="2"/>
  <c r="C79" i="2"/>
  <c r="B79" i="2"/>
  <c r="A79" i="2"/>
  <c r="N78" i="2"/>
  <c r="M78" i="2"/>
  <c r="L78" i="2"/>
  <c r="K78" i="2"/>
  <c r="J78" i="2"/>
  <c r="H78" i="2"/>
  <c r="G78" i="2"/>
  <c r="F78" i="2"/>
  <c r="E78" i="2"/>
  <c r="C78" i="2"/>
  <c r="B78" i="2"/>
  <c r="A78" i="2"/>
  <c r="N77" i="2"/>
  <c r="M77" i="2"/>
  <c r="L77" i="2"/>
  <c r="K77" i="2"/>
  <c r="J77" i="2"/>
  <c r="H77" i="2"/>
  <c r="G77" i="2"/>
  <c r="F77" i="2"/>
  <c r="E77" i="2"/>
  <c r="C77" i="2"/>
  <c r="B77" i="2"/>
  <c r="A77" i="2"/>
  <c r="N76" i="2"/>
  <c r="M76" i="2"/>
  <c r="L76" i="2"/>
  <c r="K76" i="2"/>
  <c r="J76" i="2"/>
  <c r="H76" i="2"/>
  <c r="F76" i="2"/>
  <c r="E76" i="2"/>
  <c r="C76" i="2"/>
  <c r="B76" i="2"/>
  <c r="A76" i="2"/>
  <c r="N75" i="2"/>
  <c r="M75" i="2"/>
  <c r="L75" i="2"/>
  <c r="J75" i="2"/>
  <c r="H75" i="2"/>
  <c r="E75" i="2"/>
  <c r="C75" i="2"/>
  <c r="B75" i="2"/>
  <c r="A75" i="2"/>
  <c r="N74" i="2"/>
  <c r="M74" i="2"/>
  <c r="L74" i="2"/>
  <c r="J74" i="2"/>
  <c r="H74" i="2"/>
  <c r="G74" i="2"/>
  <c r="F74" i="2"/>
  <c r="E74" i="2"/>
  <c r="C74" i="2"/>
  <c r="B74" i="2"/>
  <c r="A74" i="2"/>
  <c r="N73" i="2"/>
  <c r="M73" i="2"/>
  <c r="L73" i="2"/>
  <c r="K73" i="2"/>
  <c r="J73" i="2"/>
  <c r="H73" i="2"/>
  <c r="G73" i="2"/>
  <c r="F73" i="2"/>
  <c r="E73" i="2"/>
  <c r="C73" i="2"/>
  <c r="B73" i="2"/>
  <c r="A73" i="2"/>
  <c r="N72" i="2"/>
  <c r="M72" i="2"/>
  <c r="L72" i="2"/>
  <c r="K72" i="2"/>
  <c r="J72" i="2"/>
  <c r="H72" i="2"/>
  <c r="G72" i="2"/>
  <c r="F72" i="2"/>
  <c r="E72" i="2"/>
  <c r="C72" i="2"/>
  <c r="B72" i="2"/>
  <c r="A72" i="2"/>
  <c r="N71" i="2"/>
  <c r="M71" i="2"/>
  <c r="L71" i="2"/>
  <c r="K71" i="2"/>
  <c r="J71" i="2"/>
  <c r="H71" i="2"/>
  <c r="G71" i="2"/>
  <c r="F71" i="2"/>
  <c r="E71" i="2"/>
  <c r="C71" i="2"/>
  <c r="B71" i="2"/>
  <c r="A71" i="2"/>
  <c r="N70" i="2"/>
  <c r="M70" i="2"/>
  <c r="L70" i="2"/>
  <c r="K70" i="2"/>
  <c r="J70" i="2"/>
  <c r="H70" i="2"/>
  <c r="G70" i="2"/>
  <c r="F70" i="2"/>
  <c r="E70" i="2"/>
  <c r="C70" i="2"/>
  <c r="B70" i="2"/>
  <c r="A70" i="2"/>
  <c r="N69" i="2"/>
  <c r="M69" i="2"/>
  <c r="L69" i="2"/>
  <c r="K69" i="2"/>
  <c r="J69" i="2"/>
  <c r="H69" i="2"/>
  <c r="G69" i="2"/>
  <c r="F69" i="2"/>
  <c r="E69" i="2"/>
  <c r="C69" i="2"/>
  <c r="B69" i="2"/>
  <c r="A69" i="2"/>
  <c r="N68" i="2"/>
  <c r="M68" i="2"/>
  <c r="L68" i="2"/>
  <c r="K68" i="2"/>
  <c r="J68" i="2"/>
  <c r="H68" i="2"/>
  <c r="G68" i="2"/>
  <c r="F68" i="2"/>
  <c r="E68" i="2"/>
  <c r="C68" i="2"/>
  <c r="B68" i="2"/>
  <c r="A68" i="2"/>
  <c r="N67" i="2"/>
  <c r="M67" i="2"/>
  <c r="L67" i="2"/>
  <c r="K67" i="2"/>
  <c r="J67" i="2"/>
  <c r="H67" i="2"/>
  <c r="F67" i="2"/>
  <c r="E67" i="2"/>
  <c r="C67" i="2"/>
  <c r="B67" i="2"/>
  <c r="A67" i="2"/>
  <c r="N66" i="2"/>
  <c r="M66" i="2"/>
  <c r="L66" i="2"/>
  <c r="J66" i="2"/>
  <c r="H66" i="2"/>
  <c r="G66" i="2"/>
  <c r="F66" i="2"/>
  <c r="E66" i="2"/>
  <c r="C66" i="2"/>
  <c r="B66" i="2"/>
  <c r="A66" i="2"/>
  <c r="N65" i="2"/>
  <c r="M65" i="2"/>
  <c r="L65" i="2"/>
  <c r="J65" i="2"/>
  <c r="H65" i="2"/>
  <c r="E65" i="2"/>
  <c r="C65" i="2"/>
  <c r="B65" i="2"/>
  <c r="A65" i="2"/>
  <c r="N64" i="2"/>
  <c r="M64" i="2"/>
  <c r="L64" i="2"/>
  <c r="K64" i="2"/>
  <c r="J64" i="2"/>
  <c r="H64" i="2"/>
  <c r="G64" i="2"/>
  <c r="F64" i="2"/>
  <c r="E64" i="2"/>
  <c r="C64" i="2"/>
  <c r="B64" i="2"/>
  <c r="A64" i="2"/>
  <c r="N63" i="2"/>
  <c r="M63" i="2"/>
  <c r="L63" i="2"/>
  <c r="K63" i="2"/>
  <c r="J63" i="2"/>
  <c r="H63" i="2"/>
  <c r="F63" i="2"/>
  <c r="E63" i="2"/>
  <c r="C63" i="2"/>
  <c r="B63" i="2"/>
  <c r="A63" i="2"/>
  <c r="N62" i="2"/>
  <c r="M62" i="2"/>
  <c r="L62" i="2"/>
  <c r="J62" i="2"/>
  <c r="H62" i="2"/>
  <c r="E62" i="2"/>
  <c r="C62" i="2"/>
  <c r="B62" i="2"/>
  <c r="A62" i="2"/>
  <c r="N61" i="2"/>
  <c r="M61" i="2"/>
  <c r="L61" i="2"/>
  <c r="K61" i="2"/>
  <c r="J61" i="2"/>
  <c r="H61" i="2"/>
  <c r="G61" i="2"/>
  <c r="F61" i="2"/>
  <c r="E61" i="2"/>
  <c r="C61" i="2"/>
  <c r="B61" i="2"/>
  <c r="A61" i="2"/>
  <c r="N60" i="2"/>
  <c r="M60" i="2"/>
  <c r="L60" i="2"/>
  <c r="K60" i="2"/>
  <c r="J60" i="2"/>
  <c r="H60" i="2"/>
  <c r="F60" i="2"/>
  <c r="E60" i="2"/>
  <c r="C60" i="2"/>
  <c r="B60" i="2"/>
  <c r="A60" i="2"/>
  <c r="N59" i="2"/>
  <c r="M59" i="2"/>
  <c r="L59" i="2"/>
  <c r="K59" i="2"/>
  <c r="J59" i="2"/>
  <c r="H59" i="2"/>
  <c r="G59" i="2"/>
  <c r="F59" i="2"/>
  <c r="E59" i="2"/>
  <c r="C59" i="2"/>
  <c r="B59" i="2"/>
  <c r="A59" i="2"/>
  <c r="N58" i="2"/>
  <c r="M58" i="2"/>
  <c r="L58" i="2"/>
  <c r="K58" i="2"/>
  <c r="J58" i="2"/>
  <c r="H58" i="2"/>
  <c r="G58" i="2"/>
  <c r="F58" i="2"/>
  <c r="E58" i="2"/>
  <c r="C58" i="2"/>
  <c r="B58" i="2"/>
  <c r="A58" i="2"/>
  <c r="N57" i="2"/>
  <c r="M57" i="2"/>
  <c r="L57" i="2"/>
  <c r="K57" i="2"/>
  <c r="J57" i="2"/>
  <c r="H57" i="2"/>
  <c r="G57" i="2"/>
  <c r="F57" i="2"/>
  <c r="E57" i="2"/>
  <c r="C57" i="2"/>
  <c r="B57" i="2"/>
  <c r="A57" i="2"/>
  <c r="N56" i="2"/>
  <c r="M56" i="2"/>
  <c r="L56" i="2"/>
  <c r="K56" i="2"/>
  <c r="J56" i="2"/>
  <c r="H56" i="2"/>
  <c r="G56" i="2"/>
  <c r="F56" i="2"/>
  <c r="E56" i="2"/>
  <c r="C56" i="2"/>
  <c r="B56" i="2"/>
  <c r="A56" i="2"/>
  <c r="N55" i="2"/>
  <c r="M55" i="2"/>
  <c r="L55" i="2"/>
  <c r="J55" i="2"/>
  <c r="H55" i="2"/>
  <c r="G55" i="2"/>
  <c r="F55" i="2"/>
  <c r="E55" i="2"/>
  <c r="C55" i="2"/>
  <c r="B55" i="2"/>
  <c r="A55" i="2"/>
  <c r="N54" i="2"/>
  <c r="M54" i="2"/>
  <c r="L54" i="2"/>
  <c r="K54" i="2"/>
  <c r="J54" i="2"/>
  <c r="H54" i="2"/>
  <c r="G54" i="2"/>
  <c r="F54" i="2"/>
  <c r="E54" i="2"/>
  <c r="C54" i="2"/>
  <c r="B54" i="2"/>
  <c r="A54" i="2"/>
  <c r="N53" i="2"/>
  <c r="M53" i="2"/>
  <c r="L53" i="2"/>
  <c r="K53" i="2"/>
  <c r="J53" i="2"/>
  <c r="H53" i="2"/>
  <c r="G53" i="2"/>
  <c r="F53" i="2"/>
  <c r="E53" i="2"/>
  <c r="C53" i="2"/>
  <c r="B53" i="2"/>
  <c r="A53" i="2"/>
  <c r="N52" i="2"/>
  <c r="M52" i="2"/>
  <c r="L52" i="2"/>
  <c r="K52" i="2"/>
  <c r="J52" i="2"/>
  <c r="H52" i="2"/>
  <c r="G52" i="2"/>
  <c r="F52" i="2"/>
  <c r="E52" i="2"/>
  <c r="C52" i="2"/>
  <c r="B52" i="2"/>
  <c r="A52" i="2"/>
  <c r="N51" i="2"/>
  <c r="M51" i="2"/>
  <c r="L51" i="2"/>
  <c r="K51" i="2"/>
  <c r="J51" i="2"/>
  <c r="H51" i="2"/>
  <c r="G51" i="2"/>
  <c r="F51" i="2"/>
  <c r="E51" i="2"/>
  <c r="C51" i="2"/>
  <c r="B51" i="2"/>
  <c r="A51" i="2"/>
  <c r="N50" i="2"/>
  <c r="M50" i="2"/>
  <c r="L50" i="2"/>
  <c r="K50" i="2"/>
  <c r="J50" i="2"/>
  <c r="H50" i="2"/>
  <c r="G50" i="2"/>
  <c r="F50" i="2"/>
  <c r="E50" i="2"/>
  <c r="C50" i="2"/>
  <c r="B50" i="2"/>
  <c r="A50" i="2"/>
  <c r="N49" i="2"/>
  <c r="M49" i="2"/>
  <c r="L49" i="2"/>
  <c r="J49" i="2"/>
  <c r="H49" i="2"/>
  <c r="G49" i="2"/>
  <c r="F49" i="2"/>
  <c r="E49" i="2"/>
  <c r="C49" i="2"/>
  <c r="B49" i="2"/>
  <c r="A49" i="2"/>
  <c r="N48" i="2"/>
  <c r="M48" i="2"/>
  <c r="L48" i="2"/>
  <c r="K48" i="2"/>
  <c r="J48" i="2"/>
  <c r="H48" i="2"/>
  <c r="G48" i="2"/>
  <c r="F48" i="2"/>
  <c r="E48" i="2"/>
  <c r="C48" i="2"/>
  <c r="B48" i="2"/>
  <c r="A48" i="2"/>
  <c r="N47" i="2"/>
  <c r="M47" i="2"/>
  <c r="L47" i="2"/>
  <c r="K47" i="2"/>
  <c r="J47" i="2"/>
  <c r="H47" i="2"/>
  <c r="G47" i="2"/>
  <c r="F47" i="2"/>
  <c r="E47" i="2"/>
  <c r="C47" i="2"/>
  <c r="B47" i="2"/>
  <c r="A47" i="2"/>
  <c r="N46" i="2"/>
  <c r="M46" i="2"/>
  <c r="L46" i="2"/>
  <c r="K46" i="2"/>
  <c r="J46" i="2"/>
  <c r="H46" i="2"/>
  <c r="G46" i="2"/>
  <c r="F46" i="2"/>
  <c r="E46" i="2"/>
  <c r="C46" i="2"/>
  <c r="B46" i="2"/>
  <c r="A46" i="2"/>
  <c r="N45" i="2"/>
  <c r="M45" i="2"/>
  <c r="L45" i="2"/>
  <c r="K45" i="2"/>
  <c r="J45" i="2"/>
  <c r="H45" i="2"/>
  <c r="G45" i="2"/>
  <c r="F45" i="2"/>
  <c r="E45" i="2"/>
  <c r="C45" i="2"/>
  <c r="B45" i="2"/>
  <c r="A45" i="2"/>
  <c r="N44" i="2"/>
  <c r="M44" i="2"/>
  <c r="L44" i="2"/>
  <c r="K44" i="2"/>
  <c r="J44" i="2"/>
  <c r="H44" i="2"/>
  <c r="G44" i="2"/>
  <c r="F44" i="2"/>
  <c r="E44" i="2"/>
  <c r="C44" i="2"/>
  <c r="B44" i="2"/>
  <c r="A44" i="2"/>
  <c r="N43" i="2"/>
  <c r="M43" i="2"/>
  <c r="L43" i="2"/>
  <c r="K43" i="2"/>
  <c r="J43" i="2"/>
  <c r="H43" i="2"/>
  <c r="G43" i="2"/>
  <c r="F43" i="2"/>
  <c r="E43" i="2"/>
  <c r="C43" i="2"/>
  <c r="B43" i="2"/>
  <c r="A43" i="2"/>
  <c r="N42" i="2"/>
  <c r="M42" i="2"/>
  <c r="L42" i="2"/>
  <c r="K42" i="2"/>
  <c r="J42" i="2"/>
  <c r="H42" i="2"/>
  <c r="G42" i="2"/>
  <c r="F42" i="2"/>
  <c r="E42" i="2"/>
  <c r="C42" i="2"/>
  <c r="B42" i="2"/>
  <c r="A42" i="2"/>
  <c r="N41" i="2"/>
  <c r="M41" i="2"/>
  <c r="L41" i="2"/>
  <c r="K41" i="2"/>
  <c r="J41" i="2"/>
  <c r="H41" i="2"/>
  <c r="G41" i="2"/>
  <c r="F41" i="2"/>
  <c r="E41" i="2"/>
  <c r="C41" i="2"/>
  <c r="B41" i="2"/>
  <c r="A41" i="2"/>
  <c r="N40" i="2"/>
  <c r="M40" i="2"/>
  <c r="L40" i="2"/>
  <c r="K40" i="2"/>
  <c r="J40" i="2"/>
  <c r="H40" i="2"/>
  <c r="G40" i="2"/>
  <c r="F40" i="2"/>
  <c r="E40" i="2"/>
  <c r="C40" i="2"/>
  <c r="B40" i="2"/>
  <c r="A40" i="2"/>
  <c r="N39" i="2"/>
  <c r="M39" i="2"/>
  <c r="L39" i="2"/>
  <c r="K39" i="2"/>
  <c r="J39" i="2"/>
  <c r="H39" i="2"/>
  <c r="G39" i="2"/>
  <c r="F39" i="2"/>
  <c r="E39" i="2"/>
  <c r="C39" i="2"/>
  <c r="B39" i="2"/>
  <c r="A39" i="2"/>
  <c r="N38" i="2"/>
  <c r="M38" i="2"/>
  <c r="L38" i="2"/>
  <c r="K38" i="2"/>
  <c r="J38" i="2"/>
  <c r="H38" i="2"/>
  <c r="G38" i="2"/>
  <c r="F38" i="2"/>
  <c r="E38" i="2"/>
  <c r="C38" i="2"/>
  <c r="B38" i="2"/>
  <c r="A38" i="2"/>
  <c r="N37" i="2"/>
  <c r="M37" i="2"/>
  <c r="L37" i="2"/>
  <c r="K37" i="2"/>
  <c r="J37" i="2"/>
  <c r="H37" i="2"/>
  <c r="G37" i="2"/>
  <c r="F37" i="2"/>
  <c r="E37" i="2"/>
  <c r="C37" i="2"/>
  <c r="B37" i="2"/>
  <c r="A37" i="2"/>
  <c r="N36" i="2"/>
  <c r="M36" i="2"/>
  <c r="L36" i="2"/>
  <c r="J36" i="2"/>
  <c r="H36" i="2"/>
  <c r="G36" i="2"/>
  <c r="F36" i="2"/>
  <c r="E36" i="2"/>
  <c r="C36" i="2"/>
  <c r="B36" i="2"/>
  <c r="A36" i="2"/>
  <c r="N35" i="2"/>
  <c r="M35" i="2"/>
  <c r="L35" i="2"/>
  <c r="K35" i="2"/>
  <c r="J35" i="2"/>
  <c r="H35" i="2"/>
  <c r="G35" i="2"/>
  <c r="F35" i="2"/>
  <c r="E35" i="2"/>
  <c r="C35" i="2"/>
  <c r="B35" i="2"/>
  <c r="A35" i="2"/>
  <c r="N34" i="2"/>
  <c r="M34" i="2"/>
  <c r="L34" i="2"/>
  <c r="J34" i="2"/>
  <c r="H34" i="2"/>
  <c r="G34" i="2"/>
  <c r="F34" i="2"/>
  <c r="E34" i="2"/>
  <c r="C34" i="2"/>
  <c r="B34" i="2"/>
  <c r="A34" i="2"/>
  <c r="N33" i="2"/>
  <c r="M33" i="2"/>
  <c r="L33" i="2"/>
  <c r="K33" i="2"/>
  <c r="J33" i="2"/>
  <c r="H33" i="2"/>
  <c r="G33" i="2"/>
  <c r="F33" i="2"/>
  <c r="E33" i="2"/>
  <c r="C33" i="2"/>
  <c r="B33" i="2"/>
  <c r="A33" i="2"/>
  <c r="N32" i="2"/>
  <c r="M32" i="2"/>
  <c r="L32" i="2"/>
  <c r="K32" i="2"/>
  <c r="J32" i="2"/>
  <c r="H32" i="2"/>
  <c r="G32" i="2"/>
  <c r="F32" i="2"/>
  <c r="E32" i="2"/>
  <c r="C32" i="2"/>
  <c r="B32" i="2"/>
  <c r="A32" i="2"/>
  <c r="N31" i="2"/>
  <c r="M31" i="2"/>
  <c r="L31" i="2"/>
  <c r="K31" i="2"/>
  <c r="J31" i="2"/>
  <c r="H31" i="2"/>
  <c r="G31" i="2"/>
  <c r="F31" i="2"/>
  <c r="E31" i="2"/>
  <c r="C31" i="2"/>
  <c r="B31" i="2"/>
  <c r="A31" i="2"/>
  <c r="N30" i="2"/>
  <c r="M30" i="2"/>
  <c r="L30" i="2"/>
  <c r="K30" i="2"/>
  <c r="J30" i="2"/>
  <c r="H30" i="2"/>
  <c r="G30" i="2"/>
  <c r="F30" i="2"/>
  <c r="E30" i="2"/>
  <c r="C30" i="2"/>
  <c r="B30" i="2"/>
  <c r="A30" i="2"/>
  <c r="N29" i="2"/>
  <c r="M29" i="2"/>
  <c r="L29" i="2"/>
  <c r="J29" i="2"/>
  <c r="H29" i="2"/>
  <c r="G29" i="2"/>
  <c r="F29" i="2"/>
  <c r="E29" i="2"/>
  <c r="C29" i="2"/>
  <c r="B29" i="2"/>
  <c r="A29" i="2"/>
  <c r="N28" i="2"/>
  <c r="M28" i="2"/>
  <c r="L28" i="2"/>
  <c r="K28" i="2"/>
  <c r="J28" i="2"/>
  <c r="H28" i="2"/>
  <c r="G28" i="2"/>
  <c r="F28" i="2"/>
  <c r="E28" i="2"/>
  <c r="C28" i="2"/>
  <c r="B28" i="2"/>
  <c r="A28" i="2"/>
  <c r="N27" i="2"/>
  <c r="M27" i="2"/>
  <c r="L27" i="2"/>
  <c r="K27" i="2"/>
  <c r="J27" i="2"/>
  <c r="H27" i="2"/>
  <c r="G27" i="2"/>
  <c r="F27" i="2"/>
  <c r="E27" i="2"/>
  <c r="C27" i="2"/>
  <c r="B27" i="2"/>
  <c r="A27" i="2"/>
  <c r="N26" i="2"/>
  <c r="M26" i="2"/>
  <c r="L26" i="2"/>
  <c r="K26" i="2"/>
  <c r="J26" i="2"/>
  <c r="H26" i="2"/>
  <c r="G26" i="2"/>
  <c r="F26" i="2"/>
  <c r="E26" i="2"/>
  <c r="C26" i="2"/>
  <c r="B26" i="2"/>
  <c r="A26" i="2"/>
  <c r="N25" i="2"/>
  <c r="M25" i="2"/>
  <c r="L25" i="2"/>
  <c r="K25" i="2"/>
  <c r="J25" i="2"/>
  <c r="H25" i="2"/>
  <c r="G25" i="2"/>
  <c r="F25" i="2"/>
  <c r="E25" i="2"/>
  <c r="C25" i="2"/>
  <c r="B25" i="2"/>
  <c r="A25" i="2"/>
  <c r="N24" i="2"/>
  <c r="M24" i="2"/>
  <c r="L24" i="2"/>
  <c r="K24" i="2"/>
  <c r="J24" i="2"/>
  <c r="H24" i="2"/>
  <c r="G24" i="2"/>
  <c r="F24" i="2"/>
  <c r="E24" i="2"/>
  <c r="C24" i="2"/>
  <c r="B24" i="2"/>
  <c r="A24" i="2"/>
  <c r="N23" i="2"/>
  <c r="M23" i="2"/>
  <c r="L23" i="2"/>
  <c r="K23" i="2"/>
  <c r="J23" i="2"/>
  <c r="H23" i="2"/>
  <c r="G23" i="2"/>
  <c r="F23" i="2"/>
  <c r="E23" i="2"/>
  <c r="C23" i="2"/>
  <c r="B23" i="2"/>
  <c r="A23" i="2"/>
  <c r="N22" i="2"/>
  <c r="M22" i="2"/>
  <c r="L22" i="2"/>
  <c r="K22" i="2"/>
  <c r="J22" i="2"/>
  <c r="H22" i="2"/>
  <c r="G22" i="2"/>
  <c r="F22" i="2"/>
  <c r="E22" i="2"/>
  <c r="C22" i="2"/>
  <c r="B22" i="2"/>
  <c r="A22" i="2"/>
  <c r="N21" i="2"/>
  <c r="M21" i="2"/>
  <c r="L21" i="2"/>
  <c r="K21" i="2"/>
  <c r="J21" i="2"/>
  <c r="H21" i="2"/>
  <c r="G21" i="2"/>
  <c r="F21" i="2"/>
  <c r="E21" i="2"/>
  <c r="C21" i="2"/>
  <c r="B21" i="2"/>
  <c r="A21" i="2"/>
  <c r="N20" i="2"/>
  <c r="M20" i="2"/>
  <c r="L20" i="2"/>
  <c r="K20" i="2"/>
  <c r="J20" i="2"/>
  <c r="H20" i="2"/>
  <c r="G20" i="2"/>
  <c r="F20" i="2"/>
  <c r="E20" i="2"/>
  <c r="C20" i="2"/>
  <c r="B20" i="2"/>
  <c r="A20" i="2"/>
  <c r="N19" i="2"/>
  <c r="M19" i="2"/>
  <c r="L19" i="2"/>
  <c r="K19" i="2"/>
  <c r="J19" i="2"/>
  <c r="H19" i="2"/>
  <c r="G19" i="2"/>
  <c r="F19" i="2"/>
  <c r="E19" i="2"/>
  <c r="C19" i="2"/>
  <c r="B19" i="2"/>
  <c r="A19" i="2"/>
  <c r="N18" i="2"/>
  <c r="M18" i="2"/>
  <c r="L18" i="2"/>
  <c r="K18" i="2"/>
  <c r="J18" i="2"/>
  <c r="H18" i="2"/>
  <c r="G18" i="2"/>
  <c r="F18" i="2"/>
  <c r="E18" i="2"/>
  <c r="C18" i="2"/>
  <c r="B18" i="2"/>
  <c r="A18" i="2"/>
  <c r="N17" i="2"/>
  <c r="M17" i="2"/>
  <c r="L17" i="2"/>
  <c r="K17" i="2"/>
  <c r="J17" i="2"/>
  <c r="H17" i="2"/>
  <c r="G17" i="2"/>
  <c r="F17" i="2"/>
  <c r="E17" i="2"/>
  <c r="C17" i="2"/>
  <c r="B17" i="2"/>
  <c r="A17" i="2"/>
  <c r="N16" i="2"/>
  <c r="M16" i="2"/>
  <c r="L16" i="2"/>
  <c r="K16" i="2"/>
  <c r="J16" i="2"/>
  <c r="H16" i="2"/>
  <c r="G16" i="2"/>
  <c r="F16" i="2"/>
  <c r="E16" i="2"/>
  <c r="C16" i="2"/>
  <c r="B16" i="2"/>
  <c r="A16" i="2"/>
  <c r="N15" i="2"/>
  <c r="M15" i="2"/>
  <c r="L15" i="2"/>
  <c r="K15" i="2"/>
  <c r="J15" i="2"/>
  <c r="H15" i="2"/>
  <c r="G15" i="2"/>
  <c r="F15" i="2"/>
  <c r="E15" i="2"/>
  <c r="C15" i="2"/>
  <c r="B15" i="2"/>
  <c r="A15" i="2"/>
  <c r="N14" i="2"/>
  <c r="M14" i="2"/>
  <c r="L14" i="2"/>
  <c r="K14" i="2"/>
  <c r="J14" i="2"/>
  <c r="H14" i="2"/>
  <c r="G14" i="2"/>
  <c r="F14" i="2"/>
  <c r="E14" i="2"/>
  <c r="C14" i="2"/>
  <c r="B14" i="2"/>
  <c r="A14" i="2"/>
  <c r="N13" i="2"/>
  <c r="M13" i="2"/>
  <c r="L13" i="2"/>
  <c r="K13" i="2"/>
  <c r="J13" i="2"/>
  <c r="H13" i="2"/>
  <c r="G13" i="2"/>
  <c r="F13" i="2"/>
  <c r="E13" i="2"/>
  <c r="C13" i="2"/>
  <c r="B13" i="2"/>
  <c r="A13" i="2"/>
  <c r="N12" i="2"/>
  <c r="M12" i="2"/>
  <c r="L12" i="2"/>
  <c r="K12" i="2"/>
  <c r="J12" i="2"/>
  <c r="H12" i="2"/>
  <c r="G12" i="2"/>
  <c r="F12" i="2"/>
  <c r="E12" i="2"/>
  <c r="C12" i="2"/>
  <c r="B12" i="2"/>
  <c r="A12" i="2"/>
  <c r="N11" i="2"/>
  <c r="M11" i="2"/>
  <c r="L11" i="2"/>
  <c r="K11" i="2"/>
  <c r="J11" i="2"/>
  <c r="H11" i="2"/>
  <c r="G11" i="2"/>
  <c r="F11" i="2"/>
  <c r="E11" i="2"/>
  <c r="C11" i="2"/>
  <c r="B11" i="2"/>
  <c r="A11" i="2"/>
  <c r="N10" i="2"/>
  <c r="M10" i="2"/>
  <c r="L10" i="2"/>
  <c r="K10" i="2"/>
  <c r="J10" i="2"/>
  <c r="H10" i="2"/>
  <c r="G10" i="2"/>
  <c r="F10" i="2"/>
  <c r="E10" i="2"/>
  <c r="C10" i="2"/>
  <c r="B10" i="2"/>
  <c r="A10" i="2"/>
  <c r="N9" i="2"/>
  <c r="M9" i="2"/>
  <c r="L9" i="2"/>
  <c r="K9" i="2"/>
  <c r="J9" i="2"/>
  <c r="H9" i="2"/>
  <c r="G9" i="2"/>
  <c r="F9" i="2"/>
  <c r="E9" i="2"/>
  <c r="C9" i="2"/>
  <c r="B9" i="2"/>
  <c r="A9" i="2"/>
  <c r="N8" i="2"/>
  <c r="M8" i="2"/>
  <c r="L8" i="2"/>
  <c r="K8" i="2"/>
  <c r="J8" i="2"/>
  <c r="H8" i="2"/>
  <c r="G8" i="2"/>
  <c r="F8" i="2"/>
  <c r="E8" i="2"/>
  <c r="C8" i="2"/>
  <c r="B8" i="2"/>
  <c r="A8" i="2"/>
  <c r="N7" i="2"/>
  <c r="M7" i="2"/>
  <c r="L7" i="2"/>
  <c r="K7" i="2"/>
  <c r="J7" i="2"/>
  <c r="H7" i="2"/>
  <c r="G7" i="2"/>
  <c r="F7" i="2"/>
  <c r="E7" i="2"/>
  <c r="C7" i="2"/>
  <c r="B7" i="2"/>
  <c r="A7" i="2"/>
  <c r="N6" i="2"/>
  <c r="M6" i="2"/>
  <c r="L6" i="2"/>
  <c r="K6" i="2"/>
  <c r="J6" i="2"/>
  <c r="H6" i="2"/>
  <c r="G6" i="2"/>
  <c r="F6" i="2"/>
  <c r="E6" i="2"/>
  <c r="C6" i="2"/>
  <c r="B6" i="2"/>
  <c r="A6" i="2"/>
  <c r="N5" i="2"/>
  <c r="M5" i="2"/>
  <c r="L5" i="2"/>
  <c r="K5" i="2"/>
  <c r="J5" i="2"/>
  <c r="H5" i="2"/>
  <c r="G5" i="2"/>
  <c r="F5" i="2"/>
  <c r="E5" i="2"/>
  <c r="C5" i="2"/>
  <c r="B5" i="2"/>
  <c r="A5" i="2"/>
  <c r="N4" i="2"/>
  <c r="M4" i="2"/>
  <c r="L4" i="2"/>
  <c r="J4" i="2"/>
  <c r="H4" i="2"/>
  <c r="G4" i="2"/>
  <c r="F4" i="2"/>
  <c r="E4" i="2"/>
  <c r="C4" i="2"/>
  <c r="B4" i="2"/>
  <c r="A4" i="2"/>
  <c r="N3" i="2"/>
  <c r="M3" i="2"/>
  <c r="L3" i="2"/>
  <c r="K3" i="2"/>
  <c r="J3" i="2"/>
  <c r="H3" i="2"/>
  <c r="G3" i="2"/>
  <c r="F3" i="2"/>
  <c r="E3" i="2"/>
  <c r="C3" i="2"/>
  <c r="B3" i="2"/>
  <c r="A3" i="2"/>
  <c r="N2" i="2"/>
  <c r="M2" i="2"/>
  <c r="L2" i="2"/>
  <c r="J2" i="2"/>
  <c r="H2" i="2"/>
  <c r="G2" i="2"/>
  <c r="F2" i="2"/>
  <c r="E2" i="2"/>
  <c r="C2" i="2"/>
  <c r="B2" i="2"/>
  <c r="A2" i="2"/>
  <c r="P1" i="2"/>
  <c r="O1" i="2"/>
  <c r="N1" i="2"/>
  <c r="M1" i="2"/>
  <c r="L1" i="2"/>
  <c r="K1" i="2"/>
  <c r="J1" i="2"/>
  <c r="I1" i="2"/>
  <c r="H1" i="2"/>
  <c r="G1" i="2"/>
  <c r="F1" i="2"/>
  <c r="E1" i="2"/>
  <c r="D1" i="2"/>
  <c r="C1" i="2"/>
  <c r="B1" i="2"/>
  <c r="A1" i="2"/>
</calcChain>
</file>

<file path=xl/sharedStrings.xml><?xml version="1.0" encoding="utf-8"?>
<sst xmlns="http://schemas.openxmlformats.org/spreadsheetml/2006/main" count="13462" uniqueCount="2225">
  <si>
    <t>DRE</t>
  </si>
  <si>
    <t>MUNICIPIO</t>
  </si>
  <si>
    <t>ESCOLA</t>
  </si>
  <si>
    <t>ABAETETUBA</t>
  </si>
  <si>
    <t>EE PROF BASILIO DE CARVALHO</t>
  </si>
  <si>
    <t>EE ANEXO PROF BASILIO DE CARVALHO</t>
  </si>
  <si>
    <t>EE ANEXO NOSSA SENHORA DA PAZ II</t>
  </si>
  <si>
    <t>EE PROF LAURA DOS SANTOS RIBEIRO</t>
  </si>
  <si>
    <t>EE SAO MIGUEL</t>
  </si>
  <si>
    <t>EEEFM PEDRO TEIXEIRA</t>
  </si>
  <si>
    <t>ANEXO I EEEFM PEDRO TEIXEIRA</t>
  </si>
  <si>
    <t>ANEXO II EEEFM PEDRO TEIXEIRA</t>
  </si>
  <si>
    <t>EE ESMERINA BOU HABIB</t>
  </si>
  <si>
    <t>EE PROF LEONIDAS MONTE</t>
  </si>
  <si>
    <t>EEEFM SAO FRANCISCO XAVIER</t>
  </si>
  <si>
    <t>EE PROF BERNARDINO P BARROS</t>
  </si>
  <si>
    <t>EE TEREZINHA DE JESUS F LIMA</t>
  </si>
  <si>
    <t>EEEF COMPLEXO EDUC E TERAPEUTICO CASA BEM-TE-VI</t>
  </si>
  <si>
    <t>EE PROF LEONARDO NEGRAO DE SOUSA</t>
  </si>
  <si>
    <t>EE ANEXO LEONARDO NEGRAO DE SOUZA</t>
  </si>
  <si>
    <t>EEEFM PROF CARMEM CARDOSO FERREIRA</t>
  </si>
  <si>
    <t>CENTRO DE ED JOVENS E ADULTOS PROF MARIA OSCAR SIL</t>
  </si>
  <si>
    <t>EE E .F.M.BENVINDA DE ARAUJO PONTES</t>
  </si>
  <si>
    <t>ANEXO DA EEEF BENVINDA DE ARAUJO PONTES</t>
  </si>
  <si>
    <t>ANEXO II DA EEEFM BENVINDA DE ARAUJO PONTES</t>
  </si>
  <si>
    <t>ESCOLA ESTADUAL RURAL DE ABAETETUBA</t>
  </si>
  <si>
    <t>EEEFM CRISTO REDENTOR</t>
  </si>
  <si>
    <t>UT DE EDUCACAO ESPECIAL DE ABAETETUBA</t>
  </si>
  <si>
    <t>EEEM IRMA STELLA MARIA</t>
  </si>
  <si>
    <t>EEEFM CRISTO TRABALHADOR</t>
  </si>
  <si>
    <t>EEEFM DO CAMPO PROFESSORA BENEDITA LIMA ARAUJO</t>
  </si>
  <si>
    <t>ACARA</t>
  </si>
  <si>
    <t>EE FELIPE PATRONI SEDE VINC</t>
  </si>
  <si>
    <t>ESCOLA ESTADUAL RURAL DE ACARA</t>
  </si>
  <si>
    <t>EEEM DEUSALINA DA CUNHA E SOUZA CARNEIRO</t>
  </si>
  <si>
    <t>BARCARENA</t>
  </si>
  <si>
    <t>EE CONEGO BATISTA CAMPOS SEDE VINC</t>
  </si>
  <si>
    <t>EE PADRE JOSE DELGARDES</t>
  </si>
  <si>
    <t>EE JOSE MARIA MACHADO</t>
  </si>
  <si>
    <t>EE ACY DE JESUS BARROS PEREIRA</t>
  </si>
  <si>
    <t>EE PRESID DUTRA</t>
  </si>
  <si>
    <t>EE EDUARDO ANGELIM</t>
  </si>
  <si>
    <t>EE JOSE MARIA DE MORAES</t>
  </si>
  <si>
    <t>ERC APAE DE BARCARENA</t>
  </si>
  <si>
    <t>CE Palmira Gabriel</t>
  </si>
  <si>
    <t>EETEPA MARIA SIQUEIRA DOS SANTOS DIAS BARCARENA</t>
  </si>
  <si>
    <t>IGARAPE-MIRI</t>
  </si>
  <si>
    <t>EE MANOEL ANTONIO DE CASTRO SEDE VINC</t>
  </si>
  <si>
    <t>EE ENEDINA SAMPAIO MELO</t>
  </si>
  <si>
    <t>EEEM PROF DALILA AFONSO CUNHA</t>
  </si>
  <si>
    <t>ESCOLA ESTADUAL RURAL DE IGARAPE</t>
  </si>
  <si>
    <t>MOJU</t>
  </si>
  <si>
    <t>EE PROF ERNESTINA PEREIRA MAIA</t>
  </si>
  <si>
    <t>EE ANTONIO DE OLIVEIRA GORDO</t>
  </si>
  <si>
    <t>EEEM PROF ECILA PANTOJA DA ROCHA</t>
  </si>
  <si>
    <t>ERC CASA MARIA DO CARMO CARDOSO NERY - APAE</t>
  </si>
  <si>
    <t>ESCOLA ESTADUAL RURAL DE MOJU</t>
  </si>
  <si>
    <t>TAILANDIA</t>
  </si>
  <si>
    <t>EEEM. SAO FRANCISCO DE ASSIS</t>
  </si>
  <si>
    <t>EEEM ERIBERTO JASPER</t>
  </si>
  <si>
    <t>EEEM DELCIMAR ALVES DA SILVA</t>
  </si>
  <si>
    <t>EEETEPA - TAILANDIA</t>
  </si>
  <si>
    <t>AFUA</t>
  </si>
  <si>
    <t>EEEM LEOPOLDINA GUERREIRO SEDE</t>
  </si>
  <si>
    <t>ESCOLA ESTADUAL RURAL DE AFUA</t>
  </si>
  <si>
    <t>CHAVES</t>
  </si>
  <si>
    <t>EEEFM MAGALHAES BARATA SEDE</t>
  </si>
  <si>
    <t>ESCOLA ESTADUAL RURAL DE CHAVES</t>
  </si>
  <si>
    <t>ALTAMIRA</t>
  </si>
  <si>
    <t>EE POLIVALENTE</t>
  </si>
  <si>
    <t>EE PROF DAIRCE PEDROSA TORRES</t>
  </si>
  <si>
    <t>EEEFM GETULIO VARGAS</t>
  </si>
  <si>
    <t>EEEM PROFª DUCILLA ALMEIDA DO NASCIMENTO</t>
  </si>
  <si>
    <t>EEEM BARTOLOMEU MORAIS DA SILVA</t>
  </si>
  <si>
    <t>ANEXO I EEEM BARTOLOMEU MORAIS DA SILVA</t>
  </si>
  <si>
    <t>EEEM PROFª ODILA DE SOUZA</t>
  </si>
  <si>
    <t>ESCOLA ESTADUAL RURAL DE ALTAMIRA</t>
  </si>
  <si>
    <t>ANAPU</t>
  </si>
  <si>
    <t>EEEM MARIA JOSE SANTANA DA SILVA</t>
  </si>
  <si>
    <t>ESCOLA ESTADUAL RURAL DE ANAPU</t>
  </si>
  <si>
    <t>EEEM SANTA CLARA</t>
  </si>
  <si>
    <t>BRASIL NOVO</t>
  </si>
  <si>
    <t>EE BRASIL NOVO SEDE</t>
  </si>
  <si>
    <t>ESCOLA ESTADUAL RURAL DE BRASIL NOVO</t>
  </si>
  <si>
    <t>MEDICILANDIA</t>
  </si>
  <si>
    <t>EEEM PROFa. FRANCISCA GOMES</t>
  </si>
  <si>
    <t>ESCOLA ESTADUAL RURAL DE MEDICILANDIA</t>
  </si>
  <si>
    <t>PORTO DE MOZ</t>
  </si>
  <si>
    <t>EEEM D PEDRO I SEDE</t>
  </si>
  <si>
    <t>EEEEM JOSE ALFREDO HAGE</t>
  </si>
  <si>
    <t>SENADOR JOSE PORFIRIO</t>
  </si>
  <si>
    <t>EEEM ROSA ALVAREZ REBELO (SEDE)</t>
  </si>
  <si>
    <t>ESCOLA ESTADUAL RURAL DE SENADOR JOSE PORFIRIO</t>
  </si>
  <si>
    <t>URUARA</t>
  </si>
  <si>
    <t>EE MELVIN JONES SEDE</t>
  </si>
  <si>
    <t>ESCOLA ESTADUAL RURAL DE URUARA</t>
  </si>
  <si>
    <t>VITORIA DO XINGU</t>
  </si>
  <si>
    <t>EE PADRE EURICO</t>
  </si>
  <si>
    <t>ESCOLA ESTADUAL RURAL DE VITORIA DO XINGU</t>
  </si>
  <si>
    <t>ANANINDEUA 1</t>
  </si>
  <si>
    <t>ANANINDEUA</t>
  </si>
  <si>
    <t>EE DR ANTONIO TEIXEIRA GUEIROS</t>
  </si>
  <si>
    <t>EEEFM JOSE MARCELINO DE OLIVEIRA</t>
  </si>
  <si>
    <t>EE MAGUARI</t>
  </si>
  <si>
    <t>EE WALTER BEZERRA FALCAO</t>
  </si>
  <si>
    <t>EEEF RAIMUNDO VERA CRUZ</t>
  </si>
  <si>
    <t>EEEF BENEDITO CELSO PADUA COSTA</t>
  </si>
  <si>
    <t>EEEFM ARMANDO FAJARDO</t>
  </si>
  <si>
    <t>EEEF ESPIRITO SANTO</t>
  </si>
  <si>
    <t>EEEF ANANI</t>
  </si>
  <si>
    <t>EEEF PRINCESA ISABEL</t>
  </si>
  <si>
    <t>EEEF CENTRO COMUN DE VILA ESPERANCA</t>
  </si>
  <si>
    <t>EEEF CLUBE DE MAES JARDIM JADER BARBALHO</t>
  </si>
  <si>
    <t>COLEGIO ESTADUAL PROFESSORA ISABEL AMAZONAS</t>
  </si>
  <si>
    <t>EEEM MARIA HELENA VALENTE TAVARES</t>
  </si>
  <si>
    <t>EEEFM PROF ANTONIO CARLOS GOMES DA COSTA</t>
  </si>
  <si>
    <t>EEEF GONCALVES DIAS</t>
  </si>
  <si>
    <t>ANANINDEUA 2</t>
  </si>
  <si>
    <t>EE ANTONIO GONDIM LINS</t>
  </si>
  <si>
    <t>EE DR GASPAR VIANA</t>
  </si>
  <si>
    <t>EE LUIZ NUNES DIREITO</t>
  </si>
  <si>
    <t>EE PROF LUCI CORREA DE ARAUJO</t>
  </si>
  <si>
    <t>EE ONEIDE DE SOUZA TAVARES</t>
  </si>
  <si>
    <t>EE DEP ARMANDO CORREA</t>
  </si>
  <si>
    <t>EE PROF GELMIREZ MELO E SILVA</t>
  </si>
  <si>
    <t>EE PROF JOSE ASSIS RIBEIRO</t>
  </si>
  <si>
    <t>EE DOM ALBERTO GALDENCIO RAMOS</t>
  </si>
  <si>
    <t>EE PROFA REGINA COELI SOUZA SILVA</t>
  </si>
  <si>
    <t>EE ELAINE ISMAELINO DE FREITAS</t>
  </si>
  <si>
    <t>EE E F M PROF FRANCISCO PAULO DO NASCIMENTO MENDES</t>
  </si>
  <si>
    <t>EEEF CELINA DEL TETTO</t>
  </si>
  <si>
    <t>EEEF ANTONIO SAMPAIO</t>
  </si>
  <si>
    <t>EEEF MORADORES CRISTO REI</t>
  </si>
  <si>
    <t>EEEFM PARAENSE</t>
  </si>
  <si>
    <t>EEEFM PROF MANOEL SATURNINO DE ANDRADE FAVACHO</t>
  </si>
  <si>
    <t>ANANINDEUA 3</t>
  </si>
  <si>
    <t>EE ARIRI</t>
  </si>
  <si>
    <t>EE PROF JOAQUIM VIANA</t>
  </si>
  <si>
    <t>EE PROFA CONSUELO COELHO E SOUZA</t>
  </si>
  <si>
    <t>EE PROF JOSE VALENTE RIBEIRO</t>
  </si>
  <si>
    <t>EE NAIR RODRIGUES C BRITO ZALUTH</t>
  </si>
  <si>
    <t>EEEF JOAO CARLOS BATISTA</t>
  </si>
  <si>
    <t>EEEFM MIN ALCIDES CARNEIRO</t>
  </si>
  <si>
    <t>EEEFM CONEGO BATISTA CAMPOS</t>
  </si>
  <si>
    <t>EEEF ELCIONE BARBALHO</t>
  </si>
  <si>
    <t>EEEF PEDRO MARQUES DE MESQUITA</t>
  </si>
  <si>
    <t>EEEF CENTRO EDUCACIONAL AMAZONIA</t>
  </si>
  <si>
    <t>BELEM</t>
  </si>
  <si>
    <t>EE DILMA DE SOUZA CATTETE</t>
  </si>
  <si>
    <t>EE DONA HELENA GUILHON</t>
  </si>
  <si>
    <t>EE E F M PROF. NAGIB COELHO MATNI</t>
  </si>
  <si>
    <t>EEEF GENERAL HENRIQUE GURJAO</t>
  </si>
  <si>
    <t>EEEFM ALMIRANTE JOAO FARIA DE LIMA</t>
  </si>
  <si>
    <t>ERC ALEXANDRE NICOMEDES</t>
  </si>
  <si>
    <t>EEEFM JARDIM SIDERAL</t>
  </si>
  <si>
    <t>ANANINDEUA 4</t>
  </si>
  <si>
    <t>EE PROF ZULIMA VERGOLINO DIAS</t>
  </si>
  <si>
    <t>EE DR AGOSTINHO MONTEIRO</t>
  </si>
  <si>
    <t>EE PROF MARIA ARAUJO DE FIGUEIREDO</t>
  </si>
  <si>
    <t>EE JORNALISTA ROMULO MAIORANA</t>
  </si>
  <si>
    <t>EE LAURINDO CANDIDO AZEITONA</t>
  </si>
  <si>
    <t>EE ICUI LARANJEIRAS</t>
  </si>
  <si>
    <t>EE NEDAULINO VIANNA DA SILVEIRA</t>
  </si>
  <si>
    <t>EE MARIA DE NAZARE MARQUES RIOS</t>
  </si>
  <si>
    <t>EE RUI BARATA</t>
  </si>
  <si>
    <t>EE GREGORIO DE ALMEIDA BRITO</t>
  </si>
  <si>
    <t>EEEFM MADRE CELESTE</t>
  </si>
  <si>
    <t>EEEFM PITAGORAS</t>
  </si>
  <si>
    <t>EEEF CANDIDO HORACIO EVELIN</t>
  </si>
  <si>
    <t>EEEF CINDERELA</t>
  </si>
  <si>
    <t>EEEF CONEGO BATISTA CAMPOS</t>
  </si>
  <si>
    <t>EEEF PADRE PIETRO GEROSA</t>
  </si>
  <si>
    <t>CEE MATEUS HENRIQUE FURTADO APAE DE ANANINDEUA</t>
  </si>
  <si>
    <t>EEEF XV DE OUTUBRO</t>
  </si>
  <si>
    <t>ANANINDEUA 5</t>
  </si>
  <si>
    <t>EE PROF RAMIRO OLAVO RIBEIRO DE CASTRO</t>
  </si>
  <si>
    <t>EEEF BOM JARDIM</t>
  </si>
  <si>
    <t>EE OSCARINA PENALBER</t>
  </si>
  <si>
    <t>EE JULIA SEFFER</t>
  </si>
  <si>
    <t>EE PROF EROTILDES FROTA AGUIAR</t>
  </si>
  <si>
    <t>EE MARIA ENCARNACAO DE ARAUJO</t>
  </si>
  <si>
    <t>EE NOVAS AGUAS LINDAS</t>
  </si>
  <si>
    <t>EE ENEIDA DE MORAES</t>
  </si>
  <si>
    <t>ERC ANTONIO BEZERRA FALCAO</t>
  </si>
  <si>
    <t>EEEFM INSTITUTO BOM PASTOR</t>
  </si>
  <si>
    <t>EEEF JOAO XXIII</t>
  </si>
  <si>
    <t>EEEFM PRINCIPE DA PAZ</t>
  </si>
  <si>
    <t>EEEF RAINHA DA PAZ</t>
  </si>
  <si>
    <t>EEEF EUCLIDES DA CUNHA</t>
  </si>
  <si>
    <t>EEEFM NAIR ZAHLUTH</t>
  </si>
  <si>
    <t>EEEFM NOVO HORIZONTE</t>
  </si>
  <si>
    <t>EEEF PRES TANCREDO DE ALMEIDA NEVES</t>
  </si>
  <si>
    <t>BELEM 1</t>
  </si>
  <si>
    <t>EE MARIO CARNEIRO DE MIRANDA</t>
  </si>
  <si>
    <t>EE EMILIANA SARMENTO FERREIRA</t>
  </si>
  <si>
    <t>EE SANTA LUZIA</t>
  </si>
  <si>
    <t>EE PRESID CASTELO BRANCO</t>
  </si>
  <si>
    <t>EEEF NOSSA SENHORA DE FATIMA I</t>
  </si>
  <si>
    <t>EE PROF ROSALINA A SILVA CRUZ</t>
  </si>
  <si>
    <t>EE ALM GUILLOBEL</t>
  </si>
  <si>
    <t>EE JONATHAS PONTES ATHIAS</t>
  </si>
  <si>
    <t>EE GRAZIELA MOURA RIBEIRO</t>
  </si>
  <si>
    <t>EE DOM PEDRO I</t>
  </si>
  <si>
    <t>EE PROF RENATO CONDURU</t>
  </si>
  <si>
    <t>EE PROF ACY DE JESUS BARROS PEREIRA</t>
  </si>
  <si>
    <t>EE PROF ESTHER BANDEIRA GOMES</t>
  </si>
  <si>
    <t>EE RUI PARANATINGA BARATA</t>
  </si>
  <si>
    <t>EE E.F.PROF.ANTONIO MOREIRA JUNIOR</t>
  </si>
  <si>
    <t>EEEF SANTA LUIZA DE MARILAC</t>
  </si>
  <si>
    <t>EEEF SAO VICENTE DE PAULA</t>
  </si>
  <si>
    <t>EEF SANTO AFONSO</t>
  </si>
  <si>
    <t>EEEF PRATINHA II</t>
  </si>
  <si>
    <t>EEEF NOSSA SENHORA DAS GRACAS</t>
  </si>
  <si>
    <t>EEEF PADRE MARCOS</t>
  </si>
  <si>
    <t>DISTRITO DE ICOARACI</t>
  </si>
  <si>
    <t>EE EUNICE WEAVER</t>
  </si>
  <si>
    <t>EE PAULO FONTELLES DE LIMA</t>
  </si>
  <si>
    <t>EEEF ESTRADA NOVA</t>
  </si>
  <si>
    <t>BELEM 10</t>
  </si>
  <si>
    <t>ANEXO COLONIA DO FIDELIS</t>
  </si>
  <si>
    <t>EEEF NOSSA SENHORA DE FATIMA II</t>
  </si>
  <si>
    <t>EEEF SAO JOAO BATISTA</t>
  </si>
  <si>
    <t>EEEF RODOLFO TOURINHO</t>
  </si>
  <si>
    <t>EEEF NOSSA SENHORA DA CONCEICAO</t>
  </si>
  <si>
    <t>EEEF PROF GUAJARINA DE SOUZA DA SILVA</t>
  </si>
  <si>
    <t>EEETPA- PROF FRANCISCO DAS CHAGAS AZEVEDO BELEM</t>
  </si>
  <si>
    <t>EE IZABEL DOS SANTOS DIAS</t>
  </si>
  <si>
    <t>EE PROF MARTA DA CONCEICAO</t>
  </si>
  <si>
    <t>EE PORANGA JUCA</t>
  </si>
  <si>
    <t>EE MARIA ANTONIETA SERRA FREIRE</t>
  </si>
  <si>
    <t>EEEFM DO OUTEIRO</t>
  </si>
  <si>
    <t>EE TEODORA BENTES</t>
  </si>
  <si>
    <t>EE CEL SARMENTO</t>
  </si>
  <si>
    <t>EE AVERTANO ROCHA</t>
  </si>
  <si>
    <t>EE COLONIA DO FIDELES</t>
  </si>
  <si>
    <t>EE YOLANDA LEDUC PERALTA</t>
  </si>
  <si>
    <t>EE BRASILIA</t>
  </si>
  <si>
    <t>EEEF GENY GABRIEL AMARAL</t>
  </si>
  <si>
    <t>EEEFM PROF. JORGE LOPES RAPOSO</t>
  </si>
  <si>
    <t>EEEF FRANKLIN DE MENEZES</t>
  </si>
  <si>
    <t>EEEF FELIZ LUZITANIA</t>
  </si>
  <si>
    <t>EEEF CRUZEIRO DO SUL</t>
  </si>
  <si>
    <t>BELEM 2</t>
  </si>
  <si>
    <t>EEEFM RUI BARBOSA</t>
  </si>
  <si>
    <t>EEEF RUI BARBOSA (ANEXO I)</t>
  </si>
  <si>
    <t>EE MARLUCE PACHECO FERREIRA</t>
  </si>
  <si>
    <t>EE JOSE VERISSIMO</t>
  </si>
  <si>
    <t>EE CALDEIRA CASTELO BRANCO</t>
  </si>
  <si>
    <t>EE GAL GURJAO</t>
  </si>
  <si>
    <t>EE PROF CAMILO SALGADO</t>
  </si>
  <si>
    <t>EE PLACIDIA CARDOSO</t>
  </si>
  <si>
    <t>EE INSTITUTO DE EDUCACAO ESTADUAL DO PARA</t>
  </si>
  <si>
    <t>EE PAES DE CARVALHO</t>
  </si>
  <si>
    <t>EE ARTUR PORTO</t>
  </si>
  <si>
    <t>EE PE BENEDITO CHAVES</t>
  </si>
  <si>
    <t>EE SANTA MARIA DE BELEM DO GRAO PARA</t>
  </si>
  <si>
    <t>EE TIRADENTES</t>
  </si>
  <si>
    <t>EE PROF. DAVID SALOMAO MUFARREJ</t>
  </si>
  <si>
    <t>EEEF SAO PIO X</t>
  </si>
  <si>
    <t>ERC PAULA FRANCINETTI</t>
  </si>
  <si>
    <t>EEEF MORADORES VILA NOVA P MOURA CARVALHO</t>
  </si>
  <si>
    <t>EEEF BENEDITO CHAVES MENDES SEARA</t>
  </si>
  <si>
    <t>UT JOSE ALVARES DE AZEVEDO</t>
  </si>
  <si>
    <t>EEET PROF ANISIO TEIXEIRA</t>
  </si>
  <si>
    <t>BELEM 3</t>
  </si>
  <si>
    <t>EE AMAZONAS DE FIGUEIREDO</t>
  </si>
  <si>
    <t>EE ANTONIA PAES DA SILVA</t>
  </si>
  <si>
    <t>EE STELIO MAROJA</t>
  </si>
  <si>
    <t>EE PROF JOAO RENATO FRANCO</t>
  </si>
  <si>
    <t>EE FREI DANIEL</t>
  </si>
  <si>
    <t>EE PROF MARIA LUISA VELLA ALVES</t>
  </si>
  <si>
    <t>EE MARIO CHERMONT</t>
  </si>
  <si>
    <t>EE VEREAD GONCALO DUARTE</t>
  </si>
  <si>
    <t>EE PROF RUTH ROSITA DE NAZARE GONZALES</t>
  </si>
  <si>
    <t>EE PROF NORMA MORHY</t>
  </si>
  <si>
    <t>EE EDGAR PINHEIRO PORTO</t>
  </si>
  <si>
    <t>EE PROF CELINA ANGLADA</t>
  </si>
  <si>
    <t>EE PROF AMILCAR ALVES TUPIASSU</t>
  </si>
  <si>
    <t>EEEF HUMBERTO DE CAMPOS</t>
  </si>
  <si>
    <t>EEEF MONSENHOR AZEVEDO</t>
  </si>
  <si>
    <t>ERC DONA ALZIRA TEIXEIRA DE SOUZA</t>
  </si>
  <si>
    <t>EEEF MONTE SERRAT</t>
  </si>
  <si>
    <t>EE DR ANIBAL DUARTE</t>
  </si>
  <si>
    <t>EEEF LAR DE MARIA</t>
  </si>
  <si>
    <t>EEEF BENTO XV</t>
  </si>
  <si>
    <t>BELEM 7</t>
  </si>
  <si>
    <t>CENTRO DE EDUCACAO DE JOVENS E ADULTOS PROF LUIZ OCTAVIO PEREIRA - CEEJA EM BELEM-PA</t>
  </si>
  <si>
    <t>BELEM 4</t>
  </si>
  <si>
    <t>EE BARAO DO RIO BRANCO</t>
  </si>
  <si>
    <t>EE PINTO MARQUES</t>
  </si>
  <si>
    <t>EE MAROJA NETO</t>
  </si>
  <si>
    <t>EE PROF JOSE ALVES MAIA</t>
  </si>
  <si>
    <t>EE VERA SIMPLICIO</t>
  </si>
  <si>
    <t>EE PROF WALDEMAR RIBEIRO</t>
  </si>
  <si>
    <t>EE RODRIGUES PINAGE</t>
  </si>
  <si>
    <t>EE BENJAMIN CONSTANT</t>
  </si>
  <si>
    <t>EE AUGUSTO MONTENEGRO</t>
  </si>
  <si>
    <t>EE DR FREITAS</t>
  </si>
  <si>
    <t>EE DEODORO DE MENDONCA</t>
  </si>
  <si>
    <t>EE DR JUSTO CHERMONT</t>
  </si>
  <si>
    <t>ERC INSTITUTO FELIPE SMALDONE</t>
  </si>
  <si>
    <t>ERC ASSOCIACAO DE PAIS E AMIGOS EXCEPCIONAIS</t>
  </si>
  <si>
    <t>ERC CENTRO INTEGRADO DE EDUCACAO ESPECIAL</t>
  </si>
  <si>
    <t>ERC CENTRO EDUCACIONAL RONALDO MIRANDA</t>
  </si>
  <si>
    <t>EEEFM. DR. ULISSES GUIMARAES</t>
  </si>
  <si>
    <t>EEEM MAGALHAES BARATA</t>
  </si>
  <si>
    <t>ERC ASSOCIACAO BENEFICIENTE MILTON PEREIRA DE MELO</t>
  </si>
  <si>
    <t>CENTRO DE REF DE EDUC INFANTIL PROF ORLANDO BITAR</t>
  </si>
  <si>
    <t>EEEFM VILHENA ALVES</t>
  </si>
  <si>
    <t>ESCOLA TECNICA ESTADUAL MAGALHAES BARATA</t>
  </si>
  <si>
    <t>BELEM 5</t>
  </si>
  <si>
    <t>EE MATEUS DO CARMO</t>
  </si>
  <si>
    <t>EE AUGUSTO OLIMPIO</t>
  </si>
  <si>
    <t>EE DOMINGOS ACATAUASSU NUNES</t>
  </si>
  <si>
    <t>EE BRIG FONTENELLE</t>
  </si>
  <si>
    <t>EE ACACIO FELICIO SOBRAL</t>
  </si>
  <si>
    <t>EE MARIO BARBOSA</t>
  </si>
  <si>
    <t>EEEF FONTE VIVA</t>
  </si>
  <si>
    <t>EEEF PROFESSOR VIRGILIO LIBONATI</t>
  </si>
  <si>
    <t>ERC SERVICO ATEND BASICO EM REABILITACAO - SABER</t>
  </si>
  <si>
    <t>EEEF NUREMBERG BORJA DE BRITO FILHO</t>
  </si>
  <si>
    <t>EE JOSE BONIFACIO</t>
  </si>
  <si>
    <t>EE PAULO MARANHAO</t>
  </si>
  <si>
    <t>EE SANTOS DUMONT</t>
  </si>
  <si>
    <t>EE ALEXANDRE ZACARIAS DE ASSUNSAO</t>
  </si>
  <si>
    <t>EEEFM BARAO DE IGARAPE MIRI</t>
  </si>
  <si>
    <t>EEEF 15 DE OUTUBRO</t>
  </si>
  <si>
    <t>EEEF ROSA GATTORNO</t>
  </si>
  <si>
    <t>EEEF MADRE ZARIFE SALES</t>
  </si>
  <si>
    <t>EEEF BIRA BARBOSA</t>
  </si>
  <si>
    <t>EE DE ENSINO TECNICO DE NIVEL MEDIO DR. CELSO MALCHER</t>
  </si>
  <si>
    <t>EEEF MORADORES DA TERRA FIRME</t>
  </si>
  <si>
    <t>BELEM 6</t>
  </si>
  <si>
    <t>EE JADERLANDIA</t>
  </si>
  <si>
    <t>EE PRINCESA IZABEL</t>
  </si>
  <si>
    <t>EE SAO VICENTE</t>
  </si>
  <si>
    <t>EE PROF EUGENIA CAVALLERO DE MACEDO</t>
  </si>
  <si>
    <t>EEEF CLUBE MAES N SENHORA APAR PARQUE S FRANCISCO</t>
  </si>
  <si>
    <t>EE ALM TAMANDARE</t>
  </si>
  <si>
    <t>EE DR CARLOS GUIMARAES</t>
  </si>
  <si>
    <t>EE CORNELIO DE BARROS</t>
  </si>
  <si>
    <t>EE VIRGINIA ALVES DA CUNHA</t>
  </si>
  <si>
    <t>EE PRESIDENTE COSTA E SILVA</t>
  </si>
  <si>
    <t>EE JARBAS PASSARINHO (SOUSA)</t>
  </si>
  <si>
    <t>EE DUQUE DE CAXIAS</t>
  </si>
  <si>
    <t>EE PROF HILDA VIEIRA</t>
  </si>
  <si>
    <t>EE PROF TEMISTOCLES ARAUJO</t>
  </si>
  <si>
    <t>EE INTEGRADA FRANCISCO DA SILVA NUNES</t>
  </si>
  <si>
    <t>EE CABANAGEM</t>
  </si>
  <si>
    <t>EE LEONOR NOGUEIRA</t>
  </si>
  <si>
    <t>EEEF PADRE ORIONE</t>
  </si>
  <si>
    <t>EEEF PROFª MARIDALVA PANTOJA</t>
  </si>
  <si>
    <t>EE AUGUSTO MEIRA</t>
  </si>
  <si>
    <t>EE PROF ANESIA</t>
  </si>
  <si>
    <t>EE DOM PEDRO II</t>
  </si>
  <si>
    <t>EE PAULINO DE BRITO</t>
  </si>
  <si>
    <t>EE DONATILA SANTANA LOPES</t>
  </si>
  <si>
    <t>EE JARBAS PASSARINHO (MARCO)</t>
  </si>
  <si>
    <t>EE MANOEL DE JESUS MORAES</t>
  </si>
  <si>
    <t>EE LAURO SODRE</t>
  </si>
  <si>
    <t>EE MARECHAL CORDEIRO DE FARIAS</t>
  </si>
  <si>
    <t>EE RUTH PASSARINHO</t>
  </si>
  <si>
    <t>EE PEDRO AMAZONAS PEDROSO</t>
  </si>
  <si>
    <t>EE VISCONDE DE SOUZA FRANCO</t>
  </si>
  <si>
    <t>EE E.F.M.PROFA.ALBANIZIA OLIVEIRA LIMA</t>
  </si>
  <si>
    <t>EEEFM NOSSA SENHORA DA CONCEICAO APARECIDA</t>
  </si>
  <si>
    <t>EEEF SANTA TEREZINHA</t>
  </si>
  <si>
    <t>EEEFM SALESIANA DO TRABALHO</t>
  </si>
  <si>
    <t>ERC LOURENCO FILHO</t>
  </si>
  <si>
    <t>EEEF CASA DA CRIANCA SANTA INES</t>
  </si>
  <si>
    <t>UT YOLANDA MARTINS</t>
  </si>
  <si>
    <t>UT PROF ASTERIO DE CAMPOS</t>
  </si>
  <si>
    <t>EEEF SANTO AGOSTINHO</t>
  </si>
  <si>
    <t>CENTRO DE ATENDIMENTO EDUCACIONAL ESPECIALIZADO</t>
  </si>
  <si>
    <t>BELEM 8</t>
  </si>
  <si>
    <t>EE ALDEBARO CAVALERO DE MACEDO KLAUTAU</t>
  </si>
  <si>
    <t>EE WALDOMIRO RODRIGUES DE OLIVEIRA</t>
  </si>
  <si>
    <t>EEEF MARILDA NUNES</t>
  </si>
  <si>
    <t>EEEFM NOSSA SENHORA DO CARMO</t>
  </si>
  <si>
    <t>EEEF SANTA BARBARA</t>
  </si>
  <si>
    <t>EEEF SAO FRANCISCO DE ASSIS</t>
  </si>
  <si>
    <t>EEEF ASSOC DOS MORADORES DO JARDIM RES JADERLAR</t>
  </si>
  <si>
    <t>EEEF SAO JERONIMO</t>
  </si>
  <si>
    <t>EEEF Drª MARIA ESTER MOUTA DE OLIVEIRA</t>
  </si>
  <si>
    <t>EEEF CANARINHO</t>
  </si>
  <si>
    <t>EEEFM PADRE FRANCISCO BERTON</t>
  </si>
  <si>
    <t>EEEF BENEDITO MONTEIRO</t>
  </si>
  <si>
    <t>EEEF LINDANOR CELINA COELHO CASHA</t>
  </si>
  <si>
    <t>EE PROF MARIA LUIZA DA COSTA REGO</t>
  </si>
  <si>
    <t>EE SUB OF EDVALDO BRANDAO DE JESUS</t>
  </si>
  <si>
    <t>EE AMERICO SOUZA DE OLIVEIRA</t>
  </si>
  <si>
    <t>EE PROFA.CLAUDINE GABRIELE LIMA SILVA</t>
  </si>
  <si>
    <t>EE 1 E 2 G MAESTRO WALDEMAR HENRIQUE DA C PEREIRA</t>
  </si>
  <si>
    <t>EEEF NOSSA SENHORA DE GUADALUPE</t>
  </si>
  <si>
    <t>EEEF ASSOCIACAO CRISTA DO BENGUI</t>
  </si>
  <si>
    <t>EEEFM CIDADE DE EMAUS</t>
  </si>
  <si>
    <t>EEEM DR JOSE MARCIO AYRES</t>
  </si>
  <si>
    <t>BELEM 9</t>
  </si>
  <si>
    <t>EE RUTH DOS SANTOS ALMEIDA</t>
  </si>
  <si>
    <t>EE PEDRO CARNEIRO</t>
  </si>
  <si>
    <t>EE PROF SANTANA MARQUES</t>
  </si>
  <si>
    <t>EEEF RAINHA DOS CORACOES</t>
  </si>
  <si>
    <t>EEEF PANORAMA XXI</t>
  </si>
  <si>
    <t>EEEF CARLOS DRUMMOND DE ANDRADE</t>
  </si>
  <si>
    <t>EEEF PADRE JOSE GISMONT</t>
  </si>
  <si>
    <t>EEEF CLUBE DE MAES SANTA RITA DE CASSIA</t>
  </si>
  <si>
    <t>EEEF MARIA ESTELITA BARBOSA DA SILVA</t>
  </si>
  <si>
    <t>EEEM RAYMUNDO MARTINS VIANNA</t>
  </si>
  <si>
    <t>EEEF PROF LENIRA TEIXEIRA MOURA</t>
  </si>
  <si>
    <t>EEEFM MANOEL LEITE CARNEIRO</t>
  </si>
  <si>
    <t>EE XV DE NOVEMBRO</t>
  </si>
  <si>
    <t>EE PROF MARIA GABRIELA RAMOS DE OLIVEIRA</t>
  </si>
  <si>
    <t>EE ODETE MARVAO</t>
  </si>
  <si>
    <t>EE VEREADOR MANOEL MATOS DA COSTA</t>
  </si>
  <si>
    <t>EE FE EM DEUS</t>
  </si>
  <si>
    <t>EE SAO PEDRO</t>
  </si>
  <si>
    <t>EEEF PARACURY II</t>
  </si>
  <si>
    <t>EEEF TENONE</t>
  </si>
  <si>
    <t>EE PROF. PALMIRA GABRIEL</t>
  </si>
  <si>
    <t>UNIDADE TECNICA DE EDUCACAO ESPECIAL</t>
  </si>
  <si>
    <t>BENEVIDES</t>
  </si>
  <si>
    <t>EE JOAO B DE M DE CARVALHO</t>
  </si>
  <si>
    <t>EE DR OTAVIO MEIRA SEDE VINC</t>
  </si>
  <si>
    <t>EE LEAO IRINEU HAUSSLER DELGADO</t>
  </si>
  <si>
    <t>EE ANEXO I LEAO IRINEU HAUSSLER DELGADO</t>
  </si>
  <si>
    <t>EE PROF ANA TELES</t>
  </si>
  <si>
    <t>EE MURININ</t>
  </si>
  <si>
    <t>EE CAMUTAMA</t>
  </si>
  <si>
    <t>EE TERCEIRA TRAVESSA</t>
  </si>
  <si>
    <t>EE PROF DEUSARINA NASCIMENTO DE SOUSA</t>
  </si>
  <si>
    <t>ERC FRANCOIS PAUL BENGOT</t>
  </si>
  <si>
    <t>EEEF PADRE JOSIMO TAVARES</t>
  </si>
  <si>
    <t>EEEM PROF RUTH GUIMARAES FERREIRA</t>
  </si>
  <si>
    <t>EEEF SANTA MARIA BERTILLA</t>
  </si>
  <si>
    <t>EEEFM JUSCELINO KUBITSCHEK DE OLIVEIRA</t>
  </si>
  <si>
    <t>MARITUBA</t>
  </si>
  <si>
    <t>EE PROF JOSE EDMUNDO QUEIROZ</t>
  </si>
  <si>
    <t>EE FERNANDO FERRARI</t>
  </si>
  <si>
    <t>EEEM SANTA TEREZA D'AVILA</t>
  </si>
  <si>
    <t>EEEF DOM CALABRIA</t>
  </si>
  <si>
    <t>EEEF NOSSA SENHORA DO ROSARIO</t>
  </si>
  <si>
    <t>EEEM EDUARDO LAUANDE</t>
  </si>
  <si>
    <t>EEEFM CENTRO DE EDUCACAO PROFISSIONAL DOM ARISTIDES PIROVANO</t>
  </si>
  <si>
    <t>BRAGANCA</t>
  </si>
  <si>
    <t>AUGUSTO CORREA</t>
  </si>
  <si>
    <t>EE PROF GALVAO (SEDE)</t>
  </si>
  <si>
    <t>EE EMILIANO PICANCO</t>
  </si>
  <si>
    <t>EE ANDRE ALVES</t>
  </si>
  <si>
    <t>EE BENEDITO CARDOSO DE ATAYDE</t>
  </si>
  <si>
    <t>ESCOLA ESTADUAL RURAL DE AUGUSTO CORREA</t>
  </si>
  <si>
    <t>EEEFM DR FRANCISCO DE PAULA PINHEIRO</t>
  </si>
  <si>
    <t>EE AUGUSTO CORREA</t>
  </si>
  <si>
    <t>EE MONSENHOR MANCIO</t>
  </si>
  <si>
    <t>EE LEANDRO LOBAO DA SILVEIRA</t>
  </si>
  <si>
    <t>EE MANOEL JULIAO GARCIA CASTANHO</t>
  </si>
  <si>
    <t>EE PROF ARGENTINA PEREIRA</t>
  </si>
  <si>
    <t>EE LUIZ PAULINO MARTIRES</t>
  </si>
  <si>
    <t>EE CEL ALUIZIO FERREIRA</t>
  </si>
  <si>
    <t>EE PROF BOLIVAR BORDALO DA SILVA</t>
  </si>
  <si>
    <t>EE PADRE LUIZ GONZAGA</t>
  </si>
  <si>
    <t>EEEFM PROF YOLANDA CHAVES</t>
  </si>
  <si>
    <t>EE DE PATALINO</t>
  </si>
  <si>
    <t>EE REUNIDA GERMANO GARCIA</t>
  </si>
  <si>
    <t>EE REUNIDA ALBINO CARDOSO</t>
  </si>
  <si>
    <t>EEEFM PROF. MARIA DE NAZARE CEZAR PINHEIRO</t>
  </si>
  <si>
    <t>EEEFM DOMINGAS DA COSTA SOUSA</t>
  </si>
  <si>
    <t>ESCOLA ESTADUAL RURAL DE BRAGANCA</t>
  </si>
  <si>
    <t>EE DO ROCHA</t>
  </si>
  <si>
    <t>EE MARIO QUEIROZ DO ROSARIO</t>
  </si>
  <si>
    <t>EE RIO CAETE</t>
  </si>
  <si>
    <t>EEEF SISTEMA EDUCATIVO RADIOFONICO DE BRAGANCA</t>
  </si>
  <si>
    <t>EEEF CASA DA AMIZADE</t>
  </si>
  <si>
    <t>EEEF JOAO PAULO II</t>
  </si>
  <si>
    <t>ERC ASS DE PAIS E AMIGOS DOS EXCEPCIONAIS</t>
  </si>
  <si>
    <t>EEEF CENTRO EDUCACIONAL CORACAO DE JESUS</t>
  </si>
  <si>
    <t>EEEF EXTERNATO SANTO ANTONIO</t>
  </si>
  <si>
    <t>CACHOEIRA DO PIRIA</t>
  </si>
  <si>
    <t>EE REUNIDA CEL NEWTON BARREIRA</t>
  </si>
  <si>
    <t>ESCOLA ESTADUAL RURAL DE CACHOEIRA DO PIRIA</t>
  </si>
  <si>
    <t>EE ADRIANO GONCALVES (SEDE)</t>
  </si>
  <si>
    <t>TRACUATEUA</t>
  </si>
  <si>
    <t>EE CEL PINHEIRO JUNIOR</t>
  </si>
  <si>
    <t>EE MARILDA S NUNES</t>
  </si>
  <si>
    <t>VISEU</t>
  </si>
  <si>
    <t>EE PADRE LUCIANO CALDERARA</t>
  </si>
  <si>
    <t>ANEXO I EEEM PADRE LUCIANO CALDERARA</t>
  </si>
  <si>
    <t>ANEXO II EEEM PADRE LUCIANO CALDERARA</t>
  </si>
  <si>
    <t>ANEXO III EEEM PADRE LUCIANO CALDERARA</t>
  </si>
  <si>
    <t>ESCOLA ESTADUAL RURAL DE VISEU</t>
  </si>
  <si>
    <t>ANEXO IV EEEM PADRE LUCIANO CALDERARA</t>
  </si>
  <si>
    <t>BREVES</t>
  </si>
  <si>
    <t>ANAJAS</t>
  </si>
  <si>
    <t>EEEFM RUI BARBOSA SEDE</t>
  </si>
  <si>
    <t>ESCOLA ESTADUAL RURAL DE ANAJAS</t>
  </si>
  <si>
    <t>BAGRE</t>
  </si>
  <si>
    <t>EEEM JULIAO BERTOLDO DE CASTRO SEDE</t>
  </si>
  <si>
    <t>ESCOLA ESTADUAL RURAL DE BAGRE</t>
  </si>
  <si>
    <t>EE PROFA MARIA ELIZETE FONA NUNES</t>
  </si>
  <si>
    <t>ANEXO I DA EEEM PROFª MARIA ELIZETE FONA NUNES</t>
  </si>
  <si>
    <t>EE PROFA. MARIA CAMARA PAES</t>
  </si>
  <si>
    <t>ESCOLA ESTADUAL RURAL DE BREVES</t>
  </si>
  <si>
    <t>EEEM SANTO AGOSTINHO</t>
  </si>
  <si>
    <t>EEEM PROF GERSON PERES</t>
  </si>
  <si>
    <t>ANEXO I DA EEEM PROF. GERSON PERES</t>
  </si>
  <si>
    <t>EETEPA BREVES</t>
  </si>
  <si>
    <t>GURUPA</t>
  </si>
  <si>
    <t>EE MARCILIO DIAS SEDE VINC</t>
  </si>
  <si>
    <t>ESCOLA ESTADUAL RURAL DE GURUPA</t>
  </si>
  <si>
    <t>MELGACO</t>
  </si>
  <si>
    <t>EE PRESID TANCREDO DE ALMEIDA NEVES SEDE VINC</t>
  </si>
  <si>
    <t>ESCOLA ESTADUAL RURAL DE MELGACO</t>
  </si>
  <si>
    <t>PORTEL</t>
  </si>
  <si>
    <t>EE PAULINO DE BRITO SEDE VINC</t>
  </si>
  <si>
    <t>ESCOLA ESTADUAL RURAL DE PORTEL</t>
  </si>
  <si>
    <t>CE DEPUTADO NICIAS RIBEIRO</t>
  </si>
  <si>
    <t>CACHOEIRA DO ARARI</t>
  </si>
  <si>
    <t>EE DELGADO LEAO SEDE</t>
  </si>
  <si>
    <t>EE JOSE RODRIGUES VIANA</t>
  </si>
  <si>
    <t>EEEFM UMARIZAL</t>
  </si>
  <si>
    <t>ANEXO DA EEEFM UMARIZAL</t>
  </si>
  <si>
    <t>EE CAMARA</t>
  </si>
  <si>
    <t>EE CHIPAIA</t>
  </si>
  <si>
    <t>EE RETIRO GRANDE</t>
  </si>
  <si>
    <t>ESCOLA ESTADUAL RURAL DE CACHOEIRA DO ARARI</t>
  </si>
  <si>
    <t>EEEF MAGNO DA SILVA BAHIA</t>
  </si>
  <si>
    <t>SALVATERRA</t>
  </si>
  <si>
    <t>EE PROF ADEMAR NUNES VASCONCELOS SEDE</t>
  </si>
  <si>
    <t>EEEM SALOMAO MATOS</t>
  </si>
  <si>
    <t>EETEPA SALVATERRA</t>
  </si>
  <si>
    <t>SANTA CRUZ DO ARARI</t>
  </si>
  <si>
    <t>EE JOAO APOLINARIO BATISTA SEDE</t>
  </si>
  <si>
    <t>EE JOAO FARIAS BARROS</t>
  </si>
  <si>
    <t>SOURE</t>
  </si>
  <si>
    <t>EE GASPARINO BATISTA DA SILVA</t>
  </si>
  <si>
    <t>EE JOANA LIMA CABRAL</t>
  </si>
  <si>
    <t>EE PROF EDDA DE SOUSA GONCALVES</t>
  </si>
  <si>
    <t>EEEFM STELLA MARIS</t>
  </si>
  <si>
    <t>CAMETA</t>
  </si>
  <si>
    <t>BAIAO</t>
  </si>
  <si>
    <t>ERC FRANCISCA NOGUEIRA DA COSTA RAMOS</t>
  </si>
  <si>
    <t>ANEXO III DA EEEM FRANCISCA NOG DA COSTA RAMOS</t>
  </si>
  <si>
    <t>ESCOLA ESTADUAL RURAL DE BAIAO</t>
  </si>
  <si>
    <t>EE JULIA PASSARINHO</t>
  </si>
  <si>
    <t>EE CENTRO INTEGRADO DE FORMACAO PROFIS DE CAMETA</t>
  </si>
  <si>
    <t>EE MAGALHAES BARATA</t>
  </si>
  <si>
    <t>EE OSVALDINA MUNIZ</t>
  </si>
  <si>
    <t>EEEM ABRAAO SIMAO JATENE</t>
  </si>
  <si>
    <t>EEEM PADRE JOAO BOONEKAMP</t>
  </si>
  <si>
    <t>EEEM HERIBERTO BARROSO ARAGUAO</t>
  </si>
  <si>
    <t>ESCOLA ESTADUAL RURAL DE CAMETA</t>
  </si>
  <si>
    <t>CENTRO INTEGRADO DE EDUC DO BAIXO TOCANTINS</t>
  </si>
  <si>
    <t>LIMOEIRO DO AJURU</t>
  </si>
  <si>
    <t>EE JERONIMO MILHOMEM TAVARES</t>
  </si>
  <si>
    <t>ESCOLA ESTADUAL RURAL DE LIMOEIRO DO AJURU</t>
  </si>
  <si>
    <t>EE PROF JOAO LUDOVICO</t>
  </si>
  <si>
    <t>MOCAJUBA</t>
  </si>
  <si>
    <t>EE PROF ISAURA BAHIA</t>
  </si>
  <si>
    <t>ESCOLA ESTADUAL RURAL DE MOCAJUBA</t>
  </si>
  <si>
    <t>EEEM BENEDITA MARILDA DA SILVA BRAGA</t>
  </si>
  <si>
    <t>CAPANEMA</t>
  </si>
  <si>
    <t>BONITO</t>
  </si>
  <si>
    <t>EEEFM CHARLES ASSAD SEDE</t>
  </si>
  <si>
    <t>EE SANTO ANTONIO DO CUMARU</t>
  </si>
  <si>
    <t>EEEFM MARIA DE NAZARE ASSAD ELIAS</t>
  </si>
  <si>
    <t>EE MARIA AMELIA DE VASCONCELOS SEDE</t>
  </si>
  <si>
    <t>EE PROF APOLONIA P DOS SANTOS</t>
  </si>
  <si>
    <t>EE DOM JOAO VI</t>
  </si>
  <si>
    <t>EE PROF AMERICA LEAO CONDURU</t>
  </si>
  <si>
    <t>EE JOAO SANTOS</t>
  </si>
  <si>
    <t>EEEFM PADRE SALES</t>
  </si>
  <si>
    <t>EE PROF CESAR PINHEIRO</t>
  </si>
  <si>
    <t>EEI SILVESTRE CARNEIRO</t>
  </si>
  <si>
    <t>EE PROF OLIVEIRA BRITO</t>
  </si>
  <si>
    <t>EEI KM 02</t>
  </si>
  <si>
    <t>EE MARIA MIRTES SIDRIM PESSOA</t>
  </si>
  <si>
    <t>EEEFM MESTRE LUCINDO</t>
  </si>
  <si>
    <t>ERC APAE DE CAPANEMA</t>
  </si>
  <si>
    <t>NOVA TIMBOTEUA</t>
  </si>
  <si>
    <t>EE AUGUSTO OLIMPIO SEDE</t>
  </si>
  <si>
    <t>EEEM DESEMBARGADOR AUGUSTO OLIMPIO (ANEXO I)</t>
  </si>
  <si>
    <t>OUREM</t>
  </si>
  <si>
    <t>EE PADRE ANTONIO VIEIRA SEDE</t>
  </si>
  <si>
    <t>EE PADRE ANGELO MORETTI</t>
  </si>
  <si>
    <t>EEEF IRMA SANCHA AUGUSTA DE SOUZA E SILVA</t>
  </si>
  <si>
    <t>EEEM PROFESSORA MARIA SOCORRO OLIVEIRA DA ROCHA</t>
  </si>
  <si>
    <t>PEIXE BOI</t>
  </si>
  <si>
    <t>EE JONATHAS PONTES ATHIAS SEDE</t>
  </si>
  <si>
    <t>EEEF JONATHAS PONTES ATHIAS (ANEXO I)</t>
  </si>
  <si>
    <t>PRIMAVERA</t>
  </si>
  <si>
    <t>EE INOCENCIO SOARES SEDE</t>
  </si>
  <si>
    <t>EEEFM MANOEL LOBATO</t>
  </si>
  <si>
    <t>QUATIPURU</t>
  </si>
  <si>
    <t>EE JOAO PAULO I</t>
  </si>
  <si>
    <t>EE MARIA ALICE GEOLAS M CARVALHO SEDE</t>
  </si>
  <si>
    <t>EE ANTONIO MORAES DO NASCIMENTO</t>
  </si>
  <si>
    <t>SALINOPOLIS</t>
  </si>
  <si>
    <t>EEEFM PROF. ARACY ALVES DIAS</t>
  </si>
  <si>
    <t>EEEFM DOM BOSCO</t>
  </si>
  <si>
    <t>EE PROF TEODATO DE REZENDE</t>
  </si>
  <si>
    <t>EE PADRE DUBOIS</t>
  </si>
  <si>
    <t>EE DR MIGUEL DE SANTA BRIGIDA</t>
  </si>
  <si>
    <t>EE ADRIANO SANTA BRIGIDA</t>
  </si>
  <si>
    <t>EEEF LAURA DO CARMO VICUNA</t>
  </si>
  <si>
    <t>EEEF EURIDES DE BRITO</t>
  </si>
  <si>
    <t>SANTA LUZIA DO PARA</t>
  </si>
  <si>
    <t>EE PROF FLORENTINA DAMASCENO SEDE</t>
  </si>
  <si>
    <t>SANTAREM NOVO</t>
  </si>
  <si>
    <t>EEEM ROSA CARRERA LOUREIRO AQUINO</t>
  </si>
  <si>
    <t>SAO JOAO DE PIRABAS</t>
  </si>
  <si>
    <t>EEEM FRANCISCO DA SILVA NUNES SEDE</t>
  </si>
  <si>
    <t>CAPITAO POCO</t>
  </si>
  <si>
    <t>EE PROF TEREZINHA BEZERRA SIQUEIRA</t>
  </si>
  <si>
    <t>EE PADRE VITALIANO MARIA VARI SEDE</t>
  </si>
  <si>
    <t>EE ANEXO PIRA</t>
  </si>
  <si>
    <t>EE ANEXO YTUWASU</t>
  </si>
  <si>
    <t>EEEF JACARE (ANEXO)</t>
  </si>
  <si>
    <t>EEEFM DIONISIO HAGE</t>
  </si>
  <si>
    <t>ESCOLA ESTADUAL RURAL DE CAPITAO POCO</t>
  </si>
  <si>
    <t>EE BELINA CAMPOS COUTINHO</t>
  </si>
  <si>
    <t>EE OSVALDO CRUZ</t>
  </si>
  <si>
    <t>EE JOAQUIM ALMEIDA</t>
  </si>
  <si>
    <t>EEEFM ANTONIO VALDENIR ARAUJO DE LIMA</t>
  </si>
  <si>
    <t>ESCOLA INDIGENA ENS. FUND. FRANCISCO MAGNO TEMBE</t>
  </si>
  <si>
    <t>ANEXO JOAO MOTA DOS SANTOS</t>
  </si>
  <si>
    <t>EE INDIGENA FELIX TEMBE</t>
  </si>
  <si>
    <t>EIEEFM PINO A</t>
  </si>
  <si>
    <t>GARRAFAO DO NORTE</t>
  </si>
  <si>
    <t>EE MARIO BRASIL SEDE</t>
  </si>
  <si>
    <t>EE MARIO BRASIL SEDE - ANEXO 1</t>
  </si>
  <si>
    <t>ESCOLA ESTADUAL RURAL DE GARRAFAO DO NORTE</t>
  </si>
  <si>
    <t>EE PACIFICO LEAO DA COSTA</t>
  </si>
  <si>
    <t>NOVA ESPERANCA DO PIRIA</t>
  </si>
  <si>
    <t>EEEM LINA SEFFER SEDE</t>
  </si>
  <si>
    <t>ESCOLA ESTADUAL RURAL DE NOVA ESPERANCA DO PIRIA</t>
  </si>
  <si>
    <t>ANEXO RUFINO ROMAO TEMBE</t>
  </si>
  <si>
    <t>EIEEFM ITA PUTYR</t>
  </si>
  <si>
    <t>EIEEFM FRANCISCO ROMAO TEMBE</t>
  </si>
  <si>
    <t>CASTANHAL</t>
  </si>
  <si>
    <t>EE NILZA NASCIMENTO</t>
  </si>
  <si>
    <t>EE PROF CLOTILDE PEREIRA</t>
  </si>
  <si>
    <t>EE BENICIO LOPES</t>
  </si>
  <si>
    <t>EE CONEGO LEITAO</t>
  </si>
  <si>
    <t>EE PADRE SALVADOR TRACAIOLLI</t>
  </si>
  <si>
    <t>EEEFM 28 DE JANEIRO</t>
  </si>
  <si>
    <t>EE ROTARY CLUB DE CASTANHAL</t>
  </si>
  <si>
    <t>EE LAMEIRA BITTENCOURT</t>
  </si>
  <si>
    <t>EE PROF MARIA PIA SANTOS AMARAL</t>
  </si>
  <si>
    <t>EE DR LAURENO ALVES DE MELO</t>
  </si>
  <si>
    <t>EE ELCIONE THEREZINHA ZAHLUTH BARBALHO</t>
  </si>
  <si>
    <t>EE PROFISSIONAL PROF DEUSARINA DA SILVA RODRIGUES</t>
  </si>
  <si>
    <t>EEFM PROF PAULO CESAR COUTINHO RODRIGUES</t>
  </si>
  <si>
    <t>EEFM MARIA DAS MERCES DE OLIVEIRA CONOR</t>
  </si>
  <si>
    <t>EEEF CIDADE DE DOM BOSCO</t>
  </si>
  <si>
    <t>CE Dr INACIO KOURY GABRIEL NETO</t>
  </si>
  <si>
    <t>EEEFM JOSE SALLES</t>
  </si>
  <si>
    <t>ESCOLA ESTADUAL DE ENS FUND E MEDIO JOSE HENRIQUE</t>
  </si>
  <si>
    <t>EEETMA SAO LUCAS</t>
  </si>
  <si>
    <t>CURUCA</t>
  </si>
  <si>
    <t>EE GONCALO FERREIRA SEDE VINC</t>
  </si>
  <si>
    <t>EE PROF OLINDA VERAS ALVES</t>
  </si>
  <si>
    <t>EE JUPITER MAIA</t>
  </si>
  <si>
    <t>EE ABEL OVIDIO DE CAMPOS</t>
  </si>
  <si>
    <t>EE MARIA HYLUISA PINTO FERREIRA</t>
  </si>
  <si>
    <t>EEEM PROF RAIMUNDA SENA DA SILVA</t>
  </si>
  <si>
    <t>ESCOLA ESTADUAL RURAL DE CURUCA</t>
  </si>
  <si>
    <t>EEEM PROFA MARIA DE NAZARE GUIMARAES MACEDO</t>
  </si>
  <si>
    <t>INHANGAPI</t>
  </si>
  <si>
    <t>EE PROF ANTONIO MARCAL</t>
  </si>
  <si>
    <t>EE ANEXO VILA DE PERNAMBUCO</t>
  </si>
  <si>
    <t>ESCOLA ESTADUAL RURAL DE INHANGAPI</t>
  </si>
  <si>
    <t>EEEM AGOSTINHO MORAES DE OLIVEIRA (SEDE)</t>
  </si>
  <si>
    <t>MARAPANIM</t>
  </si>
  <si>
    <t>EE REMIGIO FERNANDES SEDE VINC</t>
  </si>
  <si>
    <t>EE ANEXO I REMIGIO FERNANDEZ</t>
  </si>
  <si>
    <t>EEEM NELSON REBELO</t>
  </si>
  <si>
    <t>ESCOLA ESTADUAL RURAL DE MARAPANIM</t>
  </si>
  <si>
    <t>SANTA MARIA DO PARA</t>
  </si>
  <si>
    <t>EE MAGALHAES BARATA SEDE VINC</t>
  </si>
  <si>
    <t>EE PROF MARCOS NUNES</t>
  </si>
  <si>
    <t>EE DR ARMANDO CORREA</t>
  </si>
  <si>
    <t>EE PROF FRANCISCO NUNES</t>
  </si>
  <si>
    <t>EE JOAO GABRIEL DA SILVA</t>
  </si>
  <si>
    <t>EE SEVERIANO BENEDITO DE SOUZA</t>
  </si>
  <si>
    <t>EE JOAO BOTELHO DE SOUZA</t>
  </si>
  <si>
    <t>SAO DOMINGOS DO CAPIM</t>
  </si>
  <si>
    <t>EE PROF VICENTINA SODRE DE ARAUJO</t>
  </si>
  <si>
    <t>EE MAROJA NETO SEDE</t>
  </si>
  <si>
    <t>EE PROF JONATHAS ATIAS</t>
  </si>
  <si>
    <t>ESCOLA ESTADUAL RURAL DE SAO DOMINGOS DO CAPIM</t>
  </si>
  <si>
    <t>SAO FRANCISCO DO PARA</t>
  </si>
  <si>
    <t>EEEM PROFª MARIA DA CONCEICAO GOMES DE SOUZA</t>
  </si>
  <si>
    <t>SAO JOAO DA PONTA</t>
  </si>
  <si>
    <t>EE PROF ANTONIA ROSA SEDE</t>
  </si>
  <si>
    <t>SAO MIGUEL DO GUAMA</t>
  </si>
  <si>
    <t>EEEM FREI MIGUEL DE BULHOES- SEDE</t>
  </si>
  <si>
    <t>ESCOLA ESTADUAL RURAL DE SAO MIGUEL DO GUAMA</t>
  </si>
  <si>
    <t>EEEM IRMA CARLA GIUSSANI</t>
  </si>
  <si>
    <t>TERRA ALTA</t>
  </si>
  <si>
    <t>EE AUGUSTO RAMOS PINHEIROS</t>
  </si>
  <si>
    <t>EE INACIO PASSARINHO SEDE</t>
  </si>
  <si>
    <t>CONCEICAO DO ARAGUAIA</t>
  </si>
  <si>
    <t>EE PROF JOSE WILSON PEREIRA LEITE</t>
  </si>
  <si>
    <t>EE BRAULIA GURJAO</t>
  </si>
  <si>
    <t>EE ACY DE JESUS NEVES DE BARROS PEREIRA</t>
  </si>
  <si>
    <t>ESCOLA ESTADUAL RURAL DE CONCEICAO DO ARAGUAIA</t>
  </si>
  <si>
    <t>EE SATELITE FREI GIL DE VILA NOVA</t>
  </si>
  <si>
    <t>EE PROF DEOCLECIANO ALVES MOREIRA</t>
  </si>
  <si>
    <t>CUMARU DO NORTE</t>
  </si>
  <si>
    <t>EEEM JOAO PINTO PEREIRA</t>
  </si>
  <si>
    <t>ANEXO GOROTIRE DA EEEM JOAO PINTO PEREIRA</t>
  </si>
  <si>
    <t>ANEXO VILA ESTRELA DO PARA</t>
  </si>
  <si>
    <t>ESCOLA ESTADUAL RURAL DE CUMARU DO NORTE</t>
  </si>
  <si>
    <t>FLORESTA DO ARAGUAIA</t>
  </si>
  <si>
    <t>EE MONSENHOR AUGUSTO DIAS DE BRITO</t>
  </si>
  <si>
    <t>EEEM MONSENHOR AUGUSTO DIAS BRITO (ANEXO V)</t>
  </si>
  <si>
    <t>ESCOLA ESTADUAL RURAL DE FLORESTA DO ARAGUAIA</t>
  </si>
  <si>
    <t>PAU D'ARCO</t>
  </si>
  <si>
    <t>EE PAULO HANNEMMANN (SEDE)</t>
  </si>
  <si>
    <t>REDENCAO</t>
  </si>
  <si>
    <t>EE ENG PALMA MUNIZ SEDE</t>
  </si>
  <si>
    <t>EE ANEXO RONAN FIDELIS DE MELO</t>
  </si>
  <si>
    <t>ESCOLA ESTADUAL RURAL DE REDENCAO</t>
  </si>
  <si>
    <t>EE PROFA DEUZUITA PEREIRA DE QUEIROZ</t>
  </si>
  <si>
    <t>EEEM MARIA BENTA OLIVEIRA DE SOUSA</t>
  </si>
  <si>
    <t>SANTA MARIA DAS BARREIRAS</t>
  </si>
  <si>
    <t>EE CASTRO ALVES SEDE</t>
  </si>
  <si>
    <t>ESCOLA ESTADUAL RURAL DE SANTA MARIA DAS BARREIRAS</t>
  </si>
  <si>
    <t>SANTANA DO ARAGUAIA</t>
  </si>
  <si>
    <t>EE JORCELI SILVA SESTARI SEDE</t>
  </si>
  <si>
    <t>EE JORCELI SILVA SESTARI (ANEXO II)</t>
  </si>
  <si>
    <t>EEEM JORCELI SESTARI SILVA (ANEXO IV)</t>
  </si>
  <si>
    <t>ESCOLA ESTADUAL RURAL DE SANTANA DO ARAGUAIA</t>
  </si>
  <si>
    <t>EETEPA SANTANA DO ARAGUAIA</t>
  </si>
  <si>
    <t>CURRALINHO</t>
  </si>
  <si>
    <t>EE PRADO LOPES SEDE VINC</t>
  </si>
  <si>
    <t>ESCOLA ESTADUAL RURAL DE CURRALINHO</t>
  </si>
  <si>
    <t>EEEFM MANOEL DA VERA CRUZ SA</t>
  </si>
  <si>
    <t>MUANA</t>
  </si>
  <si>
    <t>EEEM DR SERGIO MOTA</t>
  </si>
  <si>
    <t>ESCOLA ESTADUAL RURAL DE MUANA</t>
  </si>
  <si>
    <t>OEIRAS DO PARA</t>
  </si>
  <si>
    <t>EEEM RAIMUNDO RIBEIRO DA COSTA</t>
  </si>
  <si>
    <t>ESCOLA ESTADUAL RURAL DE OEIRAS DO PARA</t>
  </si>
  <si>
    <t>PONTA DE PEDRAS</t>
  </si>
  <si>
    <t>EE DRA ESTER MOUTA SEDE</t>
  </si>
  <si>
    <t>ESCOLA ESTADUAL RURAL DE PONTA DE PEDRAS</t>
  </si>
  <si>
    <t>EE AURELIANA MONTEIRO</t>
  </si>
  <si>
    <t>EEEFM JOELSON DOS SANTOS RODRIGUES</t>
  </si>
  <si>
    <t>EEEM DALCIDIO JURANDIR</t>
  </si>
  <si>
    <t>SAO SEBASTIAO DA BOA VISTA</t>
  </si>
  <si>
    <t>EEEFM JOAO XXIII (SEDE)</t>
  </si>
  <si>
    <t>ESCOLA ESTADUAL RURAL DE SAO SEBASTIAO DA BOA VISTA</t>
  </si>
  <si>
    <t>ITAITUBA</t>
  </si>
  <si>
    <t>AVEIRO</t>
  </si>
  <si>
    <t>EE EDUARDO ANGELIM SEDE VINC</t>
  </si>
  <si>
    <t>ESCOLA ESTADUAL RURAL DE AVEIRO</t>
  </si>
  <si>
    <t>EE BENEDITO CORREA DE SOUZA</t>
  </si>
  <si>
    <t>ANEXO I DA EEEM BENEDITO CORREA DE SOUZA</t>
  </si>
  <si>
    <t>ESCOLA ESTADUAL RURAL DE ITAITUBA</t>
  </si>
  <si>
    <t>EE PROF MARIA DO SOCORRO JACOB</t>
  </si>
  <si>
    <t>ANEXO I DA EEEM PROF MARIA DO SOCORRO JACOB</t>
  </si>
  <si>
    <t>ANEXO II DA EEEM PROF MARIA DO SOCORRO JACOB</t>
  </si>
  <si>
    <t>EEEM ISAAC NEWTON</t>
  </si>
  <si>
    <t>EEEM CENTRO EDUCACIONAL ANCHIETA</t>
  </si>
  <si>
    <t>EEEM CENTRO MARANATA</t>
  </si>
  <si>
    <t>EEEM PROFESSORA MARIA DAS GRACAS ESCOCIO CERQUEIRA</t>
  </si>
  <si>
    <t>EEEM PROFª JUSSARA TEREZINHA</t>
  </si>
  <si>
    <t>EETEPA - ITAITUBA</t>
  </si>
  <si>
    <t>JACAREACANGA</t>
  </si>
  <si>
    <t>EEEM BRIGADEIRO HAROLDO COIMBRA VELOSO</t>
  </si>
  <si>
    <t>ESCOLA ESTADUAL RURAL DE JACAREACANGA</t>
  </si>
  <si>
    <t>NOVO PROGRESSO</t>
  </si>
  <si>
    <t>EEEM WALDEMAR LINDERMAYR</t>
  </si>
  <si>
    <t>ESCOLA ESTADUAL RURAL DE NOVO PROGRESSO</t>
  </si>
  <si>
    <t>PLACAS</t>
  </si>
  <si>
    <t>EEEM PRESIDENTE TANCREDO NEVES SEDE</t>
  </si>
  <si>
    <t>ESCOLA ESTADUAL RURAL DE PLACAS</t>
  </si>
  <si>
    <t>RUROPOLIS</t>
  </si>
  <si>
    <t>EE GOV EURICO VALE (SEDE)</t>
  </si>
  <si>
    <t>ANEXO I DA EE GOVERNADOR EURICO VALE</t>
  </si>
  <si>
    <t>TRAIRAO</t>
  </si>
  <si>
    <t>EEEM DEPUTADO EVERALDO MARTINS SEDE</t>
  </si>
  <si>
    <t>ANEXO I DA EEEM DEP EVERALDO MARTINS</t>
  </si>
  <si>
    <t>ESCOLA ESTADUAL RURAL DE TRAIRAO</t>
  </si>
  <si>
    <t>MAE DO RIO</t>
  </si>
  <si>
    <t>AURORA DO PARA</t>
  </si>
  <si>
    <t>EE EMILIO PANTOJA</t>
  </si>
  <si>
    <t>EE PROF HILDEBERTO REIS SEDE</t>
  </si>
  <si>
    <t>EE DR LAUDELINO SOARES</t>
  </si>
  <si>
    <t>ESCOLA ESTADUAL RURAL DE AURORA DO PARA</t>
  </si>
  <si>
    <t>DOM ELISEU</t>
  </si>
  <si>
    <t>EE LUIS GUALBERTO PIMENTEL</t>
  </si>
  <si>
    <t>EEEM ANEXO I LUIS GUALBERTO PIMENTEL</t>
  </si>
  <si>
    <t>ESCOLA ESTADUAL RURAL DE DOM ELISEU</t>
  </si>
  <si>
    <t>EEEM ANTONIO JESUS DE OLIVEIRA</t>
  </si>
  <si>
    <t>IPIXUNA DO PARA</t>
  </si>
  <si>
    <t>EEEM IRMA AGNES VINCQUIER</t>
  </si>
  <si>
    <t>EEEM ADELIA CARVALHO SODRE ( ANEXO I )</t>
  </si>
  <si>
    <t>IRITUIA</t>
  </si>
  <si>
    <t>EEEFM FRANCISCO NUNES</t>
  </si>
  <si>
    <t>EE NICOLAU NERES DA SILVA</t>
  </si>
  <si>
    <t>EE DE TESSALONICA</t>
  </si>
  <si>
    <t>EE ITABOCAL</t>
  </si>
  <si>
    <t>EE ALACID NUNES</t>
  </si>
  <si>
    <t>EE DR VICENTE DE PAULA</t>
  </si>
  <si>
    <t>EE MARIA DA CONCEICAO MALHEIROS (SEDE)</t>
  </si>
  <si>
    <t>EMEF BANGU</t>
  </si>
  <si>
    <t>EMEF VITORIA OLIMPIO DE MOURA</t>
  </si>
  <si>
    <t>EEEFM PROFª MARIA DA CONCEICAO MALHEIRO (ANEXO IV)</t>
  </si>
  <si>
    <t>EE PADRE MARINO CONTTI (SEDE)</t>
  </si>
  <si>
    <t>ESCOLA ESTADUAL RURAL DE MAE DO RIO</t>
  </si>
  <si>
    <t>EEEM PROFA OSCARINA ANTONIA SOUZA DO REGO</t>
  </si>
  <si>
    <t>PARAGOMINAS</t>
  </si>
  <si>
    <t>EE PRESID CASTELO BRANCO SEDE</t>
  </si>
  <si>
    <t>EEEM ANEXO III PRESIDENTE CASTELO BRANCO</t>
  </si>
  <si>
    <t>ESCOLA ESTADUAL RURAL DE PARAGOMINAS</t>
  </si>
  <si>
    <t>EEEM GUILHERME GABRIEL</t>
  </si>
  <si>
    <t>EEEM PROF RAIMUNDO LAUREANO DA SILVA SOUZA</t>
  </si>
  <si>
    <t>EETEPA- PARAGOMINAS</t>
  </si>
  <si>
    <t>ULIANOPOLIS</t>
  </si>
  <si>
    <t>EEEM PROFa. IZABEL AMAZONAS</t>
  </si>
  <si>
    <t>ESCOLA ESTADUAL RURAL DE ULIANOPOLIS</t>
  </si>
  <si>
    <t>MARABA</t>
  </si>
  <si>
    <t>ABEL FIGUEIREDO</t>
  </si>
  <si>
    <t>EEEM PROFº HELIO FROTA LIMA</t>
  </si>
  <si>
    <t>BOM JESUS DO TOCANTINS</t>
  </si>
  <si>
    <t>EEEFM PROF MARIA SYLVIA DOS SANTOS</t>
  </si>
  <si>
    <t>EE INDIGENA DE ENS. INFANTIL FM PEPTYKRE PARKATEJE</t>
  </si>
  <si>
    <t>EE INDIGENA DE EFM TATAKT KYIKATEJE</t>
  </si>
  <si>
    <t>EEIEFM KATEKAPONOTI</t>
  </si>
  <si>
    <t>EIEEIFM RONORÊ KAPERE TEMEJAKREKATE AKRATIKATEJE</t>
  </si>
  <si>
    <t>EIEEIFM MÊ AKRE KOYAKATI</t>
  </si>
  <si>
    <t>EIEEIFM IMPOHYTUWA</t>
  </si>
  <si>
    <t>EIEEIFM TOKURYKTI</t>
  </si>
  <si>
    <t>EIEEIFM KUXWARE KRIAMRENTIJE</t>
  </si>
  <si>
    <t>ESCOLA IND EST ENS INF FUND E MED JUKAPI KRIJOHERE</t>
  </si>
  <si>
    <t>EE INDIGENA DE ENS INFANTIL FUND E MEDIO KOJIPOKTI</t>
  </si>
  <si>
    <t>ESC IND EST ENS INF FUND MED KWYNTYNKRE KYIKATEJE</t>
  </si>
  <si>
    <t>ESC IND EST ENS INF FUND MED KRUAPUTITIRE</t>
  </si>
  <si>
    <t>EE IND ENS INF FUND MED KWYNKAPREKRE KUWEKATITI</t>
  </si>
  <si>
    <t>BREJO GRANDE DO ARAGUAIA</t>
  </si>
  <si>
    <t>EEEM PROFº LICIO SOLHEIRO</t>
  </si>
  <si>
    <t>ESCOLA ESTADUAL RURAL DE BREJO GRANDE DO ARAGUAIA</t>
  </si>
  <si>
    <t>ITUPIRANGA</t>
  </si>
  <si>
    <t>EE ALBERTINA BARREIROS SEDE VINC</t>
  </si>
  <si>
    <t>EE BRASIL TROPICAL</t>
  </si>
  <si>
    <t>EE PROF IZABEL MARACAIPE</t>
  </si>
  <si>
    <t>EEEM PROF LIBERALINA CARVALHO DE ARAGAO DIAS</t>
  </si>
  <si>
    <t>ESCOLA ESTADUAL RURAL DE ITUPIRANGA</t>
  </si>
  <si>
    <t>JACUNDA</t>
  </si>
  <si>
    <t>EE 1 E 2G PROFA MARIA DA GLORIA RODRIGUES PAIXAO</t>
  </si>
  <si>
    <t>ESCOLA ESTADUAL RURAL DE JACUNDA</t>
  </si>
  <si>
    <t>EEEFM IRMA DOROTHY STANG</t>
  </si>
  <si>
    <t>EE PLINIO PINHEIRO</t>
  </si>
  <si>
    <t>EE PROF ONEIDE DE SOUZA TAVARES</t>
  </si>
  <si>
    <t>EE DR JOSE CURSINO DE AZEVEDO</t>
  </si>
  <si>
    <t>EE PROF SALOME CARVALHO</t>
  </si>
  <si>
    <t>EE PROF ACY DE JESUS NEVES DE BARROS PEREIRA</t>
  </si>
  <si>
    <t>ANEXO II PROF ACY DE JESUS NEVES DE BARROS PEREIRA</t>
  </si>
  <si>
    <t>ESCOLA ESTADUAL RURAL DE MARABA</t>
  </si>
  <si>
    <t>EE DR INACIO SOUSA MOTA</t>
  </si>
  <si>
    <t>EE DR GABRIEL SALES PIMENTA</t>
  </si>
  <si>
    <t>EE DR GASPAR VIANNA</t>
  </si>
  <si>
    <t>EE DR GASPAR VIANNA (ANEXO I)</t>
  </si>
  <si>
    <t>EE PROF PAULO FREIRE</t>
  </si>
  <si>
    <t>EE LIBERDADE</t>
  </si>
  <si>
    <t>EEEM LIBERDADE (ANEXO I)</t>
  </si>
  <si>
    <t>EE PROF JONATHAS PONTES ATHIAS</t>
  </si>
  <si>
    <t>EE ELINDA SIMPLICIO COSTA</t>
  </si>
  <si>
    <t>EE PROF ANIZIO TEIXEIRA</t>
  </si>
  <si>
    <t>EE WALKISE DA SILVEIRA VIANNA</t>
  </si>
  <si>
    <t>EE RIO TOCANTINS</t>
  </si>
  <si>
    <t>EEEFM LUZIA NUNES FERNANDES</t>
  </si>
  <si>
    <t>EEEM O PEQUENO PRINCIPE</t>
  </si>
  <si>
    <t>EEEM Dr GERALDO MENDES DE CASTRO VELOSO</t>
  </si>
  <si>
    <t>ESCOLA ESTADUAL DE ENSINO MEDIO IRMA THEODORA</t>
  </si>
  <si>
    <t>EEEM SAO JOSE</t>
  </si>
  <si>
    <t>ESCOLA IND EST DE ENS INF FUND E MED AKROTIKATEJE</t>
  </si>
  <si>
    <t>CENTRO DE EDUCACAO DE JOVENS E ADULTOS PROF TEREZA DONATO DE ARAUJO CEEJA EM MARABA/PA</t>
  </si>
  <si>
    <t>NOVA IPIXUNA</t>
  </si>
  <si>
    <t>EE MARIA IRANY RODRIGUES DA SILVA (SEDE)</t>
  </si>
  <si>
    <t>ESCOLA ESTADUAL RURAL DE NOVA IPIXUNA</t>
  </si>
  <si>
    <t>PALESTINA DO PARA</t>
  </si>
  <si>
    <t>EEEM 21 DE ABRIL</t>
  </si>
  <si>
    <t>ESCOLA ESTADUAL RURAL DE PALESTINA DO PARA</t>
  </si>
  <si>
    <t>PICARRA</t>
  </si>
  <si>
    <t>EE ALICE SILVEIRA LIMA (SEDE)</t>
  </si>
  <si>
    <t>ESCOLA ESTADUAL RURAL DE PICARRA</t>
  </si>
  <si>
    <t>RONDON DO PARA</t>
  </si>
  <si>
    <t>EE DIONISIO BENTES DE CARVALHO SEDE</t>
  </si>
  <si>
    <t>SAO DOMINGOS DO ARAGUAIA</t>
  </si>
  <si>
    <t>EE 1 E 2G PROFA ELZA MARIA CORREA DANTAS</t>
  </si>
  <si>
    <t>ESCOLA ESTADUAL RURAL DE SAO DOMINGOS DO ARAGUAIA</t>
  </si>
  <si>
    <t>SAO GERALDO DO ARAGUAIA</t>
  </si>
  <si>
    <t>EE MACARIO DANTAS SEDE</t>
  </si>
  <si>
    <t>EEEM MACARIO DANTAS (ANEXO)</t>
  </si>
  <si>
    <t>ESCOLA ESTADUAL RURAL DE SAO GERALDO DO ARAGUAIA</t>
  </si>
  <si>
    <t>EEEM NOVO PARAISO</t>
  </si>
  <si>
    <t>EEEM LENILSON LUIZ MIRANDA</t>
  </si>
  <si>
    <t>SAO JOAO DO ARAGUAIA</t>
  </si>
  <si>
    <t>EE ABEL FIGUEREDO (SEDE)</t>
  </si>
  <si>
    <t>ESCOLA ESTADUAL RURAL DE SAO JOAO DO ARAGUAIA</t>
  </si>
  <si>
    <t>MARACANA</t>
  </si>
  <si>
    <t>IGARAPE ACU</t>
  </si>
  <si>
    <t>EE JOSE ELIAS EMIN</t>
  </si>
  <si>
    <t>EE DR ANGELO CESARINO SEDE VINC</t>
  </si>
  <si>
    <t>EE JOAO BATISTA DE MOURA CARVALHO</t>
  </si>
  <si>
    <t>EE MACARIO FELIPE ANTONIO</t>
  </si>
  <si>
    <t>EE CONEGO CALADO</t>
  </si>
  <si>
    <t>EE ANTONIO ALVES RAMOS</t>
  </si>
  <si>
    <t>EE DO CURI</t>
  </si>
  <si>
    <t>EE JOAO PAULO II</t>
  </si>
  <si>
    <t>EE NILO DE OLIVEIRA</t>
  </si>
  <si>
    <t>EE FREI DANIEL DE SAMARATE</t>
  </si>
  <si>
    <t>EEEM PROF MARIA IONE HENRIQUE</t>
  </si>
  <si>
    <t>MAGALHAES BARATA</t>
  </si>
  <si>
    <t>EE PROF MANOEL JOAQUIM MONTEIRO SEDE VINC</t>
  </si>
  <si>
    <t>EE LAMEIRA BITENCOURT</t>
  </si>
  <si>
    <t>EE MANOEL SABINO DA SILVA</t>
  </si>
  <si>
    <t>EE PRESID KENNEDY</t>
  </si>
  <si>
    <t>ESCOLA ESTADUAL RURAL DE MARACANA</t>
  </si>
  <si>
    <t>EEEM IZIDORIO FRANCISCO DE SOUZA</t>
  </si>
  <si>
    <t>MONTE ALEGRE</t>
  </si>
  <si>
    <t>ALENQUER</t>
  </si>
  <si>
    <t>EE SANTO ANTONIO SEDE</t>
  </si>
  <si>
    <t>ESCOLA ESTADUAL RURAL DE ALENQUER</t>
  </si>
  <si>
    <t>EE FULGENCIO SIMOES</t>
  </si>
  <si>
    <t>EE PROF MARIA VALMONT</t>
  </si>
  <si>
    <t>EE DR JOSE JORGE HAGE</t>
  </si>
  <si>
    <t>EE AMADEU BURLAMAQUI SIMOES</t>
  </si>
  <si>
    <t>EEEM PROF BEATRIZ DO VALLE</t>
  </si>
  <si>
    <t>ALMEIRIM</t>
  </si>
  <si>
    <t>EE FREI CONSTANCIO</t>
  </si>
  <si>
    <t>ESCOLA ESTADUAL RURAL DE ALMEIRIM</t>
  </si>
  <si>
    <t>DISTRITO DE MONTE DOURADO</t>
  </si>
  <si>
    <t>EE PROF JOSE AGOSTINHO GUERRA SEDE</t>
  </si>
  <si>
    <t>EE PREFEITO CARIM MELEM</t>
  </si>
  <si>
    <t>EE ANEXO PADRE EDMUNDO DE LIMA CALVO</t>
  </si>
  <si>
    <t>EE FRANCISCO NOBRE DE ALMEIDA</t>
  </si>
  <si>
    <t>EE ANEXO FRANCISCO N DE ALMEIDA</t>
  </si>
  <si>
    <t>EMEF MURUMURU (ANEXO I)</t>
  </si>
  <si>
    <t>ESCOLA ESTADUAL RURAL DE MONTE ALEGRE</t>
  </si>
  <si>
    <t>COLEGIO EST. ENS. MEDIO PRESID. FERNANDO HENRIQUE</t>
  </si>
  <si>
    <t>EEEM KM 11</t>
  </si>
  <si>
    <t>EETEPA MONTE ALEGRE</t>
  </si>
  <si>
    <t>PRAINHA</t>
  </si>
  <si>
    <t>EE PRETEXTATO DA COSTA ALVARENGA SEDE VINC</t>
  </si>
  <si>
    <t>ANEXO I DA EEEM PRETEXTATO DA COSTA ALVARENGA</t>
  </si>
  <si>
    <t>ANEXO II DA EEEM PRETEXTATO DA COSTA ALVARENGA</t>
  </si>
  <si>
    <t>ANEXO III DA EEEM PRETEXTATO DA COSTA ALVARENGA</t>
  </si>
  <si>
    <t>ESCOLA ESTADUAL RURAL DE PRAINHA</t>
  </si>
  <si>
    <t>OBIDOS</t>
  </si>
  <si>
    <t>CURUA</t>
  </si>
  <si>
    <t>EEEM SORAYA MARQUES CHAYB</t>
  </si>
  <si>
    <t>ESCOLA ESTADUAL RURAL DE CURUA</t>
  </si>
  <si>
    <t>FARO</t>
  </si>
  <si>
    <t>EE FLORA TEIXEIRA SEDE</t>
  </si>
  <si>
    <t>EE MARCOS BENTES DE CARVALHO</t>
  </si>
  <si>
    <t>EE SAO JOSE</t>
  </si>
  <si>
    <t>ESCOLA ESTADUAL RURAL DE FARO</t>
  </si>
  <si>
    <t>JURUTI</t>
  </si>
  <si>
    <t>EEEM EMANUEL SALGADO VIEIRA (sede)</t>
  </si>
  <si>
    <t>EE DEP AMERICO PEREIRA LIMA</t>
  </si>
  <si>
    <t>EEEF NOSSA SENHORA DA SAUDE</t>
  </si>
  <si>
    <t>EEEM VEREADOR RAIMUNDO DE SOUZA COELHO</t>
  </si>
  <si>
    <t>EEEM PROFESSORA ZENITA FREITAS DE MATOS</t>
  </si>
  <si>
    <t>ESCOLA ESTADUAL RURAL DE JURUTI</t>
  </si>
  <si>
    <t>ESCOLA ESTADUAL RURAL DE OBIDOS</t>
  </si>
  <si>
    <t>EEEM PROFESSOR MAURICIO HAMOY</t>
  </si>
  <si>
    <t>EEEM PROFESSOR MAURICIO HAMOY - ANEXO I</t>
  </si>
  <si>
    <t>ORIXIMINA</t>
  </si>
  <si>
    <t>EEEFM PADRE JOSE NICOLINO DE SOUZA -SEDE</t>
  </si>
  <si>
    <t>CE Dr ALMIR GABRIEL</t>
  </si>
  <si>
    <t>ESCOLA ESTADUAL RURAL DE ORIXIMINA</t>
  </si>
  <si>
    <t>EETEPA ORIXIMINA</t>
  </si>
  <si>
    <t>TERRA SANTA</t>
  </si>
  <si>
    <t>EE ANTONIO CANDIDO MACHADO SEDE</t>
  </si>
  <si>
    <t>PARAUAPEBAS</t>
  </si>
  <si>
    <t>CANAA DOS CARAJAS</t>
  </si>
  <si>
    <t>EEFM PROF. NELSON DOS PRAZERES HENRIQUE</t>
  </si>
  <si>
    <t>ESCOLA ESTADUAL RURAL DE CANAA DOS CARAJAS</t>
  </si>
  <si>
    <t>EEEM IRMA LAURA DE MARTINS CARVALHO</t>
  </si>
  <si>
    <t>CURIONOPOLIS</t>
  </si>
  <si>
    <t>EEEM TANCREDO NEVES</t>
  </si>
  <si>
    <t>EEEM PROF JOAQUINA DIAMANTINA FERREIRA LEMOS</t>
  </si>
  <si>
    <t>EEEM GOVERNADOR ALMIR GABRIEL</t>
  </si>
  <si>
    <t>ELDORADO DOS CARAJAS</t>
  </si>
  <si>
    <t>EE ELDORADO(SEDE)</t>
  </si>
  <si>
    <t>ESCOLA ESTADUAL RURAL DE ELDORADO DO CARAJAS</t>
  </si>
  <si>
    <t>EEEM FRANCILANDIA</t>
  </si>
  <si>
    <t>EEEM JOAO PRUDENCIO DE BRITO</t>
  </si>
  <si>
    <t>EE EDUARDO ANGELIM SEDE</t>
  </si>
  <si>
    <t>EE EDUARDO ANGELIM (ANEXO VII)</t>
  </si>
  <si>
    <t>EE EDUARDO ANGELIM (ANEXO VIII)</t>
  </si>
  <si>
    <t>EE GEN EUCLYDES F FIGUEIREDO</t>
  </si>
  <si>
    <t>EE CECILIA MEIRELES</t>
  </si>
  <si>
    <t>EE IRMA DULCE</t>
  </si>
  <si>
    <t>EEEM FARUK SALMEN</t>
  </si>
  <si>
    <t>EEEFM JANELA PARA O MUNDO</t>
  </si>
  <si>
    <t>EEEM CARLOS HENRIQUE</t>
  </si>
  <si>
    <t>EEEM PROF MARLUCE MASSARIOL DE SOUZA</t>
  </si>
  <si>
    <t>EEEM CRESCENDO NA PRATICA</t>
  </si>
  <si>
    <t>ESCOLA ESTADUAL RURAL DE PARAUAPEBAS</t>
  </si>
  <si>
    <t>EEEM PAULO FREIRE</t>
  </si>
  <si>
    <t>EEEM PROFESSOR LUIS MAGNO ARAUJO</t>
  </si>
  <si>
    <t>EEEM GONCALVES DIAS</t>
  </si>
  <si>
    <t>EEEM PROFESSOR SERAFIM FERNANDES DA SILVA</t>
  </si>
  <si>
    <t>SANTA BARBARA</t>
  </si>
  <si>
    <t>EEEFM HONORATO FILGUEIRAS - ANEXO I</t>
  </si>
  <si>
    <t>DISTRITO DE MOSQUEIRO</t>
  </si>
  <si>
    <t>EE BRUNO DE MENEZES</t>
  </si>
  <si>
    <t>EE INGLES DE SOUZA</t>
  </si>
  <si>
    <t>EE PROF LUIZA DE BARROS PIRES</t>
  </si>
  <si>
    <t>EE PROF ABELARDO LEAO CONDURU</t>
  </si>
  <si>
    <t>EE HONORATO FILGUEIRAS</t>
  </si>
  <si>
    <t>EEEF CARANANDUBA</t>
  </si>
  <si>
    <t>EEEM PADRE EDUARDO</t>
  </si>
  <si>
    <t>SANTA BARBARA DO PARA</t>
  </si>
  <si>
    <t>EE DR PADUA COSTA SEDE</t>
  </si>
  <si>
    <t>EE GENIPAUBA</t>
  </si>
  <si>
    <t>EE COLONIA CHICANO</t>
  </si>
  <si>
    <t>EEEFM SANTA BARBARA</t>
  </si>
  <si>
    <t>ERC MUNICIPAL SERGIO JOSE MACHADO</t>
  </si>
  <si>
    <t>SANTA IZABEL DO PARA</t>
  </si>
  <si>
    <t>BUJARU</t>
  </si>
  <si>
    <t>EE DOM MARIO DE MIRANDA VILAS BOAS SEDE</t>
  </si>
  <si>
    <t>EEEFM RAIMUNDO DE CAMPOS LOPES</t>
  </si>
  <si>
    <t>ESCOLA ESTADUAL RURAL DE BUJARU</t>
  </si>
  <si>
    <t>COLARES</t>
  </si>
  <si>
    <t>EE DR JOSE MALCHER SEDE</t>
  </si>
  <si>
    <t>EE NORMA GUILHON</t>
  </si>
  <si>
    <t>EE PRINCESA LEOPOLDINA</t>
  </si>
  <si>
    <t>EE LUCIOLA BRASIL</t>
  </si>
  <si>
    <t>EE BARAO DE GUAJARA</t>
  </si>
  <si>
    <t>CONCORDIA DO PARA</t>
  </si>
  <si>
    <t>EE AMABILIO ALVES PEREIRA SEDE</t>
  </si>
  <si>
    <t>ESCOLA ESTADUAL RURAL DE CONCORDIA DO PARA</t>
  </si>
  <si>
    <t>EE PROF ALOISIO DA COSTA CHAVES</t>
  </si>
  <si>
    <t>EE ANTONIO LEMOS</t>
  </si>
  <si>
    <t>EE CENTRO TREIN PROFIS GIOVANI EMMI</t>
  </si>
  <si>
    <t>EE E.F.PROFA.MARIETA EMMI</t>
  </si>
  <si>
    <t>EEEFM ROBERTO CARLOS NUNES BARROSO</t>
  </si>
  <si>
    <t>EEEM PROFESSORA ELZA DE OLIVEIRA MAIA</t>
  </si>
  <si>
    <t>EEEM IRMA ALBERTINA LEITAO</t>
  </si>
  <si>
    <t>SANTO ANTONIO DO TAUA</t>
  </si>
  <si>
    <t>EE INACIO MOURA SEDE</t>
  </si>
  <si>
    <t>ESCOLA ESTADUAL RURAL DE SANTO ANTONIO DO TAUA</t>
  </si>
  <si>
    <t>UT PROF MARLI ALMEIDA FONTENELLE DE CASTRO</t>
  </si>
  <si>
    <t>CE CELSO RODRIGUES</t>
  </si>
  <si>
    <t>SAO CAETANO DE ODIVELAS</t>
  </si>
  <si>
    <t>EE DES OSVALDO BRITO DE FARIAS SEDE</t>
  </si>
  <si>
    <t>EE ROSA ROCHA ALMEIDA</t>
  </si>
  <si>
    <t>TOME ACU</t>
  </si>
  <si>
    <t>EE ANTONIO BRASIL SEDE</t>
  </si>
  <si>
    <t>ESCOLA ESTADUAL RURAL DE TOME</t>
  </si>
  <si>
    <t>EE DR FABIO LUZ</t>
  </si>
  <si>
    <t>EEEM PROF ANNA ROSA MORAES MACIEL</t>
  </si>
  <si>
    <t>VIGIA</t>
  </si>
  <si>
    <t>EE PRESID KENNEDY SEDE</t>
  </si>
  <si>
    <t>EE PROF ESTER NUNES BIBAS</t>
  </si>
  <si>
    <t>EEEFM PROF TAURIANO GIL DE SOUSA</t>
  </si>
  <si>
    <t>EE CASTILHOS FRANCA</t>
  </si>
  <si>
    <t>EEEFM PENHA LONGA</t>
  </si>
  <si>
    <t>EEEFM ATATEUA DA BARRETA</t>
  </si>
  <si>
    <t>EE BERTOLDO NUNES</t>
  </si>
  <si>
    <t>EEEFM SANTA ROSA</t>
  </si>
  <si>
    <t>EETEPA VIGIA DE NAZARE</t>
  </si>
  <si>
    <t>SANTAREM</t>
  </si>
  <si>
    <t>BELTERRA</t>
  </si>
  <si>
    <t>EE WALDEMAR MAUES</t>
  </si>
  <si>
    <t>ESCOLA ESTADUAL RURAL DE BELTERRA</t>
  </si>
  <si>
    <t>MOJUI DOS CAMPOS</t>
  </si>
  <si>
    <t>EE GOV FERNANDO GUILHON</t>
  </si>
  <si>
    <t>ESCOLA ESTADUAL RURAL DE MOJUI DOS CAMPOS</t>
  </si>
  <si>
    <t>EE PROF ROMANA TAVARES LEAL</t>
  </si>
  <si>
    <t>EE SAO FELIPE</t>
  </si>
  <si>
    <t>EE ANEXO SAO FELIPE</t>
  </si>
  <si>
    <t>ESCOLA ESTADUAL RURAL DE SANTAREM</t>
  </si>
  <si>
    <t>EE BARAO DO TAPAJOS</t>
  </si>
  <si>
    <t>EE ANTONIO BATISTA BELO DE CARVALHO</t>
  </si>
  <si>
    <t>EE GONCALVES DIAS</t>
  </si>
  <si>
    <t>EE PROF MARIA UCHOA MARTINS</t>
  </si>
  <si>
    <t>EE NOSSA SENHORA APARECIDA</t>
  </si>
  <si>
    <t>EE RICHARD HENNINGTON</t>
  </si>
  <si>
    <t>EE ALM SOARES DUTRA</t>
  </si>
  <si>
    <t>EE FREI OTHMAR</t>
  </si>
  <si>
    <t>EE JOSE DE ALENCAR</t>
  </si>
  <si>
    <t>EE MADRE IMACULADA</t>
  </si>
  <si>
    <t>EE EZERIEL MONICO DE MATOS</t>
  </si>
  <si>
    <t>EE FREI AMBROSIO</t>
  </si>
  <si>
    <t>EE PEDRO ALVARES CABRAL</t>
  </si>
  <si>
    <t>EE ANEXO I PEDRO ALVARES CABRAL</t>
  </si>
  <si>
    <t>EE PLACIDO DE CASTRO</t>
  </si>
  <si>
    <t>EE ALVARO ADOLFO DA SILVEIRA</t>
  </si>
  <si>
    <t>EE FELISBELO JAGUAR SUSSUARANA</t>
  </si>
  <si>
    <t>EE JULIA G PASSARINHO</t>
  </si>
  <si>
    <t>EE ANEXO I JULIA PASSARINHO</t>
  </si>
  <si>
    <t>EE ANEXO II JULIA G PASSARINHO</t>
  </si>
  <si>
    <t>EE RODRIGUES DOS SANTOS</t>
  </si>
  <si>
    <t>EE PROF TEREZINHA DE JESUS RODRIGUES</t>
  </si>
  <si>
    <t>EE ONESIMA PEREIRA DE BARROS</t>
  </si>
  <si>
    <t>EE PROF ALUISIO LOPES MARTINS</t>
  </si>
  <si>
    <t>EE NOSSA SENHORA DO GUADALUPE</t>
  </si>
  <si>
    <t>EE JADER FONTENELLE BARBALHO</t>
  </si>
  <si>
    <t>EE DOM TIAGO RYAN</t>
  </si>
  <si>
    <t>EE ANEXO DOM TIAGO RYAN</t>
  </si>
  <si>
    <t>UEE DR JOSE TADEU DUARTE BASTOS</t>
  </si>
  <si>
    <t>EE E.F.M.RIO TAPAJOS</t>
  </si>
  <si>
    <t>EEEFM RIO TAPAJOS (ANEXO I)</t>
  </si>
  <si>
    <t>EEEF SAO JOSE</t>
  </si>
  <si>
    <t>EEEF DIOCESANA SAO FRANCISCO</t>
  </si>
  <si>
    <t>EEEFM SAO RAIMUNDO NONATO</t>
  </si>
  <si>
    <t>ERC ASSOCIACAO DE PAIS E AMIGOS DOS EXCEPCIONAIS</t>
  </si>
  <si>
    <t>EEEM WILSON DIAS DA FONSECA</t>
  </si>
  <si>
    <t>EEEM ANTONIO FIGUEIRA</t>
  </si>
  <si>
    <t>CENTRO DE EDUCACAO DE JOVENS E ADULTOS CEEJA SANTAREM</t>
  </si>
  <si>
    <t>EEEM MADRE IMACULADA -ANEXO I</t>
  </si>
  <si>
    <t>EEEM SAO FELIPE - ANEXO I</t>
  </si>
  <si>
    <t>EETEPA SANTAREM</t>
  </si>
  <si>
    <t>TUCURUI</t>
  </si>
  <si>
    <t>BREU BRANCO</t>
  </si>
  <si>
    <t>EEEM JOSE LOURENCO</t>
  </si>
  <si>
    <t>EMEF MARCI SEBASTIAO NUNES (ANEXO I)</t>
  </si>
  <si>
    <t>ESCOLA ESTADUAL RURAL DE BREU BRANCO</t>
  </si>
  <si>
    <t>EEEM SEVERO ALVES</t>
  </si>
  <si>
    <t>GOIANESIA DO PARA</t>
  </si>
  <si>
    <t>CE PROF ANUNCIADA CHAVES</t>
  </si>
  <si>
    <t>ESCOLA ESTADUAL RURAL DE GOIANESIA DO PARA</t>
  </si>
  <si>
    <t>EEEM DE EDUCACAO DO CAMPO PROF WILSON BAIA</t>
  </si>
  <si>
    <t>NOVO REPARTIMENTO</t>
  </si>
  <si>
    <t>EEEM PAPA PAULO VI</t>
  </si>
  <si>
    <t>EEEM PAPA PAULO VI (ANEXO I)</t>
  </si>
  <si>
    <t>EEEM PAPA PAULO VI ( Anexo III)</t>
  </si>
  <si>
    <t>ESCOLA ESTADUAL RURAL DE NOVO REPARTIMENTO</t>
  </si>
  <si>
    <t>PACAJA</t>
  </si>
  <si>
    <t>EEEM ALOISIO LOCH SEDE</t>
  </si>
  <si>
    <t>EEEM DOM JOSE ELIAS CHAVES</t>
  </si>
  <si>
    <t>ESCOLA ESTADUAL RURAL DE PACAJA</t>
  </si>
  <si>
    <t>EE DEP RAIMUNDO RIBEIRO DE SOUZA</t>
  </si>
  <si>
    <t>ESCOLA ESTADUAL RURAL DE TUCURUI</t>
  </si>
  <si>
    <t>EE ANA PONTES FRANCEZ</t>
  </si>
  <si>
    <t>EE 1 E 2G RUI BARBOSA</t>
  </si>
  <si>
    <t>EEEM SIMAO JACINTO DOS REIS</t>
  </si>
  <si>
    <t>XINGUARA</t>
  </si>
  <si>
    <t>AGUA AZUL DO NORTE</t>
  </si>
  <si>
    <t>EEEM JOSE LUIZ MARTINS</t>
  </si>
  <si>
    <t>ANEXO I DA EEEM JOSE LUIZ MARTINS</t>
  </si>
  <si>
    <t>ESCOLA ESTADUAL RURAL DE AGUA AZUL DO NORTE</t>
  </si>
  <si>
    <t>BANNACH</t>
  </si>
  <si>
    <t>EEEM GERALDO FERNANDES DE OLIVEIRA</t>
  </si>
  <si>
    <t>ESCOLA ESTADUAL RURAL DE BANNACH</t>
  </si>
  <si>
    <t>OURILANDIA DO NORTE</t>
  </si>
  <si>
    <t>EE Dr. ROMILDO VELOSO E SILVA</t>
  </si>
  <si>
    <t>ESCOLA ESTADUAL RURAL DE OURILANDIA DO NORTE</t>
  </si>
  <si>
    <t>RIO MARIA</t>
  </si>
  <si>
    <t>EE SEN CATETE PINHEIRO SEDE</t>
  </si>
  <si>
    <t>ESCOLA ESTADUAL RURAL DE RIO MARIA</t>
  </si>
  <si>
    <t>SAO FELIX DO XINGU</t>
  </si>
  <si>
    <t>EEEM Carmina Gomes</t>
  </si>
  <si>
    <t>EE CARMINA GOMES (ANEXO II)</t>
  </si>
  <si>
    <t>EEEM CARMINA GOMES (ANEXO III)</t>
  </si>
  <si>
    <t>ESCOLA ESTADUAL RURAL DE SAO FELIX DO XINGU</t>
  </si>
  <si>
    <t>SAPUCAIA</t>
  </si>
  <si>
    <t>TUCUMA</t>
  </si>
  <si>
    <t>EE PROF GERALDO ANGELO PEREIRA SEDE</t>
  </si>
  <si>
    <t>ESCOLA ESTADUAL RURAL DE TUCUMA</t>
  </si>
  <si>
    <t>EEEM THIAGO GONCALVES DE SOUZA</t>
  </si>
  <si>
    <t>EE DOM LUIZ DE MOURA PALHA SEDE</t>
  </si>
  <si>
    <t>EE ANEXO II DOM LUIZ DE MOURA PALHA</t>
  </si>
  <si>
    <t>EE ANEXO III DOM LUIZ DE MOURA PALHA</t>
  </si>
  <si>
    <t>EEEM PEDRO RIBEIRO MOTA</t>
  </si>
  <si>
    <t>CENTRO DE EDUCACAO DE JOVENS E ADULTOS PROF VIOLETA REFKALEFSKY LOUREIRO CEEJA EM XINGUARA/PA</t>
  </si>
  <si>
    <t>EEEM RAIMUNDO HENRIQUE DE MIRANDA- ANEXO</t>
  </si>
  <si>
    <t>EETEPA JORDAME CORREA QUEIROZ FILHO - XINGUARA</t>
  </si>
  <si>
    <t>C SEDE</t>
  </si>
  <si>
    <t>SETOR</t>
  </si>
  <si>
    <t>URE</t>
  </si>
  <si>
    <t>USE</t>
  </si>
  <si>
    <t>SETOR E ESCOLA</t>
  </si>
  <si>
    <t>ESCOLA RURAL</t>
  </si>
  <si>
    <t>03A URE - ABAETETUBA</t>
  </si>
  <si>
    <t>001920909840000- EE PROF BASILIO DE CARVALHO</t>
  </si>
  <si>
    <t>NÃO</t>
  </si>
  <si>
    <t>001920909840001- EE ANEXO PROF BASILIO DE CARVALHO</t>
  </si>
  <si>
    <t>001920909840002- EE ANEXO NOSSA SENHORA DA PAZ II</t>
  </si>
  <si>
    <t>001920909860000- EE PROF LAURA DOS SANTOS RIBEIRO</t>
  </si>
  <si>
    <t>001920909880000- EE SAO MIGUEL</t>
  </si>
  <si>
    <t>001920909910000- EEEFM PEDRO TEIXEIRA</t>
  </si>
  <si>
    <t>001920909910001- ANEXO I EEEFM PEDRO TEIXEIRA</t>
  </si>
  <si>
    <t>001920909910002- ANEXO II EEEFM PEDRO TEIXEIRA</t>
  </si>
  <si>
    <t>001920909920000- EE ESMERINA BOU HABIB</t>
  </si>
  <si>
    <t>001920909930000- EE PROF LEONIDAS MONTE</t>
  </si>
  <si>
    <t>001920909940000- EEEFM SAO FRANCISCO XAVIER</t>
  </si>
  <si>
    <t>001920909990000- EE PROF BERNARDINO P BARROS</t>
  </si>
  <si>
    <t>001920910330000- EE TEREZINHA DE JESUS F LIMA</t>
  </si>
  <si>
    <t>001920924360000- EEEF COMPLEXO EDUC E TERAPEUTICO CASA BEM-TE-VI</t>
  </si>
  <si>
    <t>001920927620000- EE PROF LEONARDO NEGRAO DE SOUSA</t>
  </si>
  <si>
    <t>001920927620001- EE ANEXO LEONARDO NEGRAO DE SOUZA</t>
  </si>
  <si>
    <t>001920927630000- EEEFM PROF CARMEM CARDOSO FERREIRA</t>
  </si>
  <si>
    <t>001920927640000- CENTRO DE ED JOVENS E ADULTOS PROF MARIA OSCAR SIL</t>
  </si>
  <si>
    <t>001920929830000- EE E .F.M.BENVINDA DE ARAUJO PONTES</t>
  </si>
  <si>
    <t>001920929830001- ANEXO DA EEEF BENVINDA DE ARAUJO PONTES</t>
  </si>
  <si>
    <t>001920929830002- ANEXO II DA EEEFM BENVINDA DE ARAUJO PONTES</t>
  </si>
  <si>
    <t>001920929830003- ANEXO RURAL EEEFM BENVINDA DE ARAUJO PONTES</t>
  </si>
  <si>
    <t>SIM</t>
  </si>
  <si>
    <t>001920932170000- EEEFM CRISTO REDENTOR</t>
  </si>
  <si>
    <t>001920935090000- UT DE EDUCACAO ESPECIAL DE ABAETETUBA</t>
  </si>
  <si>
    <t>001920936230000- EEEM IRMA STELLA MARIA</t>
  </si>
  <si>
    <t>001920937350000- EEEFM CRISTO TRABALHADOR</t>
  </si>
  <si>
    <t>001920937770000- EEEFM DO CAMPO PROFESSORA BENEDITA LIMA ARAUJO</t>
  </si>
  <si>
    <t>001920917580000- EE FELIPE PATRONI SEDE VINC</t>
  </si>
  <si>
    <t>001920917580002- ANEXO RURAL EE FELIPE PATRONI</t>
  </si>
  <si>
    <t>001920936820000- EEEM DEUSALINA DA CUNHA E SOUZA CARNEIRO</t>
  </si>
  <si>
    <t>001920910500000- EE CONEGO BATISTA CAMPOS SEDE VINC</t>
  </si>
  <si>
    <t>001920910510000- EE PADRE JOSE DELGARDES</t>
  </si>
  <si>
    <t>001920910520000- EE JOSE MARIA MACHADO</t>
  </si>
  <si>
    <t>001920910530000- EE ACY DE JESUS BARROS PEREIRA</t>
  </si>
  <si>
    <t>001920910580000- EE PRESID DUTRA</t>
  </si>
  <si>
    <t>001920926870000- EE EDUARDO ANGELIM</t>
  </si>
  <si>
    <t>001920927720000- EE JOSE MARIA DE MORAES</t>
  </si>
  <si>
    <t>001920932510000- ERC APAE DE BARCARENA</t>
  </si>
  <si>
    <t>001920936000000- CE Palmira Gabriel</t>
  </si>
  <si>
    <t>001920937780000- EETEPA MARIA SIQUEIRA DOS SANTOS DIAS BARCARENA</t>
  </si>
  <si>
    <t>001920909360000- EE MANOEL ANTONIO DE CASTRO SEDE VINC</t>
  </si>
  <si>
    <t>001920909430000- EE ENEDINA SAMPAIO MELO</t>
  </si>
  <si>
    <t>001920937320000- EEEM PROF DALILA AFONSO CUNHA</t>
  </si>
  <si>
    <t>001920937320001- ANEXO RURAL PROFA DALILA AFONSO CUNHA</t>
  </si>
  <si>
    <t>001920902510000- EE PROF ERNESTINA PEREIRA MAIA</t>
  </si>
  <si>
    <t>001920910750000- EE ANTONIO DE OLIVEIRA GORDO</t>
  </si>
  <si>
    <t>001920937250000- EEEM PROF ECILA PANTOJA DA ROCHA</t>
  </si>
  <si>
    <t>001920937950000- ERC CASA MARIA DO CARMO CARDOSO NERY - APAE</t>
  </si>
  <si>
    <t>001920902510001- ESCOLA ESTADUAL RURAL DE MOJU</t>
  </si>
  <si>
    <t>001920929860000- EEEM. SAO FRANCISCO DE ASSIS</t>
  </si>
  <si>
    <t>001920937600000- EEEM ERIBERTO JASPER</t>
  </si>
  <si>
    <t>001920937800000- EEEM DELCIMAR ALVES DA SILVA</t>
  </si>
  <si>
    <t>001920937400000- EEETEPA - TAILANDIA</t>
  </si>
  <si>
    <t>13A URE - BREVES</t>
  </si>
  <si>
    <t>001920937170000- EEEM LEOPOLDINA GUERREIRO SEDE</t>
  </si>
  <si>
    <t>001920937170001- ANEXO RURAL EEEM LEOPOLDINA GUERREIRO</t>
  </si>
  <si>
    <t>001920923450000- EEEFM MAGALHAES BARATA SEDE</t>
  </si>
  <si>
    <t>001920923450001- ANEXO RURAL EEEFM MAGALHAES BARATA</t>
  </si>
  <si>
    <t>10A URE - ALTAMIRA</t>
  </si>
  <si>
    <t>001920905910000- EE POLIVALENTE</t>
  </si>
  <si>
    <t>001920927910000- EE PROF DAIRCE PEDROSA TORRES</t>
  </si>
  <si>
    <t>001920934690000- EEEFM GETULIO VARGAS</t>
  </si>
  <si>
    <t>001920936880000- EEEM PROFª DUCILLA ALMEIDA DO NASCIMENTO</t>
  </si>
  <si>
    <t>001920937480000- EEEM BARTOLOMEU MORAIS DA SILVA</t>
  </si>
  <si>
    <t>001920937480100- ANEXO I EEEM BARTOLOMEU MORAIS DA SILVA</t>
  </si>
  <si>
    <t>001920937970000- EEEM PROFª ODILA DE SOUZA</t>
  </si>
  <si>
    <t>001920937970001- ANEXO RURAL EEEM PROFª ODILA DE SOUZA</t>
  </si>
  <si>
    <t>001920936580000- EEEM MARIA JOSE SANTANA DA SILVA</t>
  </si>
  <si>
    <t>001920936580001- ANEXO RURAL EEEM MARIA JOSE SANTANA DA SILVA</t>
  </si>
  <si>
    <t>001920936890000- EEEM SANTA CLARA</t>
  </si>
  <si>
    <t>001920906240000- EE BRASIL NOVO SEDE</t>
  </si>
  <si>
    <t>001920906240001- ANEXO RURAL EE BRASIL NOVO</t>
  </si>
  <si>
    <t>001920928830000- EEEM PROFa. FRANCISCA GOMES</t>
  </si>
  <si>
    <t>001920928830001- ANEXO RURAL FRANCISCA GOMES DOS SANTOS</t>
  </si>
  <si>
    <t>001920936930000- EEEM D PEDRO I SEDE</t>
  </si>
  <si>
    <t>001920937620000- EEEEM JOSE ALFREDO HAGE</t>
  </si>
  <si>
    <t>001920928020000- EEEM ROSA ALVAREZ REBELO (SEDE)</t>
  </si>
  <si>
    <t>001920928020001- ANEXO RURAL ROSA ALVAREZ REBELO</t>
  </si>
  <si>
    <t>001920903390000- EE MELVIN JONES SEDE</t>
  </si>
  <si>
    <t>001920903390001- ANEXO RURAL MELVIN JONES</t>
  </si>
  <si>
    <t>001920906120000- EE PADRE EURICO</t>
  </si>
  <si>
    <t>001920906120001- ANEXO RURAL PADRE EURICO</t>
  </si>
  <si>
    <t>19A URE - BELEM</t>
  </si>
  <si>
    <t>001920901130000- EE DR ANTONIO TEIXEIRA GUEIROS</t>
  </si>
  <si>
    <t>001920902420000- EEEFM JOSE MARCELINO DE OLIVEIRA</t>
  </si>
  <si>
    <t>001920902440000- EE MAGUARI</t>
  </si>
  <si>
    <t>001920902660000- EE WALTER BEZERRA FALCAO</t>
  </si>
  <si>
    <t>001920930110000- EEEF RAIMUNDO VERA CRUZ</t>
  </si>
  <si>
    <t>001920930150000- EEEF BENEDITO CELSO PADUA COSTA</t>
  </si>
  <si>
    <t>001920931090000- EEEFM ARMANDO FAJARDO</t>
  </si>
  <si>
    <t>001920932260000- EEEF ESPIRITO SANTO</t>
  </si>
  <si>
    <t>001920932610000- EEEF ANANI</t>
  </si>
  <si>
    <t>001920933150000- EEEF PRINCESA ISABEL</t>
  </si>
  <si>
    <t>001920933340000- EEEF CENTRO COMUN DE VILA ESPERANCA</t>
  </si>
  <si>
    <t>001920934280000- EEEF CLUBE DE MAES JARDIM JADER BARBALHO</t>
  </si>
  <si>
    <t>001920936210000- COLEGIO ESTADUAL PROFESSORA ISABEL AMAZONAS</t>
  </si>
  <si>
    <t>001920936640000- EEEM MARIA HELENA VALENTE TAVARES</t>
  </si>
  <si>
    <t>001920937830000- EEEFM PROF ANTONIO CARLOS GOMES DA COSTA</t>
  </si>
  <si>
    <t>001920932400000- EEEF GONCALVES DIAS</t>
  </si>
  <si>
    <t>001920902300000- EE ANTONIO GONDIM LINS</t>
  </si>
  <si>
    <t>001920902550000- EE DR GASPAR VIANA</t>
  </si>
  <si>
    <t>001920902610000- EE LUIZ NUNES DIREITO</t>
  </si>
  <si>
    <t>001920902630000- EE PROF LUCI CORREA DE ARAUJO</t>
  </si>
  <si>
    <t>001920902670000- EE ONEIDE DE SOUZA TAVARES</t>
  </si>
  <si>
    <t>001920902690000- EE DEP ARMANDO CORREA</t>
  </si>
  <si>
    <t>001920927530000- EE PROF GELMIREZ MELO E SILVA</t>
  </si>
  <si>
    <t>001920927540000- EE PROF JOSE ASSIS RIBEIRO</t>
  </si>
  <si>
    <t>001920927840000- EE DOM ALBERTO GALDENCIO RAMOS</t>
  </si>
  <si>
    <t>001920928030000- EE PROFA REGINA COELI SOUZA SILVA</t>
  </si>
  <si>
    <t>001920928120000- EE ELAINE ISMAELINO DE FREITAS</t>
  </si>
  <si>
    <t>001920930010000- EE E F M PROF FRANCISCO PAULO DO NASCIMENTO MENDES</t>
  </si>
  <si>
    <t>001920931110000- EEEF CELINA DEL TETTO</t>
  </si>
  <si>
    <t>001920933970000- EEEF ANTONIO SAMPAIO</t>
  </si>
  <si>
    <t>001920934970000- EEEF MORADORES CRISTO REI</t>
  </si>
  <si>
    <t>001920936650000- EEEFM PARAENSE</t>
  </si>
  <si>
    <t>001920937280000- EEEFM PROF MANOEL SATURNINO DE ANDRADE FAVACHO</t>
  </si>
  <si>
    <t>001920902380000- EE ARIRI</t>
  </si>
  <si>
    <t>001920902640000- EE PROF JOAQUIM VIANA</t>
  </si>
  <si>
    <t>001920928050000- EE PROFA CONSUELO COELHO E SOUZA</t>
  </si>
  <si>
    <t>001920928630000- EE PROF JOSE VALENTE RIBEIRO</t>
  </si>
  <si>
    <t>001920928890000- EE NAIR RODRIGUES C BRITO ZALUTH</t>
  </si>
  <si>
    <t>001920930530000- EEEF JOAO CARLOS BATISTA</t>
  </si>
  <si>
    <t>001920931120000- EEEFM CRISTO REDENTOR</t>
  </si>
  <si>
    <t>001920931170000- EEEFM MIN ALCIDES CARNEIRO</t>
  </si>
  <si>
    <t>001920931860000- EEEFM CONEGO BATISTA CAMPOS</t>
  </si>
  <si>
    <t>001920934630000- EEEF ELCIONE BARBALHO</t>
  </si>
  <si>
    <t>001920934650000- EEEF PEDRO MARQUES DE MESQUITA</t>
  </si>
  <si>
    <t>001920934850000- EEEF CENTRO EDUCACIONAL AMAZONIA</t>
  </si>
  <si>
    <t>001920902500000- EE DILMA DE SOUZA CATTETE</t>
  </si>
  <si>
    <t>001920902570000- EE DONA HELENA GUILHON</t>
  </si>
  <si>
    <t>001920930000000- EE E F M PROF. NAGIB COELHO MATNI</t>
  </si>
  <si>
    <t>001920932300000- EEEF GENERAL HENRIQUE GURJAO</t>
  </si>
  <si>
    <t>001920934640000- EEEFM ALMIRANTE JOAO FARIA DE LIMA</t>
  </si>
  <si>
    <t>001920934660000- ERC ALEXANDRE NICOMEDES</t>
  </si>
  <si>
    <t>001920937060000- EEEFM JARDIM SIDERAL</t>
  </si>
  <si>
    <t>001920902000000- EE PROF ZULIMA VERGOLINO DIAS</t>
  </si>
  <si>
    <t>001920902600000- EE DR AGOSTINHO MONTEIRO</t>
  </si>
  <si>
    <t>001920902620000- EE PROF MARIA ARAUJO DE FIGUEIREDO</t>
  </si>
  <si>
    <t>001920902710000- EE JORNALISTA ROMULO MAIORANA</t>
  </si>
  <si>
    <t>001920928130000- EE LAURINDO CANDIDO AZEITONA</t>
  </si>
  <si>
    <t>001920928780000- EE ICUI LARANJEIRAS</t>
  </si>
  <si>
    <t>001920928860000- EE NEDAULINO VIANNA DA SILVEIRA</t>
  </si>
  <si>
    <t>001920928900000- EE MARIA DE NAZARE MARQUES RIOS</t>
  </si>
  <si>
    <t>001920928980000- EE RUI BARATA</t>
  </si>
  <si>
    <t>001920928990000- EE GREGORIO DE ALMEIDA BRITO</t>
  </si>
  <si>
    <t>001920929790000- EEEFM MADRE CELESTE</t>
  </si>
  <si>
    <t>001920930470000- EEEFM PITAGORAS</t>
  </si>
  <si>
    <t>001920931810000- EEEF CANDIDO HORACIO EVELIN</t>
  </si>
  <si>
    <t>001920933890000- EEEF CINDERELA</t>
  </si>
  <si>
    <t>001920934820000- EEEF CONEGO BATISTA CAMPOS</t>
  </si>
  <si>
    <t>001920937180000- EEEF PADRE PIETRO GEROSA</t>
  </si>
  <si>
    <t>001920938100000- CEE MATEUS HENRIQUE FURTADO APAE DE ANANINDEUA</t>
  </si>
  <si>
    <t>001920933910000- EEEF XV DE OUTUBRO</t>
  </si>
  <si>
    <t>001920901960000- EE PROF RAMIRO OLAVO RIBEIRO DE CASTRO</t>
  </si>
  <si>
    <t>001920902400000- EEEF BOM JARDIM</t>
  </si>
  <si>
    <t>001920902580000- EE OSCARINA PENALBER</t>
  </si>
  <si>
    <t>001920902700000- EE JULIA SEFFER</t>
  </si>
  <si>
    <t>001920923770000- EE PROF EROTILDES FROTA AGUIAR</t>
  </si>
  <si>
    <t>001920923790000- EE MARIA ENCARNACAO DE ARAUJO</t>
  </si>
  <si>
    <t>001920928770000- EE NOVAS AGUAS LINDAS</t>
  </si>
  <si>
    <t>001920929100000- EE ENEIDA DE MORAES</t>
  </si>
  <si>
    <t>001920931180000- ERC ANTONIO BEZERRA FALCAO</t>
  </si>
  <si>
    <t>001920931190000- EEEFM INSTITUTO BOM PASTOR</t>
  </si>
  <si>
    <t>001920931200000- EEEF JOAO XXIII</t>
  </si>
  <si>
    <t>001920931820000- EEEFM PRINCIPE DA PAZ</t>
  </si>
  <si>
    <t>001920932920000- EEEF RAINHA DA PAZ</t>
  </si>
  <si>
    <t>001920934670000- EEEF EUCLIDES DA CUNHA</t>
  </si>
  <si>
    <t>001920936390000- EEEFM NAIR ZAHLUTH</t>
  </si>
  <si>
    <t>001920937460000- EEEFM NOVO HORIZONTE</t>
  </si>
  <si>
    <t>001920924570000- EEEF PRES TANCREDO DE ALMEIDA NEVES</t>
  </si>
  <si>
    <t>001920901240000- EE MARIO CARNEIRO DE MIRANDA</t>
  </si>
  <si>
    <t>001920901250000- EE EMILIANA SARMENTO FERREIRA</t>
  </si>
  <si>
    <t>001920901260000- EE SANTA LUZIA</t>
  </si>
  <si>
    <t>001920901340000- EE PRESID CASTELO BRANCO</t>
  </si>
  <si>
    <t>001920901560000- EEEF NOSSA SENHORA DE FATIMA I</t>
  </si>
  <si>
    <t>001920901900000- EE PROF ROSALINA A SILVA CRUZ</t>
  </si>
  <si>
    <t>001920901930000- EE ALM GUILLOBEL</t>
  </si>
  <si>
    <t>001920901940000- EE JONATHAS PONTES ATHIAS</t>
  </si>
  <si>
    <t>001920902060000- EE GRAZIELA MOURA RIBEIRO</t>
  </si>
  <si>
    <t>001920902120000- EE DOM PEDRO I</t>
  </si>
  <si>
    <t>001920902290000- EE PROF RENATO CONDURU</t>
  </si>
  <si>
    <t>001920902340000- EE PROF ACY DE JESUS BARROS PEREIRA</t>
  </si>
  <si>
    <t>001920924580000- EE PROF ESTHER BANDEIRA GOMES</t>
  </si>
  <si>
    <t>001920929680000- EE RUI PARANATINGA BARATA</t>
  </si>
  <si>
    <t>001920929840000- EE E.F.PROF.ANTONIO MOREIRA JUNIOR</t>
  </si>
  <si>
    <t>001920930120000- EEEF SANTA LUIZA DE MARILAC</t>
  </si>
  <si>
    <t>001920930950000- EEEF SAO VICENTE DE PAULA</t>
  </si>
  <si>
    <t>001920931040000- EEF SANTO AFONSO</t>
  </si>
  <si>
    <t>001920936560000- EEEF PRATINHA II</t>
  </si>
  <si>
    <t>001920937730000- EEEF NOSSA SENHORA DAS GRACAS</t>
  </si>
  <si>
    <t>001920932270000- EEEF PADRE MARCOS</t>
  </si>
  <si>
    <t>001920901950000- EE EUNICE WEAVER</t>
  </si>
  <si>
    <t>001920923820000- EE PAULO FONTELLES DE LIMA</t>
  </si>
  <si>
    <t>001920933350000- EEEF ESTRADA NOVA</t>
  </si>
  <si>
    <t>001920927740001- ANEXO COLONIA DO FIDELIS</t>
  </si>
  <si>
    <t>001920930830000- EEEF NOSSA SENHORA DE FATIMA II</t>
  </si>
  <si>
    <t>001920930840000- EEEF SAO JOAO BATISTA</t>
  </si>
  <si>
    <t>001920931800000- EEEF RODOLFO TOURINHO</t>
  </si>
  <si>
    <t>001920932190000- EEEF NOSSA SENHORA DA CONCEICAO</t>
  </si>
  <si>
    <t>001920937580000- EEEF PROF GUAJARINA DE SOUZA DA SILVA</t>
  </si>
  <si>
    <t>001920937360000- EEETPA- PROF FRANCISCO DAS CHAGAS AZEVEDO BELEM</t>
  </si>
  <si>
    <t>001920901070000- EE IZABEL DOS SANTOS DIAS</t>
  </si>
  <si>
    <t>001920901080000- EE PROF MARTA DA CONCEICAO</t>
  </si>
  <si>
    <t>001920901090000- EE PORANGA JUCA</t>
  </si>
  <si>
    <t>001920901740000- EE MARIA ANTONIETA SERRA FREIRE</t>
  </si>
  <si>
    <t>001920901750000- EEEFM DO OUTEIRO</t>
  </si>
  <si>
    <t>001920901760000- EE TEODORA BENTES</t>
  </si>
  <si>
    <t>001920902040000- EE CEL SARMENTO</t>
  </si>
  <si>
    <t>001920902170000- EE AVERTANO ROCHA</t>
  </si>
  <si>
    <t>001920927740000- EE COLONIA DO FIDELES</t>
  </si>
  <si>
    <t>001920928760000- EE YOLANDA LEDUC PERALTA</t>
  </si>
  <si>
    <t>001920929520000- EE BRASILIA</t>
  </si>
  <si>
    <t>001920930020000- EEEF GENY GABRIEL AMARAL</t>
  </si>
  <si>
    <t>001920930030000- EEEFM PROF. JORGE LOPES RAPOSO</t>
  </si>
  <si>
    <t>001920930140000- EEEF FRANKLIN DE MENEZES</t>
  </si>
  <si>
    <t>001920930160000- EEEF FELIZ LUZITANIA</t>
  </si>
  <si>
    <t>001920930520000- EEEF CRUZEIRO DO SUL</t>
  </si>
  <si>
    <t>001920901010000- EEEFM RUI BARBOSA</t>
  </si>
  <si>
    <t>001920901010001- EEEF RUI BARBOSA (ANEXO I)</t>
  </si>
  <si>
    <t>001920901120000- EE MARLUCE PACHECO FERREIRA</t>
  </si>
  <si>
    <t>001920901660000- EE JOSE VERISSIMO</t>
  </si>
  <si>
    <t>001920901680000- EE CALDEIRA CASTELO BRANCO</t>
  </si>
  <si>
    <t>001920901690000- EE GAL GURJAO</t>
  </si>
  <si>
    <t>001920901770000- EE PROF CAMILO SALGADO</t>
  </si>
  <si>
    <t>001920901780000- EE PLACIDIA CARDOSO</t>
  </si>
  <si>
    <t>001920902190000- EE INSTITUTO DE EDUCACAO ESTADUAL DO PARA</t>
  </si>
  <si>
    <t>001920902230000- EE PAES DE CARVALHO</t>
  </si>
  <si>
    <t>001920902270000- EE ARTUR PORTO</t>
  </si>
  <si>
    <t>001920927600000- EE PE BENEDITO CHAVES</t>
  </si>
  <si>
    <t>001920927820000- EE SANTA MARIA DE BELEM DO GRAO PARA</t>
  </si>
  <si>
    <t>001920928730000- EE TIRADENTES</t>
  </si>
  <si>
    <t>001920929510000- EE PROF. DAVID SALOMAO MUFARREJ</t>
  </si>
  <si>
    <t>001920930870000- EEEF SAO PIO X</t>
  </si>
  <si>
    <t>001920930960000- ERC PAULA FRANCINETTI</t>
  </si>
  <si>
    <t>001920932470000- EEEF MORADORES VILA NOVA P MOURA CARVALHO</t>
  </si>
  <si>
    <t>001920933430000- EEEF BENEDITO CHAVES MENDES SEARA</t>
  </si>
  <si>
    <t>001920935050000- UT JOSE ALVARES DE AZEVEDO</t>
  </si>
  <si>
    <t>001920937440000- EEET PROF ANISIO TEIXEIRA</t>
  </si>
  <si>
    <t>001920901000000- EE AMAZONAS DE FIGUEIREDO</t>
  </si>
  <si>
    <t>001920901020000- EE ANTONIA PAES DA SILVA</t>
  </si>
  <si>
    <t>001920901030000- EE STELIO MAROJA</t>
  </si>
  <si>
    <t>001920901040000- EE PROF JOAO RENATO FRANCO</t>
  </si>
  <si>
    <t>001920901050000- EE FREI DANIEL</t>
  </si>
  <si>
    <t>001920901110000- EE PROF MARIA LUISA VELLA ALVES</t>
  </si>
  <si>
    <t>001920901710000- EE MARIO CHERMONT</t>
  </si>
  <si>
    <t>001920901790000- EE VEREAD GONCALO DUARTE</t>
  </si>
  <si>
    <t>001920902010000- EE PROF RUTH ROSITA DE NAZARE GONZALES</t>
  </si>
  <si>
    <t>001920902030000- EE PROF NORMA MORHY</t>
  </si>
  <si>
    <t>001920902250000- EE EDGAR PINHEIRO PORTO</t>
  </si>
  <si>
    <t>001920923810000- EE PROF CELINA ANGLADA</t>
  </si>
  <si>
    <t>001920927610000- EE PROF AMILCAR ALVES TUPIASSU</t>
  </si>
  <si>
    <t>001920930800000- EEEF HUMBERTO DE CAMPOS</t>
  </si>
  <si>
    <t>001920931000000- EEEF MONSENHOR AZEVEDO</t>
  </si>
  <si>
    <t>001920932360000- ERC DONA ALZIRA TEIXEIRA DE SOUZA</t>
  </si>
  <si>
    <t>001920933060000- EEEF MONTE SERRAT</t>
  </si>
  <si>
    <t>001920901270000- EE DR ANIBAL DUARTE</t>
  </si>
  <si>
    <t>001920930810000- EEEF NOSSA SENHORA DAS GRACAS</t>
  </si>
  <si>
    <t>001920930910000- EEEF LAR DE MARIA</t>
  </si>
  <si>
    <t>001920931160000- EEEF BENTO XV</t>
  </si>
  <si>
    <t>001920930540000- CENTRO DE EDUCACAO DE JOVENS E ADULTOS PROF LUIZ OCTAVIO PEREIRA - CEEJA EM BELEM-PA</t>
  </si>
  <si>
    <t>001920901210000- EE BARAO DO RIO BRANCO</t>
  </si>
  <si>
    <t>001920901220000- EE PINTO MARQUES</t>
  </si>
  <si>
    <t>001920901230000- EE MAROJA NETO</t>
  </si>
  <si>
    <t>001920901310000- EE PROF JOSE ALVES MAIA</t>
  </si>
  <si>
    <t>001920901320000- EE VERA SIMPLICIO</t>
  </si>
  <si>
    <t>001920901330000- EE PROF WALDEMAR RIBEIRO</t>
  </si>
  <si>
    <t>001920901880000- EE RODRIGUES PINAGE</t>
  </si>
  <si>
    <t>001920901890000- EE BENJAMIN CONSTANT</t>
  </si>
  <si>
    <t>001920902100000- EE AUGUSTO MONTENEGRO</t>
  </si>
  <si>
    <t>001920902110000- EE DR FREITAS</t>
  </si>
  <si>
    <t>001920902180000- EE DEODORO DE MENDONCA</t>
  </si>
  <si>
    <t>001920902330000- EE DR JUSTO CHERMONT</t>
  </si>
  <si>
    <t>001920931230000- ERC INSTITUTO FELIPE SMALDONE</t>
  </si>
  <si>
    <t>001920931270000- ERC ASSOCIACAO DE PAIS E AMIGOS EXCEPCIONAIS</t>
  </si>
  <si>
    <t>001920931970000- ERC CENTRO INTEGRADO DE EDUCACAO ESPECIAL</t>
  </si>
  <si>
    <t>001920932520000- ERC CENTRO EDUCACIONAL RONALDO MIRANDA</t>
  </si>
  <si>
    <t>001920932960000- EEEFM. DR. ULISSES GUIMARAES</t>
  </si>
  <si>
    <t>001920936420000- EEEM MAGALHAES BARATA</t>
  </si>
  <si>
    <t>001920937300000- ERC ASSOCIACAO BENEFICIENTE MILTON PEREIRA DE MELO</t>
  </si>
  <si>
    <t>001920953000000- CENTRO DE REF DE EDUC INFANTIL PROF ORLANDO BITAR</t>
  </si>
  <si>
    <t>001920902070000- EEEFM VILHENA ALVES</t>
  </si>
  <si>
    <t>001920902280000- ESCOLA TECNICA ESTADUAL MAGALHAES BARATA</t>
  </si>
  <si>
    <t>001920901300000- EE MATEUS DO CARMO</t>
  </si>
  <si>
    <t>001920901670000- EE AUGUSTO OLIMPIO</t>
  </si>
  <si>
    <t>001920901800000- EE DOMINGOS ACATAUASSU NUNES</t>
  </si>
  <si>
    <t>001920901920000- EE BRIG FONTENELLE</t>
  </si>
  <si>
    <t>001920902320000- EE ACACIO FELICIO SOBRAL</t>
  </si>
  <si>
    <t>001920928880000- EE MARIO BARBOSA</t>
  </si>
  <si>
    <t>001920930940000- EEEF FONTE VIVA</t>
  </si>
  <si>
    <t>001920931260000- EEEF PROFESSOR VIRGILIO LIBONATI</t>
  </si>
  <si>
    <t>001920934880000- ERC SERVICO ATEND BASICO EM REABILITACAO - SABER</t>
  </si>
  <si>
    <t>001920938700000- EEEF NUREMBERG BORJA DE BRITO FILHO</t>
  </si>
  <si>
    <t>001920901060000- EE JOSE BONIFACIO</t>
  </si>
  <si>
    <t>001920901720000- EE PAULO MARANHAO</t>
  </si>
  <si>
    <t>001920901730000- EE SANTOS DUMONT</t>
  </si>
  <si>
    <t>001920902360000- EE ALEXANDRE ZACARIAS DE ASSUNSAO</t>
  </si>
  <si>
    <t>001920930420000- EEEFM BARAO DE IGARAPE MIRI</t>
  </si>
  <si>
    <t>001920930480000- EEEF 15 DE OUTUBRO</t>
  </si>
  <si>
    <t>001920930820000- EEEF ROSA GATTORNO</t>
  </si>
  <si>
    <t>001920930970000- EEEF MADRE ZARIFE SALES</t>
  </si>
  <si>
    <t>001920933790000- EEEF BIRA BARBOSA</t>
  </si>
  <si>
    <t>001920930440000- EE DE ENSINO TECNICO DE NIVEL MEDIO DR. CELSO MALCHER</t>
  </si>
  <si>
    <t>001920932120000- EEEF MORADORES DA TERRA FIRME</t>
  </si>
  <si>
    <t>001920901610000- EE JADERLANDIA</t>
  </si>
  <si>
    <t>001920902470000- EE PRINCESA IZABEL</t>
  </si>
  <si>
    <t>001920902480000- EE SAO VICENTE</t>
  </si>
  <si>
    <t>001920902650000- EE PROF EUGENIA CAVALLERO DE MACEDO</t>
  </si>
  <si>
    <t>001920933600000- EEEF CLUBE MAES N SENHORA APAR PARQUE S FRANCISCO</t>
  </si>
  <si>
    <t>001920901140000- EE ALM TAMANDARE</t>
  </si>
  <si>
    <t>001920901150000- EE DR CARLOS GUIMARAES</t>
  </si>
  <si>
    <t>001920901160000- EE CORNELIO DE BARROS</t>
  </si>
  <si>
    <t>001920901170000- EE VIRGINIA ALVES DA CUNHA</t>
  </si>
  <si>
    <t>001920901280000- EE PRESIDENTE COSTA E SILVA</t>
  </si>
  <si>
    <t>001920901820000- EE JARBAS PASSARINHO (SOUSA)</t>
  </si>
  <si>
    <t>001920901840000- EE DUQUE DE CAXIAS</t>
  </si>
  <si>
    <t>001920901850000- EE PROF HILDA VIEIRA</t>
  </si>
  <si>
    <t>001920902050000- EE PROF TEMISTOCLES ARAUJO</t>
  </si>
  <si>
    <t>001920902260000- EE INTEGRADA FRANCISCO DA SILVA NUNES</t>
  </si>
  <si>
    <t>001920902370000- EE CABANAGEM</t>
  </si>
  <si>
    <t>001920927900000- EE LEONOR NOGUEIRA</t>
  </si>
  <si>
    <t>001920934610000- EEEF PADRE ORIONE</t>
  </si>
  <si>
    <t>001920934680000- EEEF PROFª MARIDALVA PANTOJA</t>
  </si>
  <si>
    <t>001920902160000- EE AUGUSTO MEIRA</t>
  </si>
  <si>
    <t>001920901290000- EE PROF ANESIA</t>
  </si>
  <si>
    <t>001920901810000- EE DOM PEDRO II</t>
  </si>
  <si>
    <t>001920901830000- EE PAULINO DE BRITO</t>
  </si>
  <si>
    <t>001920901870000- EE DONATILA SANTANA LOPES</t>
  </si>
  <si>
    <t>001920901910000- EE JARBAS PASSARINHO (MARCO)</t>
  </si>
  <si>
    <t>001920901970000- EE MANOEL DE JESUS MORAES</t>
  </si>
  <si>
    <t>001920902080000- EE LAURO SODRE</t>
  </si>
  <si>
    <t>001920902090000- EE MARECHAL CORDEIRO DE FARIAS</t>
  </si>
  <si>
    <t>001920902140000- EE RUTH PASSARINHO</t>
  </si>
  <si>
    <t>001920902220000- EE PEDRO AMAZONAS PEDROSO</t>
  </si>
  <si>
    <t>001920902240000- EE VISCONDE DE SOUZA FRANCO</t>
  </si>
  <si>
    <t>001920929890000- EE E.F.M.PROFA.ALBANIZIA OLIVEIRA LIMA</t>
  </si>
  <si>
    <t>001920930900000- EEEFM NOSSA SENHORA DA CONCEICAO APARECIDA</t>
  </si>
  <si>
    <t>001920930930000- EEEF SANTA TEREZINHA</t>
  </si>
  <si>
    <t>001920931010000- EEEFM SALESIANA DO TRABALHO</t>
  </si>
  <si>
    <t>001920931240000- ERC LOURENCO FILHO</t>
  </si>
  <si>
    <t>001920932600000- EEEF CASA DA CRIANCA SANTA INES</t>
  </si>
  <si>
    <t>001920935060000- UT YOLANDA MARTINS</t>
  </si>
  <si>
    <t>001920935070000- UT PROF ASTERIO DE CAMPOS</t>
  </si>
  <si>
    <t>001920936780000- EEEF SANTO AGOSTINHO</t>
  </si>
  <si>
    <t>001920955000000- CENTRO DE ATENDIMENTO EDUCACIONAL ESPECIALIZADO</t>
  </si>
  <si>
    <t>001920902310000- EE ALDEBARO CAVALERO DE MACEDO KLAUTAU</t>
  </si>
  <si>
    <t>001920928750000- EE WALDOMIRO RODRIGUES DE OLIVEIRA</t>
  </si>
  <si>
    <t>001920930450000- EEEF MARILDA NUNES</t>
  </si>
  <si>
    <t>001920930850000- EEEFM NOSSA SENHORA DO CARMO</t>
  </si>
  <si>
    <t>001920931130000- EEEF SANTA BARBARA</t>
  </si>
  <si>
    <t>001920931210000- EEEF SAO FRANCISCO DE ASSIS</t>
  </si>
  <si>
    <t>001920933170000- EEEF ASSOC DOS MORADORES DO JARDIM RES JADERLAR</t>
  </si>
  <si>
    <t>001920934520000- EEEF SAO JERONIMO</t>
  </si>
  <si>
    <t>001920936670000- EEEF Drª MARIA ESTER MOUTA DE OLIVEIRA</t>
  </si>
  <si>
    <t>001920936980000- EEEF CANARINHO</t>
  </si>
  <si>
    <t>001920937090000- EEEFM PADRE FRANCISCO BERTON</t>
  </si>
  <si>
    <t>001920937510000- EEEF BENEDITO MONTEIRO</t>
  </si>
  <si>
    <t>001920937530000- EEEF LINDANOR CELINA COELHO CASHA</t>
  </si>
  <si>
    <t>001920901650000- EE PROF MARIA LUIZA DA COSTA REGO</t>
  </si>
  <si>
    <t>001920902130000- EE SUB OF EDVALDO BRANDAO DE JESUS</t>
  </si>
  <si>
    <t>001920928680000- EE AMERICO SOUZA DE OLIVEIRA</t>
  </si>
  <si>
    <t>001920928870000- EE PROFA.CLAUDINE GABRIELE LIMA SILVA</t>
  </si>
  <si>
    <t>001920929500000- EE 1 E 2 G MAESTRO WALDEMAR HENRIQUE DA C PEREIRA</t>
  </si>
  <si>
    <t>001920930130000- EEEF NOSSA SENHORA DE GUADALUPE</t>
  </si>
  <si>
    <t>001920931100000- EEEF ASSOCIACAO CRISTA DO BENGUI</t>
  </si>
  <si>
    <t>001920931150000- EEEFM CIDADE DE EMAUS</t>
  </si>
  <si>
    <t>001920937050000- EEEM DR JOSE MARCIO AYRES</t>
  </si>
  <si>
    <t>001920902390000- EE RUTH DOS SANTOS ALMEIDA</t>
  </si>
  <si>
    <t>001920902460000- EE PEDRO CARNEIRO</t>
  </si>
  <si>
    <t>001920902590000- EE PROF SANTANA MARQUES</t>
  </si>
  <si>
    <t>001920930460000- EEEF RAINHA DOS CORACOES</t>
  </si>
  <si>
    <t>001920930490000- EEEF PANORAMA XXI</t>
  </si>
  <si>
    <t>001920931720000- EEEF CARLOS DRUMMOND DE ANDRADE</t>
  </si>
  <si>
    <t>001920932160000- EEEF PADRE JOSE GISMONT</t>
  </si>
  <si>
    <t>001920932450000- EEEF CLUBE DE MAES SANTA RITA DE CASSIA</t>
  </si>
  <si>
    <t>001920934620000- EEEF MARIA ESTELITA BARBOSA DA SILVA</t>
  </si>
  <si>
    <t>001920937290000- EEEM RAYMUNDO MARTINS VIANNA</t>
  </si>
  <si>
    <t>001920937500000- EEEF PROF LENIRA TEIXEIRA MOURA</t>
  </si>
  <si>
    <t>001920937850000- EEEFM MANOEL LEITE CARNEIRO</t>
  </si>
  <si>
    <t>001920901100000- EE XV DE NOVEMBRO</t>
  </si>
  <si>
    <t>001920902020000- EE PROF MARIA GABRIELA RAMOS DE OLIVEIRA</t>
  </si>
  <si>
    <t>001920927040000- EE ODETE MARVAO</t>
  </si>
  <si>
    <t>001920927850000- EE VEREADOR MANOEL MATOS DA COSTA</t>
  </si>
  <si>
    <t>001920928670000- EE FE EM DEUS</t>
  </si>
  <si>
    <t>001920928930000- EE SAO PEDRO</t>
  </si>
  <si>
    <t>001920929810000- EEEF PARACURY II</t>
  </si>
  <si>
    <t>001920930080000- EEEF TENONE</t>
  </si>
  <si>
    <t>001920930220000- EE PROF. PALMIRA GABRIEL</t>
  </si>
  <si>
    <t>001920936200000- UNIDADE TECNICA DE EDUCACAO ESPECIAL</t>
  </si>
  <si>
    <t>001920902450000- EE PRESID DUTRA</t>
  </si>
  <si>
    <t>001920921770000- EE JOAO B DE M DE CARVALHO</t>
  </si>
  <si>
    <t>001920921780000- EE DR OTAVIO MEIRA SEDE VINC</t>
  </si>
  <si>
    <t>001920921800000- EE LEAO IRINEU HAUSSLER DELGADO</t>
  </si>
  <si>
    <t>001920921800001- EE ANEXO I LEAO IRINEU HAUSSLER DELGADO</t>
  </si>
  <si>
    <t>001920921810000- EE PROF ANA TELES</t>
  </si>
  <si>
    <t>001920921820000- EE MURININ</t>
  </si>
  <si>
    <t>001920921830000- EE CAMUTAMA</t>
  </si>
  <si>
    <t>001920921840000- EE TERCEIRA TRAVESSA</t>
  </si>
  <si>
    <t>001920924870000- EE PROF DEUSARINA NASCIMENTO DE SOUSA</t>
  </si>
  <si>
    <t>001920931390000- ERC FRANCOIS PAUL BENGOT</t>
  </si>
  <si>
    <t>001920934380000- EEEF PADRE JOSIMO TAVARES</t>
  </si>
  <si>
    <t>001920937100000- EEEM PROF RUTH GUIMARAES FERREIRA</t>
  </si>
  <si>
    <t>001920931840000- EEEF SANTA MARIA BERTILLA</t>
  </si>
  <si>
    <t>001920928810000- EEEFM JUSCELINO KUBITSCHEK DE OLIVEIRA</t>
  </si>
  <si>
    <t>001920902430000- EE PROF JOSE EDMUNDO QUEIROZ</t>
  </si>
  <si>
    <t>001920902680000- EE FERNANDO FERRARI</t>
  </si>
  <si>
    <t>001920931370000- EEEM SANTA TEREZA D'AVILA</t>
  </si>
  <si>
    <t>001920932970000- EEEF DOM CALABRIA</t>
  </si>
  <si>
    <t>001920933850000- EEEF NOSSA SENHORA DO ROSARIO</t>
  </si>
  <si>
    <t>001920936220000- EEEM EDUARDO LAUANDE</t>
  </si>
  <si>
    <t>001920937650000- EEEFM CENTRO DE EDUCACAO PROFISSIONAL DOM ARISTIDES PIROVANO</t>
  </si>
  <si>
    <t>01A URE - BRAGANCA</t>
  </si>
  <si>
    <t>001920914420000- EE PROF GALVAO (SEDE)</t>
  </si>
  <si>
    <t>001920914540000- EE EMILIANO PICANCO</t>
  </si>
  <si>
    <t>001920914550000- EE ANDRE ALVES</t>
  </si>
  <si>
    <t>001920928040000- EE BENEDITO CARDOSO DE ATAYDE</t>
  </si>
  <si>
    <t>001920928040001- ANEXO RURAL EE BENEDITO CARDOSO DE ATAYDE</t>
  </si>
  <si>
    <t>001920913380000- EEEFM DR FRANCISCO DE PAULA PINHEIRO</t>
  </si>
  <si>
    <t>001920913390000- EE AUGUSTO CORREA</t>
  </si>
  <si>
    <t>001920913400000- EE MONSENHOR MANCIO</t>
  </si>
  <si>
    <t>001920913410000- EE LEANDRO LOBAO DA SILVEIRA</t>
  </si>
  <si>
    <t>001920913420000- EE MANOEL JULIAO GARCIA CASTANHO</t>
  </si>
  <si>
    <t>001920913430000- EE PROF ARGENTINA PEREIRA</t>
  </si>
  <si>
    <t>001920913450000- EE LUIZ PAULINO MARTIRES</t>
  </si>
  <si>
    <t>001920913460000- EE CEL ALUIZIO FERREIRA</t>
  </si>
  <si>
    <t>001920913470000- EE PROF BOLIVAR BORDALO DA SILVA</t>
  </si>
  <si>
    <t>001920913500000- EE PADRE LUIZ GONZAGA</t>
  </si>
  <si>
    <t>001920913510000- EEEFM PROF YOLANDA CHAVES</t>
  </si>
  <si>
    <t>001920913530000- EE DE PATALINO</t>
  </si>
  <si>
    <t>001920913560000- EE REUNIDA GERMANO GARCIA</t>
  </si>
  <si>
    <t>001920913570000- EE REUNIDA ALBINO CARDOSO</t>
  </si>
  <si>
    <t>001920913610000- EEEFM PROF. MARIA DE NAZARE CEZAR PINHEIRO</t>
  </si>
  <si>
    <t>001920913620000- EEEFM DOMINGAS DA COSTA SOUSA</t>
  </si>
  <si>
    <t>001920913620001- ANEXO RURAL EEEFM DOMINGAS DA COSTA SOUSA</t>
  </si>
  <si>
    <t>001920914340000- EE DO ROCHA</t>
  </si>
  <si>
    <t>001920926770000- EE MARIO QUEIROZ DO ROSARIO</t>
  </si>
  <si>
    <t>001920929090000- EE RIO CAETE</t>
  </si>
  <si>
    <t>001920931400000- EEEF SISTEMA EDUCATIVO RADIOFONICO DE BRAGANCA</t>
  </si>
  <si>
    <t>001920931420000- EEEF CASA DA AMIZADE</t>
  </si>
  <si>
    <t>001920931430000- EEEF SANTA TEREZINHA</t>
  </si>
  <si>
    <t>001920932310000- EEEF JOAO PAULO II</t>
  </si>
  <si>
    <t>001920932420000- ERC ASS DE PAIS E AMIGOS DOS EXCEPCIONAIS</t>
  </si>
  <si>
    <t>001920933120000- EEEF CENTRO EDUCACIONAL CORACAO DE JESUS</t>
  </si>
  <si>
    <t>001920931410000- EEEF EXTERNATO SANTO ANTONIO</t>
  </si>
  <si>
    <t>001920914920000- EE REUNIDA CEL NEWTON BARREIRA</t>
  </si>
  <si>
    <t>001920914920001- ANEXO RURAL EE REUNIDA CEL NEWTON BARREIRA</t>
  </si>
  <si>
    <t>001920930740000- EE ADRIANO GONCALVES (SEDE)</t>
  </si>
  <si>
    <t>001920913480000- EE CEL PINHEIRO JUNIOR</t>
  </si>
  <si>
    <t>001920913540000- EE MARILDA S NUNES</t>
  </si>
  <si>
    <t>001920927760000- EE PADRE LUCIANO CALDERARA</t>
  </si>
  <si>
    <t>001920927760001- ANEXO I EEEM PADRE LUCIANO CALDERARA</t>
  </si>
  <si>
    <t>001920927760002- ANEXO II EEEM PADRE LUCIANO CALDERARA</t>
  </si>
  <si>
    <t>001920927760003- ANEXO III EEEM PADRE LUCIANO CALDERARA</t>
  </si>
  <si>
    <t>001920927760005- ANEXO RURAL EEEM PADRE LUCIANO CALDERARA</t>
  </si>
  <si>
    <t>001920927760004- ANEXO IV EEEM PADRE LUCIANO CALDERARA</t>
  </si>
  <si>
    <t>001920921960000- EEEFM RUI BARBOSA SEDE</t>
  </si>
  <si>
    <t>001920921960001- ANEXO RURAL EEEFM RUI BARBOSA</t>
  </si>
  <si>
    <t>001920937210000- EEEM JULIAO BERTOLDO DE CASTRO SEDE</t>
  </si>
  <si>
    <t>001920937210001- ANEXO RURAL EEEM JULIAO BERTOLDO DE CASTRO</t>
  </si>
  <si>
    <t>001920927830000- EE PROFA MARIA ELIZETE FONA NUNES</t>
  </si>
  <si>
    <t>001920927830002- ANEXO I DA EEEM PROFª MARIA ELIZETE FONA NUNES</t>
  </si>
  <si>
    <t>001920929720000- EE PROFA. MARIA CAMARA PAES</t>
  </si>
  <si>
    <t>001920929720002- ANEXO RURAL EE PROFA. MARIA CAMARA PAES</t>
  </si>
  <si>
    <t>001920929730000- EEEM SANTO AGOSTINHO</t>
  </si>
  <si>
    <t>001920936960000- EEEM PROF GERSON PERES</t>
  </si>
  <si>
    <t>001920936960100- ANEXO I DA EEEM PROF. GERSON PERES</t>
  </si>
  <si>
    <t>001920946000000- EETEPA BREVES</t>
  </si>
  <si>
    <t>001920905810000- EE MARCILIO DIAS SEDE VINC</t>
  </si>
  <si>
    <t>001920905810001- ANEXO RURAL MARCILIO DIAS</t>
  </si>
  <si>
    <t>001920911570000- EE PRESID TANCREDO DE ALMEIDA NEVES SEDE VINC</t>
  </si>
  <si>
    <t>001920911570001- ANEXO RURAL PRES TANCREDO DE ALMEIDA NEVES</t>
  </si>
  <si>
    <t>001920911560000- EE PAULINO DE BRITO SEDE VINC</t>
  </si>
  <si>
    <t>001920911560001- ANEXO RURAL EE PAULINO DE BRITO</t>
  </si>
  <si>
    <t>001920936080000- CE DEPUTADO NICIAS RIBEIRO</t>
  </si>
  <si>
    <t>20A URE - REGIAO DAS ILHAS</t>
  </si>
  <si>
    <t>001920922990000- EE DELGADO LEAO SEDE</t>
  </si>
  <si>
    <t>001920923000000- EE JOSE RODRIGUES VIANA</t>
  </si>
  <si>
    <t>001920923020000- EEEFM UMARIZAL</t>
  </si>
  <si>
    <t>001920923020001- ANEXO DA EEEFM UMARIZAL</t>
  </si>
  <si>
    <t>001920923030000- EE CAMARA</t>
  </si>
  <si>
    <t>001920923040000- EE CHIPAIA</t>
  </si>
  <si>
    <t>001920923070000- EE RETIRO GRANDE</t>
  </si>
  <si>
    <t>001920923070001- ANEXO RURAL EE RETIRO GRANDE</t>
  </si>
  <si>
    <t>001920937840000- EEEF MAGNO DA SILVA BAHIA</t>
  </si>
  <si>
    <t>001920923150000- EE PROF ADEMAR NUNES VASCONCELOS SEDE</t>
  </si>
  <si>
    <t>001920936770000- EEEM SALOMAO MATOS</t>
  </si>
  <si>
    <t>001920937390000- EETEPA SALVATERRA</t>
  </si>
  <si>
    <t>001920923110000- EE JOAO APOLINARIO BATISTA SEDE</t>
  </si>
  <si>
    <t>001920923120000- EE JOAO FARIAS BARROS</t>
  </si>
  <si>
    <t>001920923350000- EE GASPARINO BATISTA DA SILVA</t>
  </si>
  <si>
    <t>001920923360000- EE JOANA LIMA CABRAL</t>
  </si>
  <si>
    <t>001920923430000- EE PROF EDDA DE SOUSA GONCALVES</t>
  </si>
  <si>
    <t>001920931560000- EEEFM STELLA MARIS</t>
  </si>
  <si>
    <t>02A URE - CAMETA</t>
  </si>
  <si>
    <t>001920932950000- ERC FRANCISCA NOGUEIRA DA COSTA RAMOS</t>
  </si>
  <si>
    <t>001920932950002- ANEXO III DA EEEM FRANCISCA NOG DA COSTA RAMOS</t>
  </si>
  <si>
    <t>001920932950003- ANEXO RURAL FRANCISCA NOGUEIRA DA COSTA RAMOS</t>
  </si>
  <si>
    <t>001920907640000- EE JULIA PASSARINHO</t>
  </si>
  <si>
    <t>001920907770000- EE CENTRO INTEGRADO DE FORMACAO PROFIS DE CAMETA</t>
  </si>
  <si>
    <t>001920907840000- EE MAGALHAES BARATA</t>
  </si>
  <si>
    <t>001920927460000- EE OSVALDINA MUNIZ</t>
  </si>
  <si>
    <t>001920937230000- EEEM ABRAAO SIMAO JATENE</t>
  </si>
  <si>
    <t>001920937470000- EEEM PADRE JOAO BOONEKAMP</t>
  </si>
  <si>
    <t>001920938400000- EEEM HERIBERTO BARROSO ARAGUAO</t>
  </si>
  <si>
    <t>001920938400001- ANEXO RURAL EEEM HERIBERTO BARROSO ARAGAO</t>
  </si>
  <si>
    <t>001920936550000- CENTRO INTEGRADO DE EDUC DO BAIXO TOCANTINS</t>
  </si>
  <si>
    <t>001920909200000- EE JERONIMO MILHOMEM TAVARES</t>
  </si>
  <si>
    <t>001920909200001- ANEXO RURAL JERONIMO MILHOMEM TAVARES</t>
  </si>
  <si>
    <t>001920929130000- EE PROF JOAO LUDOVICO</t>
  </si>
  <si>
    <t>001920927300000- EE PROF ISAURA BAHIA</t>
  </si>
  <si>
    <t>001920927300001- ANEXO RURAL PROF ISAURA BAHIA</t>
  </si>
  <si>
    <t>001920948000000- EEEM BENEDITA MARILDA DA SILVA BRAGA</t>
  </si>
  <si>
    <t>14A URE - CAPANEMA</t>
  </si>
  <si>
    <t>001920915950000- EEEFM CHARLES ASSAD SEDE</t>
  </si>
  <si>
    <t>001920915960000- EE SANTO ANTONIO DO CUMARU</t>
  </si>
  <si>
    <t>001920937560000- EEEFM MARIA DE NAZARE ASSAD ELIAS</t>
  </si>
  <si>
    <t>001920917840000- EE MARIA AMELIA DE VASCONCELOS SEDE</t>
  </si>
  <si>
    <t>001920917850000- EE PROF APOLONIA P DOS SANTOS</t>
  </si>
  <si>
    <t>001920917860000- EE DOM JOAO VI</t>
  </si>
  <si>
    <t>001920917870000- EE PROF AMERICA LEAO CONDURU</t>
  </si>
  <si>
    <t>001920917880000- EE JOAO SANTOS</t>
  </si>
  <si>
    <t>001920917890000- EEEFM PADRE SALES</t>
  </si>
  <si>
    <t>001920917900000- EE PROF CESAR PINHEIRO</t>
  </si>
  <si>
    <t>001920917910000- EEI SILVESTRE CARNEIRO</t>
  </si>
  <si>
    <t>001920917980000- EE PROF OLIVEIRA BRITO</t>
  </si>
  <si>
    <t>001920918020000- EEI KM 02</t>
  </si>
  <si>
    <t>001920924900000- EE MARIA MIRTES SIDRIM PESSOA</t>
  </si>
  <si>
    <t>001920929470000- EEEFM MESTRE LUCINDO</t>
  </si>
  <si>
    <t>001920931620000- EEEF SAO PIO X</t>
  </si>
  <si>
    <t>001920932090000- ERC APAE DE CAPANEMA</t>
  </si>
  <si>
    <t>001920919180000- EE AUGUSTO OLIMPIO SEDE</t>
  </si>
  <si>
    <t>001920919180001- EEEM DESEMBARGADOR AUGUSTO OLIMPIO (ANEXO I)</t>
  </si>
  <si>
    <t>001920915660000- EE PADRE ANTONIO VIEIRA SEDE</t>
  </si>
  <si>
    <t>001920915670000- EE PADRE ANGELO MORETTI</t>
  </si>
  <si>
    <t>001920936250000- EEEF IRMA SANCHA AUGUSTA DE SOUZA E SILVA</t>
  </si>
  <si>
    <t>001920937570000- EEEM PROFESSORA MARIA SOCORRO OLIVEIRA DA ROCHA</t>
  </si>
  <si>
    <t>001920919350000- EE JONATHAS PONTES ATHIAS SEDE</t>
  </si>
  <si>
    <t>001920919350001- EEEF JONATHAS PONTES ATHIAS (ANEXO I)</t>
  </si>
  <si>
    <t>001920918230000- EE INOCENCIO SOARES SEDE</t>
  </si>
  <si>
    <t>001920918270000- EEEFM MANOEL LOBATO</t>
  </si>
  <si>
    <t>001920918240000- EE JOAO PAULO I</t>
  </si>
  <si>
    <t>001920918250000- EE MARIA ALICE GEOLAS M CARVALHO SEDE</t>
  </si>
  <si>
    <t>001920929120000- EE ANTONIO MORAES DO NASCIMENTO</t>
  </si>
  <si>
    <t>001920918460000- EEEFM PROF. ARACY ALVES DIAS</t>
  </si>
  <si>
    <t>001920918470000- EE TIRADENTES</t>
  </si>
  <si>
    <t>001920918480000- EEEFM DOM BOSCO</t>
  </si>
  <si>
    <t>001920918490000- EE PROF TEODATO DE REZENDE</t>
  </si>
  <si>
    <t>001920918500000- EE PADRE DUBOIS</t>
  </si>
  <si>
    <t>001920918510000- EE DR MIGUEL DE SANTA BRIGIDA</t>
  </si>
  <si>
    <t>001920918560000- EE ADRIANO SANTA BRIGIDA</t>
  </si>
  <si>
    <t>001920931790000- EEEF LAURA DO CARMO VICUNA</t>
  </si>
  <si>
    <t>001920934570000- EEEF EURIDES DE BRITO</t>
  </si>
  <si>
    <t>001920915680000- EE PROF FLORENTINA DAMASCENO SEDE</t>
  </si>
  <si>
    <t>001920937130000- EEEM ROSA CARRERA LOUREIRO AQUINO</t>
  </si>
  <si>
    <t>001920918280000- EEEM FRANCISCO DA SILVA NUNES SEDE</t>
  </si>
  <si>
    <t>17A URE - CAPITAO POCO</t>
  </si>
  <si>
    <t>001920901470000- EE PROF TEREZINHA BEZERRA SIQUEIRA</t>
  </si>
  <si>
    <t>001920916130000- EE PADRE VITALIANO MARIA VARI SEDE</t>
  </si>
  <si>
    <t>001920916130003- EE ANEXO PIRA</t>
  </si>
  <si>
    <t>001920916130006- EE ANEXO YTUWASU</t>
  </si>
  <si>
    <t>001920916130007- EEEF JACARE (ANEXO)</t>
  </si>
  <si>
    <t>001920916190000- EEEFM DIONISIO HAGE</t>
  </si>
  <si>
    <t>001920916190001- ANEXO RURAL EEEFM DIONISIO HAGE</t>
  </si>
  <si>
    <t>001920916200000- EE BELINA CAMPOS COUTINHO</t>
  </si>
  <si>
    <t>001920916240000- EE OSVALDO CRUZ</t>
  </si>
  <si>
    <t>001920916370000- EE JOAQUIM ALMEIDA</t>
  </si>
  <si>
    <t>001920928940000- EEEFM ANTONIO VALDENIR ARAUJO DE LIMA</t>
  </si>
  <si>
    <t>001920936370000- ESCOLA INDIGENA ENS. FUND. FRANCISCO MAGNO TEMBE</t>
  </si>
  <si>
    <t>001920936370001- ANEXO JOAO MOTA DOS SANTOS</t>
  </si>
  <si>
    <t>001920937860000- EE INDIGENA FELIX TEMBE</t>
  </si>
  <si>
    <t>001920952000000- EIEEFM PINO A</t>
  </si>
  <si>
    <t>001920915690000- EE MARIO BRASIL SEDE</t>
  </si>
  <si>
    <t>001920915690001- EE MARIO BRASIL SEDE - ANEXO 1</t>
  </si>
  <si>
    <t>001920915690002- ANEXO RURAL MARIO BRASIL</t>
  </si>
  <si>
    <t>001920915880000- EE PACIFICO LEAO DA COSTA</t>
  </si>
  <si>
    <t>001920936940000- EEEM LINA SEFFER SEDE</t>
  </si>
  <si>
    <t>001920936940001- ANEXO RURAL LINA SEFFER</t>
  </si>
  <si>
    <t>001920937860002- ANEXO RUFINO ROMAO TEMBE</t>
  </si>
  <si>
    <t>001920950000000- EIEEFM ITA PUTYR</t>
  </si>
  <si>
    <t>001920951000000- EIEEFM FRANCISCO ROMAO TEMBE</t>
  </si>
  <si>
    <t>08A URE - CASTANHAL</t>
  </si>
  <si>
    <t>001920919780000- EE NILZA NASCIMENTO</t>
  </si>
  <si>
    <t>001920919790000- EE PROF CLOTILDE PEREIRA</t>
  </si>
  <si>
    <t>001920919800000- EE BENICIO LOPES</t>
  </si>
  <si>
    <t>001920919810000- EE CONEGO LEITAO</t>
  </si>
  <si>
    <t>001920919820000- EE PADRE SALVADOR TRACAIOLLI</t>
  </si>
  <si>
    <t>001920919830000- EEEFM 28 DE JANEIRO</t>
  </si>
  <si>
    <t>001920919840000- EE ROTARY CLUB DE CASTANHAL</t>
  </si>
  <si>
    <t>001920919850000- EE LAMEIRA BITTENCOURT</t>
  </si>
  <si>
    <t>001920919910000- EE PROF MARIA PIA SANTOS AMARAL</t>
  </si>
  <si>
    <t>001920924860000- EE DR LAURENO ALVES DE MELO</t>
  </si>
  <si>
    <t>001920928650000- EE ELCIONE THEREZINHA ZAHLUTH BARBALHO</t>
  </si>
  <si>
    <t>001920929060000- EE PROFISSIONAL PROF DEUSARINA DA SILVA RODRIGUES</t>
  </si>
  <si>
    <t>001920929490000- EEFM PROF PAULO CESAR COUTINHO RODRIGUES</t>
  </si>
  <si>
    <t>001920929980000- EEFM MARIA DAS MERCES DE OLIVEIRA CONOR</t>
  </si>
  <si>
    <t>001920931280000- EEEF CIDADE DE DOM BOSCO</t>
  </si>
  <si>
    <t>001920936060000- CE Dr INACIO KOURY GABRIEL NETO</t>
  </si>
  <si>
    <t>001920937040000- EEEFM JOSE SALLES</t>
  </si>
  <si>
    <t>001920937680000- ESCOLA ESTADUAL DE ENS FUND E MEDIO JOSE HENRIQUE</t>
  </si>
  <si>
    <t>001920937980000- EEETMA SAO LUCAS</t>
  </si>
  <si>
    <t>001920920080000- EE GONCALO FERREIRA SEDE VINC</t>
  </si>
  <si>
    <t>001920920100000- EE PROF OLINDA VERAS ALVES</t>
  </si>
  <si>
    <t>001920920110000- EE JUPITER MAIA</t>
  </si>
  <si>
    <t>001920920280000- EE ABEL OVIDIO DE CAMPOS</t>
  </si>
  <si>
    <t>001920920440000- EE MARIA HYLUISA PINTO FERREIRA</t>
  </si>
  <si>
    <t>001920920510000- EEEM PROF RAIMUNDA SENA DA SILVA</t>
  </si>
  <si>
    <t>001920920510001- ANEXO RURAL EEEM PROF RAIMUNDA SENA DA SILVA</t>
  </si>
  <si>
    <t>001920937960000- EEEM PROFA MARIA DE NAZARE GUIMARAES MACEDO</t>
  </si>
  <si>
    <t>001920919630000- EE PROF ANTONIO MARCAL</t>
  </si>
  <si>
    <t>001920919630001- EE ANEXO VILA DE PERNAMBUCO</t>
  </si>
  <si>
    <t>001920919630004- ANEXO RURAL VILA DE PERNAMBUCO</t>
  </si>
  <si>
    <t>001920936900000- EEEM AGOSTINHO MORAES DE OLIVEIRA (SEDE)</t>
  </si>
  <si>
    <t>001920920550000- EE REMIGIO FERNANDES SEDE VINC</t>
  </si>
  <si>
    <t>001920920550001- EE ANEXO I REMIGIO FERNANDEZ</t>
  </si>
  <si>
    <t>001920936910000- EEEM NELSON REBELO</t>
  </si>
  <si>
    <t>001920936910001- ANEXO RURAL NELSON REBELO</t>
  </si>
  <si>
    <t>001920919500000- EE MAGALHAES BARATA SEDE VINC</t>
  </si>
  <si>
    <t>001920919510000- EE PROF MARCOS NUNES</t>
  </si>
  <si>
    <t>001920919530000- EE DR ARMANDO CORREA</t>
  </si>
  <si>
    <t>001920919540000- EE PROF FRANCISCO NUNES</t>
  </si>
  <si>
    <t>001920919560000- EE JOAO GABRIEL DA SILVA</t>
  </si>
  <si>
    <t>001920919580000- EE SEVERIANO BENEDITO DE SOUZA</t>
  </si>
  <si>
    <t>001920927960000- EE JOAO BOTELHO DE SOUZA</t>
  </si>
  <si>
    <t>001920902560000- EE PROF VICENTINA SODRE DE ARAUJO</t>
  </si>
  <si>
    <t>001920915440000- EE MAROJA NETO SEDE</t>
  </si>
  <si>
    <t>001920915470000- EE PROF JONATHAS ATIAS</t>
  </si>
  <si>
    <t>001920915470001- ANEXO RURAL EE PROF JONATHAS ATIAS</t>
  </si>
  <si>
    <t>001920936830000- EEEM PROFª MARIA DA CONCEICAO GOMES DE SOUZA</t>
  </si>
  <si>
    <t>001920920930000- EE PROF ANTONIA ROSA SEDE</t>
  </si>
  <si>
    <t>001920917010000- EEEM FREI MIGUEL DE BULHOES- SEDE</t>
  </si>
  <si>
    <t>001920917010004- ANEXO RURAL FREI MIGUEL DE BULHOES</t>
  </si>
  <si>
    <t>001920937310000- EEEM IRMA CARLA GIUSSANI</t>
  </si>
  <si>
    <t>001920920360000- EE AUGUSTO RAMOS PINHEIROS</t>
  </si>
  <si>
    <t>001920920380000- EE INACIO PASSARINHO SEDE</t>
  </si>
  <si>
    <t>15A URE - CONCEICAO DO ARAGUAIA</t>
  </si>
  <si>
    <t>001920901600000- EE PROF JOSE WILSON PEREIRA LEITE</t>
  </si>
  <si>
    <t>001920912740000- EE BRAULIA GURJAO</t>
  </si>
  <si>
    <t>001920912750000- EE ACY DE JESUS NEVES DE BARROS PEREIRA</t>
  </si>
  <si>
    <t>001920912750001- ANEXO RURAL ACY DE JESUS NEVES DE BARROS PEREIRA</t>
  </si>
  <si>
    <t>001920912770000- EE SATELITE FREI GIL DE VILA NOVA</t>
  </si>
  <si>
    <t>001920929050000- EE PROF DEOCLECIANO ALVES MOREIRA</t>
  </si>
  <si>
    <t>001920937710000- EEEM JOAO PINTO PEREIRA</t>
  </si>
  <si>
    <t>001920937710001- ANEXO GOROTIRE DA EEEM JOAO PINTO PEREIRA</t>
  </si>
  <si>
    <t>001920937710002- ANEXO VILA ESTRELA DO PARA</t>
  </si>
  <si>
    <t>001920937710003- ESCOLA ESTADUAL RURAL DE CUMARU DO NORTE</t>
  </si>
  <si>
    <t>001920928790000- EE MONSENHOR AUGUSTO DIAS DE BRITO</t>
  </si>
  <si>
    <t>001920928790005- EEEM MONSENHOR AUGUSTO DIAS BRITO (ANEXO V)</t>
  </si>
  <si>
    <t>001920928790006- ANEXO RURAL MONSENHOR AUGUSTO DIAS BRITO</t>
  </si>
  <si>
    <t>001920936610000- EE PAULO HANNEMMANN (SEDE)</t>
  </si>
  <si>
    <t>001920912780000- EE ENG PALMA MUNIZ SEDE</t>
  </si>
  <si>
    <t>001920912780006- EE ANEXO RONAN FIDELIS DE MELO</t>
  </si>
  <si>
    <t>001920912780009- ANEXO RURAL EE ENG PALMA MUNIZ</t>
  </si>
  <si>
    <t>001920928720000- EE PROFA DEUZUITA PEREIRA DE QUEIROZ</t>
  </si>
  <si>
    <t>001920937070000- EEEM MARIA BENTA OLIVEIRA DE SOUSA</t>
  </si>
  <si>
    <t>001920912900000- EE CASTRO ALVES SEDE</t>
  </si>
  <si>
    <t>001920912900006- ANEXO RURAL EE CASTRO ALVES</t>
  </si>
  <si>
    <t>001920912920000- EE JORCELI SILVA SESTARI SEDE</t>
  </si>
  <si>
    <t>001920912920002- EE JORCELI SILVA SESTARI (ANEXO II)</t>
  </si>
  <si>
    <t>001920912920004- EEEM JORCELI SESTARI SILVA (ANEXO IV)</t>
  </si>
  <si>
    <t>001920912920005- ANEXO RURAL EE JORCELI SILVA SESTARI</t>
  </si>
  <si>
    <t>001920938500000- EETEPA SANTANA DO ARAGUAIA</t>
  </si>
  <si>
    <t>001920922050000- EE PRADO LOPES SEDE VINC</t>
  </si>
  <si>
    <t>001920922050002- ANEXO RURAL EE PRADO LOPES</t>
  </si>
  <si>
    <t>001920937550000- EEEFM MANOEL DA VERA CRUZ SA</t>
  </si>
  <si>
    <t>001920936070000- EEEM DR SERGIO MOTA</t>
  </si>
  <si>
    <t>001920936070001- ANEXO RURAL DR SERGIO MOTA</t>
  </si>
  <si>
    <t>001920929880000- EEEM RAIMUNDO RIBEIRO DA COSTA</t>
  </si>
  <si>
    <t>001920929880002- ANEXO RURAL RAIMUNDO RIBEIRO DA COSTA</t>
  </si>
  <si>
    <t>001920922850000- EE DRA ESTER MOUTA SEDE</t>
  </si>
  <si>
    <t>001920922850002- ANEXO RURAL EE DRA ESTER MOUTA SEDE</t>
  </si>
  <si>
    <t>001920922860000- EE AURELIANA MONTEIRO</t>
  </si>
  <si>
    <t>001920922930000- EEEFM JOELSON DOS SANTOS RODRIGUES</t>
  </si>
  <si>
    <t>001920937020000- EEEM DALCIDIO JURANDIR</t>
  </si>
  <si>
    <t>001920922190000- EEEFM JOAO XXIII (SEDE)</t>
  </si>
  <si>
    <t>001920922190001- ANEXO RURAL JOAO XXIII</t>
  </si>
  <si>
    <t>12A URE - ITAITUBA</t>
  </si>
  <si>
    <t>001920903780000- EE EDUARDO ANGELIM SEDE VINC</t>
  </si>
  <si>
    <t>001920903780001- ANEXO RURAL EE EDUARDO ANGELIM</t>
  </si>
  <si>
    <t>001920904150000- EE BENEDITO CORREA DE SOUZA</t>
  </si>
  <si>
    <t>001920904150002- ANEXO I DA EEEM BENEDITO CORREA DE SOUZA</t>
  </si>
  <si>
    <t>001920904150003- ANEXO RURAL BENEDITO CORREA DE SOUZA</t>
  </si>
  <si>
    <t>001920928820000- EE PROF MARIA DO SOCORRO JACOB</t>
  </si>
  <si>
    <t>001920928820001- ANEXO I DA EEEM PROF MARIA DO SOCORRO JACOB</t>
  </si>
  <si>
    <t>001920928820002- ANEXO II DA EEEM PROF MARIA DO SOCORRO JACOB</t>
  </si>
  <si>
    <t>001920932080000- EEEM ISAAC NEWTON</t>
  </si>
  <si>
    <t>001920932150000- EEEM CENTRO EDUCACIONAL ANCHIETA</t>
  </si>
  <si>
    <t>001920933810000- EEEM CENTRO MARANATA</t>
  </si>
  <si>
    <t>001920936730000- EEEM PROFESSORA MARIA DAS GRACAS ESCOCIO CERQUEIRA</t>
  </si>
  <si>
    <t>001920949000000- EEEM PROFª JUSSARA TEREZINHA</t>
  </si>
  <si>
    <t>001920937380000- EETEPA - ITAITUBA</t>
  </si>
  <si>
    <t>001920936690000- EEEM BRIGADEIRO HAROLDO COIMBRA VELOSO</t>
  </si>
  <si>
    <t>001920936690002- ANEXO RURAL BRIGADEIRO HAROLDO COIMBRA VELOSO</t>
  </si>
  <si>
    <t>001920936800000- EEEM WALDEMAR LINDERMAYR</t>
  </si>
  <si>
    <t>001920936800001- ANEXO RURAL WALDEMAR LINDERMAYER</t>
  </si>
  <si>
    <t>001920936950000- EEEM PRESIDENTE TANCREDO NEVES SEDE</t>
  </si>
  <si>
    <t>001920936950001- ANEXO RURAL EEEM PRESIDENTE TANCREDO NEVES</t>
  </si>
  <si>
    <t>001920902970000- EE GOV EURICO VALE (SEDE)</t>
  </si>
  <si>
    <t>001920902970001- ANEXO I DA EE GOVERNADOR EURICO VALE</t>
  </si>
  <si>
    <t>001920936840000- EEEM DEPUTADO EVERALDO MARTINS SEDE</t>
  </si>
  <si>
    <t>001920936840001- ANEXO I DA EEEM DEP EVERALDO MARTINS</t>
  </si>
  <si>
    <t>001920936840002- ANEXO RURAL DEP EVERALDO MARTINS</t>
  </si>
  <si>
    <t>18A URE - MAE DO RIO</t>
  </si>
  <si>
    <t>001920915480000- EE EMILIO PANTOJA</t>
  </si>
  <si>
    <t>001920916480000- EE PROF HILDEBERTO REIS SEDE</t>
  </si>
  <si>
    <t>001920916530000- EE DR LAUDELINO SOARES</t>
  </si>
  <si>
    <t>001920916530001- ANEXO RURAL EE DR LAUDELINO SOARES</t>
  </si>
  <si>
    <t>001920901630000- EE LUIS GUALBERTO PIMENTEL</t>
  </si>
  <si>
    <t>001920901630002- EEEM ANEXO I LUIS GUALBERTO PIMENTEL</t>
  </si>
  <si>
    <t>001920901630003- ANEXO RURAL EE LUIZ GUALBERTO PIMENTEL</t>
  </si>
  <si>
    <t>001920937640000- EEEM ANTONIO JESUS DE OLIVEIRA</t>
  </si>
  <si>
    <t>001920915450000- EEEM IRMA AGNES VINCQUIER</t>
  </si>
  <si>
    <t>001920915450001- EEEM ADELIA CARVALHO SODRE ( ANEXO I )</t>
  </si>
  <si>
    <t>001920916430000- EEEFM FRANCISCO NUNES</t>
  </si>
  <si>
    <t>001920916490000- EE NICOLAU NERES DA SILVA</t>
  </si>
  <si>
    <t>001920916710000- EE DE TESSALONICA</t>
  </si>
  <si>
    <t>001920916720000- EE ITABOCAL</t>
  </si>
  <si>
    <t>001920916860000- EE ALACID NUNES</t>
  </si>
  <si>
    <t>001920925000000- EE DR VICENTE DE PAULA</t>
  </si>
  <si>
    <t>001920927660000- EE MARIA DA CONCEICAO MALHEIROS (SEDE)</t>
  </si>
  <si>
    <t>001920927660005- EMEF BANGU</t>
  </si>
  <si>
    <t>001920927660007- EMEF VITORIA OLIMPIO DE MOURA</t>
  </si>
  <si>
    <t>001920927660017- EEEFM PROFª MARIA DA CONCEICAO MALHEIRO (ANEXO IV)</t>
  </si>
  <si>
    <t>001920927180000- EE PADRE MARINO CONTTI (SEDE)</t>
  </si>
  <si>
    <t>001920927180003- ANEXO RURAL PADRE MARINO CONTTI</t>
  </si>
  <si>
    <t>001920937540000- EEEM PROFA OSCARINA ANTONIA SOUZA DO REGO</t>
  </si>
  <si>
    <t>001920915400000- EE PRESID CASTELO BRANCO SEDE</t>
  </si>
  <si>
    <t>001920915400003- EEEM ANEXO III PRESIDENTE CASTELO BRANCO</t>
  </si>
  <si>
    <t>001920915400006- ANEXO RURAL PRESIDENTE CASTELO BRANCO</t>
  </si>
  <si>
    <t>001920936810000- EEEM GUILHERME GABRIEL</t>
  </si>
  <si>
    <t>001920937270000- EEEM PROF RAIMUNDO LAUREANO DA SILVA SOUZA</t>
  </si>
  <si>
    <t>001920937370000- EETEPA- PARAGOMINAS</t>
  </si>
  <si>
    <t>001920936600000- EEEM PROFa. IZABEL AMAZONAS</t>
  </si>
  <si>
    <t>001920936600002- ANEXO RURAL EEEM PROFa. IZABEL AMAZONAS</t>
  </si>
  <si>
    <t>04A URE - MARABA</t>
  </si>
  <si>
    <t>001920936710000- EEEM PROFº HELIO FROTA LIMA</t>
  </si>
  <si>
    <t>001920912890000- EEEFM PROF MARIA SYLVIA DOS SANTOS</t>
  </si>
  <si>
    <t>001920929670000- EE INDIGENA DE ENS. INFANTIL FM PEPTYKRE PARKATEJE</t>
  </si>
  <si>
    <t>001920937340000- EE INDIGENA DE EFM TATAKT KYIKATEJE</t>
  </si>
  <si>
    <t>001920937740000- EEIEFM KATEKAPONOTI</t>
  </si>
  <si>
    <t>001920938000000- EIEEIFM RONORÊ KAPERE TEMEJAKREKATE AKRATIKATEJE</t>
  </si>
  <si>
    <t>001920938300000- EIEEIFM MÊ AKRE KOYAKATI</t>
  </si>
  <si>
    <t>001920938800000- EIEEIFM IMPOHYTUWA</t>
  </si>
  <si>
    <t>001920940000000- EIEEIFM TOKURYKTI</t>
  </si>
  <si>
    <t>001920941000000- EIEEIFM KUXWARE KRIAMRENTIJE</t>
  </si>
  <si>
    <t>001920944000000- ESCOLA IND EST ENS INF FUND E MED JUKAPI KRIJOHERE</t>
  </si>
  <si>
    <t>001920945000000- EE INDIGENA DE ENS INFANTIL FUND E MEDIO KOJIPOKTI</t>
  </si>
  <si>
    <t>001920957000000- ESC IND EST ENS INF FUND MED KWYNTYNKRE KYIKATEJE</t>
  </si>
  <si>
    <t>001920959000000- ESC IND EST ENS INF FUND MED KRUAPUTITIRE</t>
  </si>
  <si>
    <t>001920960000000- EE IND ENS INF FUND MED KWYNKAPREKRE KUWEKATITI</t>
  </si>
  <si>
    <t>001920936680000- EEEM PROFº LICIO SOLHEIRO</t>
  </si>
  <si>
    <t>001920936680001- ANEXO RURAL EEEM PROFº LICIO SOLHEIRO</t>
  </si>
  <si>
    <t>001920912930000- EE ALBERTINA BARREIROS SEDE VINC</t>
  </si>
  <si>
    <t>001920913070000- EE BRASIL TROPICAL</t>
  </si>
  <si>
    <t>001920926800000- EE PROF IZABEL MARACAIPE</t>
  </si>
  <si>
    <t>001920937160000- EEEM PROF LIBERALINA CARVALHO DE ARAGAO DIAS</t>
  </si>
  <si>
    <t>001920937160001- ANEXO RURAL LIBERALINA CARVALHO DE ARAGAO</t>
  </si>
  <si>
    <t>001920927700000- EE 1 E 2G PROFA MARIA DA GLORIA RODRIGUES PAIXAO</t>
  </si>
  <si>
    <t>001920927700002- ANEXO RURAL PROFA MARIA DA GLORIA RODRIGUES PAIXAO</t>
  </si>
  <si>
    <t>001920937420000- EEEFM IRMA DOROTHY STANG</t>
  </si>
  <si>
    <t>001920911590000- EE PLINIO PINHEIRO</t>
  </si>
  <si>
    <t>001920911620000- EE PROF ONEIDE DE SOUZA TAVARES</t>
  </si>
  <si>
    <t>001920911690000- EE DR JOSE CURSINO DE AZEVEDO</t>
  </si>
  <si>
    <t>001920911750000- EE PROF SALOME CARVALHO</t>
  </si>
  <si>
    <t>001920911800000- EE PROF ACY DE JESUS NEVES DE BARROS PEREIRA</t>
  </si>
  <si>
    <t>001920911800002- ANEXO II PROF ACY DE JESUS NEVES DE BARROS PEREIRA</t>
  </si>
  <si>
    <t>001920911800003- ANEXO RURAL ACY DE JESUS NEVES DE BARROS PEREIRA</t>
  </si>
  <si>
    <t>001920911840000- EE DR INACIO SOUSA MOTA</t>
  </si>
  <si>
    <t>001920911850000- EE DR GABRIEL SALES PIMENTA</t>
  </si>
  <si>
    <t>001920912040000- EE DR GASPAR VIANNA</t>
  </si>
  <si>
    <t>001920912040001- EE DR GASPAR VIANNA (ANEXO I)</t>
  </si>
  <si>
    <t>001920912050000- EE PROF PAULO FREIRE</t>
  </si>
  <si>
    <t>001920912170000- EE LIBERDADE</t>
  </si>
  <si>
    <t>001920912170001- EEEM LIBERDADE (ANEXO I)</t>
  </si>
  <si>
    <t>001920912290000- EE PROF JONATHAS PONTES ATHIAS</t>
  </si>
  <si>
    <t>001920927890000- EE ELINDA SIMPLICIO COSTA</t>
  </si>
  <si>
    <t>001920928170000- EE PROF ANIZIO TEIXEIRA</t>
  </si>
  <si>
    <t>001920928920000- EE WALKISE DA SILVEIRA VIANNA</t>
  </si>
  <si>
    <t>001920929480000- EE RIO TOCANTINS</t>
  </si>
  <si>
    <t>001920929750000- EEEFM LUZIA NUNES FERNANDES</t>
  </si>
  <si>
    <t>001920932010000- EEEM O PEQUENO PRINCIPE</t>
  </si>
  <si>
    <t>001920936090000- EEEM Dr GERALDO MENDES DE CASTRO VELOSO</t>
  </si>
  <si>
    <t>001920937630000- ESCOLA ESTADUAL DE ENSINO MEDIO IRMA THEODORA</t>
  </si>
  <si>
    <t>001920937700000- EEEM SAO JOSE</t>
  </si>
  <si>
    <t>001920942000000- ESCOLA IND EST DE ENS INF FUND E MED AKROTIKATEJE</t>
  </si>
  <si>
    <t>001920927560000- CENTRO DE EDUCACAO DE JOVENS E ADULTOS PROF TEREZA DONATO DE ARAUJO CEEJA EM MARABA/PA</t>
  </si>
  <si>
    <t>001920913060000- EE MARIA IRANY RODRIGUES DA SILVA (SEDE)</t>
  </si>
  <si>
    <t>001920913060001- ANEXO RURAL MARIA IRANY RODRIGUES DA SILVA</t>
  </si>
  <si>
    <t>001920936700000- EEEM 21 DE ABRIL</t>
  </si>
  <si>
    <t>001920936700001- ANEXO RURAL 21 DE ABRIL</t>
  </si>
  <si>
    <t>001920927970000- EE ALICE SILVEIRA LIMA (SEDE)</t>
  </si>
  <si>
    <t>001920927970001- ANEXO RURAL EE ALICE SILVEIRA LIMA</t>
  </si>
  <si>
    <t>001920926960000- EE DIONISIO BENTES DE CARVALHO SEDE</t>
  </si>
  <si>
    <t>001920927680000- EE 1 E 2G PROFA ELZA MARIA CORREA DANTAS</t>
  </si>
  <si>
    <t>001920927680002- ANEXO RURAL EE PROFA ELZA MARIA CORREA DANTAS</t>
  </si>
  <si>
    <t>001920912870000- EE MACARIO DANTAS SEDE</t>
  </si>
  <si>
    <t>001920912870001- EEEM MACARIO DANTAS (ANEXO)</t>
  </si>
  <si>
    <t>001920912870002- ANEXO RURAL MACARIO DANTAS</t>
  </si>
  <si>
    <t>001920937430000- EEEM NOVO PARAISO</t>
  </si>
  <si>
    <t>001920937520000- EEEM LENILSON LUIZ MIRANDA</t>
  </si>
  <si>
    <t>001920912300000- EE ABEL FIGUEREDO (SEDE)</t>
  </si>
  <si>
    <t>001920912300001- ANEXO RURAL DR ABEL FIGUEREDO</t>
  </si>
  <si>
    <t>09A URE - MARACANA</t>
  </si>
  <si>
    <t>001920901450000- EE JOSE ELIAS EMIN</t>
  </si>
  <si>
    <t>001920919040000- EE DR ANGELO CESARINO SEDE VINC</t>
  </si>
  <si>
    <t>001920919050000- EE JOAO BATISTA DE MOURA CARVALHO</t>
  </si>
  <si>
    <t>001920919080000- EE MACARIO FELIPE ANTONIO</t>
  </si>
  <si>
    <t>001920919090000- EE CONEGO CALADO</t>
  </si>
  <si>
    <t>001920919100000- EE ANTONIO ALVES RAMOS</t>
  </si>
  <si>
    <t>001920919140000- EE DO CURI</t>
  </si>
  <si>
    <t>001920919170000- EE JOAO PAULO II</t>
  </si>
  <si>
    <t>001920924480000- EE NILO DE OLIVEIRA</t>
  </si>
  <si>
    <t>001920927330000- EE FREI DANIEL DE SAMARATE</t>
  </si>
  <si>
    <t>001920937490000- EEEM PROF MARIA IONE HENRIQUE</t>
  </si>
  <si>
    <t>001920918930000- EE PROF MANOEL JOAQUIM MONTEIRO SEDE VINC</t>
  </si>
  <si>
    <t>001920918940000- EE LAMEIRA BITENCOURT</t>
  </si>
  <si>
    <t>001920918950000- EE MANOEL SABINO DA SILVA</t>
  </si>
  <si>
    <t>001920918610000- EE PRESID KENNEDY</t>
  </si>
  <si>
    <t>001920918610001- ANEXO RURAL PRESID KENNEDY</t>
  </si>
  <si>
    <t>001920937890000- EEEM IZIDORIO FRANCISCO DE SOUZA</t>
  </si>
  <si>
    <t>06A URE - MONTE ALEGRE</t>
  </si>
  <si>
    <t>001920904730000- EE SANTO ANTONIO SEDE</t>
  </si>
  <si>
    <t>001920904730001- ANEXO RURAL EE SANTO ANTONIO SEDE</t>
  </si>
  <si>
    <t>001920904740000- EE FULGENCIO SIMOES</t>
  </si>
  <si>
    <t>001920904750000- EE PROF MARIA VALMONT</t>
  </si>
  <si>
    <t>001920904770000- EE DR JOSE JORGE HAGE</t>
  </si>
  <si>
    <t>001920904780000- EE AMADEU BURLAMAQUI SIMOES</t>
  </si>
  <si>
    <t>001920937080000- EEEM PROF BEATRIZ DO VALLE</t>
  </si>
  <si>
    <t>001920923840000- EE FREI CONSTANCIO</t>
  </si>
  <si>
    <t>001920923840001- ANEXO RURAL EE FREI CONSTANCIO</t>
  </si>
  <si>
    <t>001920923830000- EE PROF JOSE AGOSTINHO GUERRA SEDE</t>
  </si>
  <si>
    <t>001920904950000- EE PREFEITO CARIM MELEM</t>
  </si>
  <si>
    <t>001920904950001- EE ANEXO PADRE EDMUNDO DE LIMA CALVO</t>
  </si>
  <si>
    <t>001920904960000- EE FRANCISCO NOBRE DE ALMEIDA</t>
  </si>
  <si>
    <t>001920904960001- EE ANEXO FRANCISCO N DE ALMEIDA</t>
  </si>
  <si>
    <t>001920904960004- EMEF MURUMURU (ANEXO I)</t>
  </si>
  <si>
    <t>001920904960005- ANEXO RURAL MURUMURU</t>
  </si>
  <si>
    <t>001920936240000- COLEGIO EST. ENS. MEDIO PRESID. FERNANDO HENRIQUE</t>
  </si>
  <si>
    <t>001920936620000- EEEM KM 11</t>
  </si>
  <si>
    <t>001920937410000- EETEPA MONTE ALEGRE</t>
  </si>
  <si>
    <t>001920902990000- EE PRETEXTATO DA COSTA ALVARENGA SEDE VINC</t>
  </si>
  <si>
    <t>001920902990001- ANEXO I DA EEEM PRETEXTATO DA COSTA ALVARENGA</t>
  </si>
  <si>
    <t>001920902990002- ANEXO II DA EEEM PRETEXTATO DA COSTA ALVARENGA</t>
  </si>
  <si>
    <t>001920902990003- ANEXO III DA EEEM PRETEXTATO DA COSTA ALVARENGA</t>
  </si>
  <si>
    <t>001920902990004- ANEXO III DA EEEM PRETEXTATO DA COSTA ALVARENGA</t>
  </si>
  <si>
    <t>001920902990005- ANEXO RURAL EE PRETEXTATO DA COSTA ALVARENGA</t>
  </si>
  <si>
    <t>07A URE - OBIDOS</t>
  </si>
  <si>
    <t>001920936920000- EEEM SORAYA MARQUES CHAYB</t>
  </si>
  <si>
    <t>001920936920001- ANEXO RURAL EEEM SORAYA MARQUES CHAYB</t>
  </si>
  <si>
    <t>001920905760000- EE FLORA TEIXEIRA SEDE</t>
  </si>
  <si>
    <t>001920905770000- EE MARCOS BENTES DE CARVALHO</t>
  </si>
  <si>
    <t>001920905800000- EE SAO JOSE</t>
  </si>
  <si>
    <t>001920905760001- ESCOLA ESTADUAL RURAL DE FARO</t>
  </si>
  <si>
    <t>001920903860000- EEEM EMANUEL SALGADO VIEIRA (sede)</t>
  </si>
  <si>
    <t>001920903880000- EE DEP AMERICO PEREIRA LIMA</t>
  </si>
  <si>
    <t>001920931320000- EEEF NOSSA SENHORA DA SAUDE</t>
  </si>
  <si>
    <t>001920936630000- EEEM VEREADOR RAIMUNDO DE SOUZA COELHO</t>
  </si>
  <si>
    <t>001920937810000- EEEM PROFESSORA ZENITA FREITAS DE MATOS</t>
  </si>
  <si>
    <t>001920937810001- ANEXO RURAL PROFESSORA ZENITA FREITAS DE MATOS</t>
  </si>
  <si>
    <t>001920905310000- EE SAO JOSE</t>
  </si>
  <si>
    <t>001920905310001- ANEXO RURAL SAO JOSE</t>
  </si>
  <si>
    <t>001920937940000- EEEM PROFESSOR MAURICIO HAMOY</t>
  </si>
  <si>
    <t>001920937940001- EEEM PROFESSOR MAURICIO HAMOY - ANEXO I</t>
  </si>
  <si>
    <t>001920905590000- EEEFM PADRE JOSE NICOLINO DE SOUZA -SEDE</t>
  </si>
  <si>
    <t>001920936030000- CE Dr ALMIR GABRIEL</t>
  </si>
  <si>
    <t>001920936030001- ANEXO RURAL DR ALMIR GABRIEL</t>
  </si>
  <si>
    <t>001920937820000- EETEPA ORIXIMINA</t>
  </si>
  <si>
    <t>001920905750000- EE ANTONIO CANDIDO MACHADO SEDE</t>
  </si>
  <si>
    <t>21A URE - PARAUAPEBAS</t>
  </si>
  <si>
    <t>001920927650000- EEFM PROF. NELSON DOS PRAZERES HENRIQUE</t>
  </si>
  <si>
    <t>001920927650001- ANEXO RURAL EEFM PROF NELSON DOS PRAZERES HENRIQUE</t>
  </si>
  <si>
    <t>001920937240000- EEEM IRMA LAURA DE MARTINS CARVALHO</t>
  </si>
  <si>
    <t>001920911780000- EEEM TANCREDO NEVES</t>
  </si>
  <si>
    <t>001920927400000- EEEM PROF JOAQUINA DIAMANTINA FERREIRA LEMOS</t>
  </si>
  <si>
    <t>001920937030000- EEEM GOVERNADOR ALMIR GABRIEL</t>
  </si>
  <si>
    <t>001920912030000- EE ELDORADO(SEDE)</t>
  </si>
  <si>
    <t>001920912030002- ANEXO RURAL EE ELDORADO</t>
  </si>
  <si>
    <t>001920936750000- EEEM FRANCILANDIA</t>
  </si>
  <si>
    <t>001920936970000- EEEM JOAO PRUDENCIO DE BRITO</t>
  </si>
  <si>
    <t>001920911770000- EE EDUARDO ANGELIM SEDE</t>
  </si>
  <si>
    <t>001920911770011- EE EDUARDO ANGELIM (ANEXO VII)</t>
  </si>
  <si>
    <t>001920911770012- EE EDUARDO ANGELIM (ANEXO VIII)</t>
  </si>
  <si>
    <t>001920911830000- EE GEN EUCLYDES F FIGUEIREDO</t>
  </si>
  <si>
    <t>001920929220000- EE CECILIA MEIRELES</t>
  </si>
  <si>
    <t>001920929250000- EE IRMA DULCE</t>
  </si>
  <si>
    <t>001920929990000- EEEM FARUK SALMEN</t>
  </si>
  <si>
    <t>001920936380000- EEEFM JANELA PARA O MUNDO</t>
  </si>
  <si>
    <t>001920936720000- EEEM CARLOS HENRIQUE</t>
  </si>
  <si>
    <t>001920937010000- EEEM PROF MARLUCE MASSARIOL DE SOUZA</t>
  </si>
  <si>
    <t>001920937870000- EEEM CRESCENDO NA PRATICA</t>
  </si>
  <si>
    <t>001920937870001- ANEXO RURAL EEEM CRESCENDO NA PRATICA</t>
  </si>
  <si>
    <t>001920937880000- EEEM PAULO FREIRE</t>
  </si>
  <si>
    <t>001920937920000- EEEM PROFESSOR LUIS MAGNO ARAUJO</t>
  </si>
  <si>
    <t>001920939000000- EEEM GONCALVES DIAS</t>
  </si>
  <si>
    <t>001920954000000- EEEM PROFESSOR SERAFIM FERNANDES DA SILVA</t>
  </si>
  <si>
    <t>001920902350001- EEEFM HONORATO FILGUEIRAS - ANEXO I</t>
  </si>
  <si>
    <t>001920901180000- EE BRUNO DE MENEZES</t>
  </si>
  <si>
    <t>001920901190000- EE INGLES DE SOUZA</t>
  </si>
  <si>
    <t>001920901200000- EE PROF LUIZA DE BARROS PIRES</t>
  </si>
  <si>
    <t>001920901860000- EE PROF ABELARDO LEAO CONDURU</t>
  </si>
  <si>
    <t>001920902350000- EE HONORATO FILGUEIRAS</t>
  </si>
  <si>
    <t>001920930100000- EEEF CARANANDUBA</t>
  </si>
  <si>
    <t>001920937930000- EEEM PADRE EDUARDO</t>
  </si>
  <si>
    <t>001920921790000- EE DR PADUA COSTA SEDE</t>
  </si>
  <si>
    <t>001920921860000- EE GENIPAUBA</t>
  </si>
  <si>
    <t>001920921870000- EE COLONIA CHICANO</t>
  </si>
  <si>
    <t>001920929070000- EEEFM SANTA BARBARA</t>
  </si>
  <si>
    <t>001920933550000- ERC MUNICIPAL SERGIO JOSE MACHADO</t>
  </si>
  <si>
    <t>11A URE - SANTA IZABEL DO PARA</t>
  </si>
  <si>
    <t>001920917160000- EE DOM MARIO DE MIRANDA VILAS BOAS SEDE</t>
  </si>
  <si>
    <t>001920937690000- EEEFM RAIMUNDO DE CAMPOS LOPES</t>
  </si>
  <si>
    <t>001920937690001- ANEXO RURAL EEEFM RAIMUNDO DE CAMPOS LOPES</t>
  </si>
  <si>
    <t>001920921400000- EE DR JOSE MALCHER SEDE</t>
  </si>
  <si>
    <t>001920921410000- EE NORMA GUILHON</t>
  </si>
  <si>
    <t>001920921440000- EE PRINCESA LEOPOLDINA</t>
  </si>
  <si>
    <t>001920921460000- EE MAGALHAES BARATA</t>
  </si>
  <si>
    <t>001920921480000- EE LUCIOLA BRASIL</t>
  </si>
  <si>
    <t>001920921510000- EE BARAO DE GUAJARA</t>
  </si>
  <si>
    <t>001920917250000- EE AMABILIO ALVES PEREIRA SEDE</t>
  </si>
  <si>
    <t>001920917250006- ANEXO RURAL EE AMABILIO ALVES PEREIRA</t>
  </si>
  <si>
    <t>001920930060000- EE PROF ALOISIO DA COSTA CHAVES</t>
  </si>
  <si>
    <t>001920921700000- EE MAGALHAES BARATA</t>
  </si>
  <si>
    <t>001920924420000- EE ANTONIO LEMOS</t>
  </si>
  <si>
    <t>001920924420001- EE CENTRO TREIN PROFIS GIOVANI EMMI</t>
  </si>
  <si>
    <t>001920929930000- EE E.F.PROFA.MARIETA EMMI</t>
  </si>
  <si>
    <t>001920938200000- EEEFM ROBERTO CARLOS NUNES BARROSO</t>
  </si>
  <si>
    <t>001920947000000- EEEM PROFESSORA ELZA DE OLIVEIRA MAIA</t>
  </si>
  <si>
    <t>001920929080000- EEEM IRMA ALBERTINA LEITAO</t>
  </si>
  <si>
    <t>001920921540000- EE INACIO MOURA SEDE</t>
  </si>
  <si>
    <t>001920921540001- ANEXO RURAL EE INACIO MOURA</t>
  </si>
  <si>
    <t>001920935080000- UT PROF MARLI ALMEIDA FONTENELLE DE CASTRO</t>
  </si>
  <si>
    <t>001920936040000- CE CELSO RODRIGUES</t>
  </si>
  <si>
    <t>001920920810000- EE DES OSVALDO BRITO DE FARIAS SEDE</t>
  </si>
  <si>
    <t>001920928140000- EE ROSA ROCHA ALMEIDA</t>
  </si>
  <si>
    <t>001920917370000- EE ANTONIO BRASIL SEDE</t>
  </si>
  <si>
    <t>001920917370003- ANEXO RURAL ANTONIO BRASIL</t>
  </si>
  <si>
    <t>001920917390000- EE DR FABIO LUZ</t>
  </si>
  <si>
    <t>001920956000000- EEEM PROF ANNA ROSA MORAES MACIEL</t>
  </si>
  <si>
    <t>001920921090000- EE PRESID KENNEDY SEDE</t>
  </si>
  <si>
    <t>001920921100000- EE PROF ESTER NUNES BIBAS</t>
  </si>
  <si>
    <t>001920921120000- EEEFM PROF TAURIANO GIL DE SOUSA</t>
  </si>
  <si>
    <t>001920921130000- EE CASTILHOS FRANCA</t>
  </si>
  <si>
    <t>001920921200000- EEEFM PENHA LONGA</t>
  </si>
  <si>
    <t>001920921290000- EEEFM ATATEUA DA BARRETA</t>
  </si>
  <si>
    <t>001920921340000- EE BARAO DE GUAJARA</t>
  </si>
  <si>
    <t>001920921390000- EE BERTOLDO NUNES</t>
  </si>
  <si>
    <t>001920928740000- EEEFM SANTA ROSA</t>
  </si>
  <si>
    <t>001920937760000- EETEPA VIGIA DE NAZARE</t>
  </si>
  <si>
    <t>05A URE - SANTAREM</t>
  </si>
  <si>
    <t>001920902960000- EE WALDEMAR MAUES</t>
  </si>
  <si>
    <t>001920902960001- ANEXO RURAL EE WALDEMAR MAUES</t>
  </si>
  <si>
    <t>001920902930000- EE GOV FERNANDO GUILHON</t>
  </si>
  <si>
    <t>001920902930001- ANEXO RURAL GOV FERNANDO GUILHON</t>
  </si>
  <si>
    <t>001920901460000- EE PROF ROMANA TAVARES LEAL</t>
  </si>
  <si>
    <t>001920902720000- EE SAO FELIPE</t>
  </si>
  <si>
    <t>001920902720001- EE ANEXO SAO FELIPE</t>
  </si>
  <si>
    <t>001920902720003- ANEXO RURAL EE SAO FELIPE</t>
  </si>
  <si>
    <t>001920902730000- EE BARAO DO TAPAJOS</t>
  </si>
  <si>
    <t>001920902740000- EE ANTONIO BATISTA BELO DE CARVALHO</t>
  </si>
  <si>
    <t>001920902750000- EE GONCALVES DIAS</t>
  </si>
  <si>
    <t>001920902760000- EE PROF MARIA UCHOA MARTINS</t>
  </si>
  <si>
    <t>001920902770000- EE NOSSA SENHORA APARECIDA</t>
  </si>
  <si>
    <t>001920902790000- EE RICHARD HENNINGTON</t>
  </si>
  <si>
    <t>001920902800000- EE ALM SOARES DUTRA</t>
  </si>
  <si>
    <t>001920902810000- EE FREI OTHMAR</t>
  </si>
  <si>
    <t>001920902820000- EE JOSE DE ALENCAR</t>
  </si>
  <si>
    <t>001920902830000- EE MADRE IMACULADA</t>
  </si>
  <si>
    <t>001920902840000- EE EZERIEL MONICO DE MATOS</t>
  </si>
  <si>
    <t>001920902850000- EE FREI AMBROSIO</t>
  </si>
  <si>
    <t>001920902860000- EE PEDRO ALVARES CABRAL</t>
  </si>
  <si>
    <t>001920902860001- EE ANEXO I PEDRO ALVARES CABRAL</t>
  </si>
  <si>
    <t>001920902870000- EE PLACIDO DE CASTRO</t>
  </si>
  <si>
    <t>001920902880000- EE ALVARO ADOLFO DA SILVEIRA</t>
  </si>
  <si>
    <t>001920902890000- EE FELISBELO JAGUAR SUSSUARANA</t>
  </si>
  <si>
    <t>001920902900000- EE JULIA G PASSARINHO</t>
  </si>
  <si>
    <t>001920902900002- EE ANEXO I JULIA PASSARINHO</t>
  </si>
  <si>
    <t>001920902900003- EE ANEXO II JULIA G PASSARINHO</t>
  </si>
  <si>
    <t>001920902910000- EE RODRIGUES DOS SANTOS</t>
  </si>
  <si>
    <t>001920903050000- EE PROF TEREZINHA DE JESUS RODRIGUES</t>
  </si>
  <si>
    <t>001920927570000- EE ONESIMA PEREIRA DE BARROS</t>
  </si>
  <si>
    <t>001920927920000- EE PROF ALUISIO LOPES MARTINS</t>
  </si>
  <si>
    <t>001920927950000- EE NOSSA SENHORA DO GUADALUPE</t>
  </si>
  <si>
    <t>001920928850000- EE JADER FONTENELLE BARBALHO</t>
  </si>
  <si>
    <t>001920929620000- EE DOM TIAGO RYAN</t>
  </si>
  <si>
    <t>001920929620001- EE ANEXO DOM TIAGO RYAN</t>
  </si>
  <si>
    <t>001920929780000- UEE DR JOSE TADEU DUARTE BASTOS</t>
  </si>
  <si>
    <t>001920929820000- EE E.F.M.RIO TAPAJOS</t>
  </si>
  <si>
    <t>001920929820001- EEEFM RIO TAPAJOS (ANEXO I)</t>
  </si>
  <si>
    <t>001920931510000- EEEF SAO JOSE</t>
  </si>
  <si>
    <t>001920931520000- EEEF DIOCESANA SAO FRANCISCO</t>
  </si>
  <si>
    <t>001920931530000- EEEFM SAO RAIMUNDO NONATO</t>
  </si>
  <si>
    <t>001920931710000- ERC ASSOCIACAO DE PAIS E AMIGOS DOS EXCEPCIONAIS</t>
  </si>
  <si>
    <t>001920936760000- EEEM WILSON DIAS DA FONSECA</t>
  </si>
  <si>
    <t>001920937990000- EEEM ANTONIO FIGUEIRA</t>
  </si>
  <si>
    <t>001920912850000- CENTRO DE EDUCACAO DE JOVENS E ADULTOS CEEJA SANTAREM</t>
  </si>
  <si>
    <t>001920902830001- EEEM MADRE IMACULADA -ANEXO I</t>
  </si>
  <si>
    <t>001920902720002- EEEM SAO FELIPE - ANEXO I</t>
  </si>
  <si>
    <t>001920937900000- EETEPA SANTAREM</t>
  </si>
  <si>
    <t>16A URE - TUCURUI</t>
  </si>
  <si>
    <t>001920929960000- EEEM JOSE LOURENCO</t>
  </si>
  <si>
    <t>001920929960001- EMEF MARCI SEBASTIAO NUNES (ANEXO I)</t>
  </si>
  <si>
    <t>001920929960003- ANEXO RURAL MARCI SEBASTIAO NUNES</t>
  </si>
  <si>
    <t>001920936010000- EEEM SEVERO ALVES</t>
  </si>
  <si>
    <t>001920936020000- CE PROF ANUNCIADA CHAVES</t>
  </si>
  <si>
    <t>001920936020001- ANEXO RURAL PROF ANUNCIADA CHAVES</t>
  </si>
  <si>
    <t>001920943000000- EEEM DE EDUCACAO DO CAMPO PROF WILSON BAIA</t>
  </si>
  <si>
    <t>001920936790000- EEEM PAPA PAULO VI</t>
  </si>
  <si>
    <t>001920936790001- EEEM PAPA PAULO VI (ANEXO I)</t>
  </si>
  <si>
    <t>001920936790003- EEEM PAPA PAULO VI ( Anexo III)</t>
  </si>
  <si>
    <t>001920936790004- ANEXO RURAL PAPA PAULO VI</t>
  </si>
  <si>
    <t>001920936740000- EEEM ALOISIO LOCH SEDE</t>
  </si>
  <si>
    <t>001920937450000- EEEM DOM JOSE ELIAS CHAVES</t>
  </si>
  <si>
    <t>001920937450001- ANEXO RURAL DOM JOSE ELIAS CHAVES</t>
  </si>
  <si>
    <t>001920911000000- EE DEP RAIMUNDO RIBEIRO DE SOUZA</t>
  </si>
  <si>
    <t>001920911000003- ANEXO RURAL DEP RAIMUNDO RIBEIRO DE SOUZA</t>
  </si>
  <si>
    <t>001920911060000- EE ANA PONTES FRANCEZ</t>
  </si>
  <si>
    <t>001920927690000- EE 1 E 2G RUI BARBOSA</t>
  </si>
  <si>
    <t>001920937140000- EEEM SIMAO JACINTO DOS REIS</t>
  </si>
  <si>
    <t>22A URE - XINGUARA</t>
  </si>
  <si>
    <t>001920937190000- EEEM JOSE LUIZ MARTINS</t>
  </si>
  <si>
    <t>001920937190001- ANEXO I DA EEEM JOSE LUIZ MARTINS</t>
  </si>
  <si>
    <t>001920937190002- ANEXO RURAL EEEM JOSE LUIZ MARTINS</t>
  </si>
  <si>
    <t>001920937000000- EEEM GERALDO FERNANDES DE OLIVEIRA</t>
  </si>
  <si>
    <t>001920937000001- ANEXO RURAL EEEM GERALDO FERNANDES DE OLIVEIRA</t>
  </si>
  <si>
    <t>001920936410000- EE Dr. ROMILDO VELOSO E SILVA</t>
  </si>
  <si>
    <t>001920936410002- ANEXO RURAL DR ROMILDO VELOSO E SILVA</t>
  </si>
  <si>
    <t>001920912810000- EE SEN CATETE PINHEIRO SEDE</t>
  </si>
  <si>
    <t>001920912810005- ANEXO RURAL EE SEN CATETE PINHEIRO</t>
  </si>
  <si>
    <t>001920907550000- EEEM Carmina Gomes</t>
  </si>
  <si>
    <t>001920907550002- EE CARMINA GOMES (ANEXO II)</t>
  </si>
  <si>
    <t>001920907550003- EEEM CARMINA GOMES (ANEXO III)</t>
  </si>
  <si>
    <t>001920907550004- ANEXO RURAL CARMINA GOMES</t>
  </si>
  <si>
    <t>001920936260000- EEEM PAULO FREIRE</t>
  </si>
  <si>
    <t>001920928180000- EE PROF GERALDO ANGELO PEREIRA SEDE</t>
  </si>
  <si>
    <t>001920928180003- ANEXO RURAL PROF GERALDO ANGELO PEREIRA</t>
  </si>
  <si>
    <t>001920937910000- EEEM THIAGO GONCALVES DE SOUZA</t>
  </si>
  <si>
    <t>001920912830000- EE DOM LUIZ DE MOURA PALHA SEDE</t>
  </si>
  <si>
    <t>001920912830004- EE ANEXO II DOM LUIZ DE MOURA PALHA</t>
  </si>
  <si>
    <t>001920912830005- EE ANEXO III DOM LUIZ DE MOURA PALHA</t>
  </si>
  <si>
    <t>001920937110000- EEEM PEDRO RIBEIRO MOTA</t>
  </si>
  <si>
    <t>001920912860000- CENTRO DE EDUCACAO DE JOVENS E ADULTOS PROF VIOLETA REFKALEFSKY LOUREIRO CEEJA EM XINGUARA/PA</t>
  </si>
  <si>
    <t>001920912830002- EEEM RAIMUNDO HENRIQUE DE MIRANDA- ANEXO</t>
  </si>
  <si>
    <t>001920938600000- EETEPA JORDAME CORREA QUEIROZ FILHO - XINGUARA</t>
  </si>
  <si>
    <t>ESCOLA ESTADUAL DE ENSINO INTEGRAL BILINGUE MESTRA IDALINA RODRIGUES PEREIRA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</si>
</sst>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22"/>
  <sheetViews>
    <sheetView tabSelected="1" workbookViewId="0">
      <pane ySplit="1" topLeftCell="A1000" activePane="bottomLeft" state="frozen"/>
      <selection pane="bottomLeft" activeCell="C1013" sqref="C1013"/>
    </sheetView>
  </sheetViews>
  <sheetFormatPr defaultColWidth="12.6640625" defaultRowHeight="15.75" customHeight="1" x14ac:dyDescent="0.25"/>
  <cols>
    <col min="1" max="1" width="23.109375" customWidth="1"/>
    <col min="2" max="2" width="27" customWidth="1"/>
    <col min="3" max="3" width="95" customWidth="1"/>
    <col min="4" max="4" width="4.33203125" customWidth="1"/>
    <col min="5" max="5" width="27" customWidth="1"/>
    <col min="6" max="6" width="13" customWidth="1"/>
    <col min="7" max="7" width="95" customWidth="1"/>
    <col min="8" max="8" width="109.88671875" customWidth="1"/>
    <col min="9" max="9" width="13.88671875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1" t="s">
        <v>3</v>
      </c>
      <c r="B2" s="1" t="s">
        <v>3</v>
      </c>
      <c r="C2" s="1" t="s">
        <v>4</v>
      </c>
    </row>
    <row r="3" spans="1:3" x14ac:dyDescent="0.25">
      <c r="A3" s="1" t="s">
        <v>3</v>
      </c>
      <c r="B3" s="1" t="s">
        <v>3</v>
      </c>
      <c r="C3" s="1" t="s">
        <v>5</v>
      </c>
    </row>
    <row r="4" spans="1:3" x14ac:dyDescent="0.25">
      <c r="A4" s="1" t="s">
        <v>3</v>
      </c>
      <c r="B4" s="1" t="s">
        <v>3</v>
      </c>
      <c r="C4" s="1" t="s">
        <v>6</v>
      </c>
    </row>
    <row r="5" spans="1:3" x14ac:dyDescent="0.25">
      <c r="A5" s="1" t="s">
        <v>3</v>
      </c>
      <c r="B5" s="1" t="s">
        <v>3</v>
      </c>
      <c r="C5" s="1" t="s">
        <v>7</v>
      </c>
    </row>
    <row r="6" spans="1:3" x14ac:dyDescent="0.25">
      <c r="A6" s="1" t="s">
        <v>3</v>
      </c>
      <c r="B6" s="1" t="s">
        <v>3</v>
      </c>
      <c r="C6" s="1" t="s">
        <v>8</v>
      </c>
    </row>
    <row r="7" spans="1:3" x14ac:dyDescent="0.25">
      <c r="A7" s="1" t="s">
        <v>3</v>
      </c>
      <c r="B7" s="1" t="s">
        <v>3</v>
      </c>
      <c r="C7" s="1" t="s">
        <v>9</v>
      </c>
    </row>
    <row r="8" spans="1:3" x14ac:dyDescent="0.25">
      <c r="A8" s="1" t="s">
        <v>3</v>
      </c>
      <c r="B8" s="1" t="s">
        <v>3</v>
      </c>
      <c r="C8" s="1" t="s">
        <v>10</v>
      </c>
    </row>
    <row r="9" spans="1:3" x14ac:dyDescent="0.25">
      <c r="A9" s="1" t="s">
        <v>3</v>
      </c>
      <c r="B9" s="1" t="s">
        <v>3</v>
      </c>
      <c r="C9" s="1" t="s">
        <v>11</v>
      </c>
    </row>
    <row r="10" spans="1:3" x14ac:dyDescent="0.25">
      <c r="A10" s="1" t="s">
        <v>3</v>
      </c>
      <c r="B10" s="1" t="s">
        <v>3</v>
      </c>
      <c r="C10" s="1" t="s">
        <v>12</v>
      </c>
    </row>
    <row r="11" spans="1:3" x14ac:dyDescent="0.25">
      <c r="A11" s="1" t="s">
        <v>3</v>
      </c>
      <c r="B11" s="1" t="s">
        <v>3</v>
      </c>
      <c r="C11" s="1" t="s">
        <v>13</v>
      </c>
    </row>
    <row r="12" spans="1:3" x14ac:dyDescent="0.25">
      <c r="A12" s="1" t="s">
        <v>3</v>
      </c>
      <c r="B12" s="1" t="s">
        <v>3</v>
      </c>
      <c r="C12" s="1" t="s">
        <v>14</v>
      </c>
    </row>
    <row r="13" spans="1:3" x14ac:dyDescent="0.25">
      <c r="A13" s="1" t="s">
        <v>3</v>
      </c>
      <c r="B13" s="1" t="s">
        <v>3</v>
      </c>
      <c r="C13" s="1" t="s">
        <v>15</v>
      </c>
    </row>
    <row r="14" spans="1:3" x14ac:dyDescent="0.25">
      <c r="A14" s="1" t="s">
        <v>3</v>
      </c>
      <c r="B14" s="1" t="s">
        <v>3</v>
      </c>
      <c r="C14" s="1" t="s">
        <v>16</v>
      </c>
    </row>
    <row r="15" spans="1:3" x14ac:dyDescent="0.25">
      <c r="A15" s="1" t="s">
        <v>3</v>
      </c>
      <c r="B15" s="1" t="s">
        <v>3</v>
      </c>
      <c r="C15" s="1" t="s">
        <v>17</v>
      </c>
    </row>
    <row r="16" spans="1:3" x14ac:dyDescent="0.25">
      <c r="A16" s="1" t="s">
        <v>3</v>
      </c>
      <c r="B16" s="1" t="s">
        <v>3</v>
      </c>
      <c r="C16" s="1" t="s">
        <v>18</v>
      </c>
    </row>
    <row r="17" spans="1:3" x14ac:dyDescent="0.25">
      <c r="A17" s="1" t="s">
        <v>3</v>
      </c>
      <c r="B17" s="1" t="s">
        <v>3</v>
      </c>
      <c r="C17" s="1" t="s">
        <v>19</v>
      </c>
    </row>
    <row r="18" spans="1:3" x14ac:dyDescent="0.25">
      <c r="A18" s="1" t="s">
        <v>3</v>
      </c>
      <c r="B18" s="1" t="s">
        <v>3</v>
      </c>
      <c r="C18" s="1" t="s">
        <v>20</v>
      </c>
    </row>
    <row r="19" spans="1:3" x14ac:dyDescent="0.25">
      <c r="A19" s="1" t="s">
        <v>3</v>
      </c>
      <c r="B19" s="1" t="s">
        <v>3</v>
      </c>
      <c r="C19" s="1" t="s">
        <v>21</v>
      </c>
    </row>
    <row r="20" spans="1:3" x14ac:dyDescent="0.25">
      <c r="A20" s="1" t="s">
        <v>3</v>
      </c>
      <c r="B20" s="1" t="s">
        <v>3</v>
      </c>
      <c r="C20" s="1" t="s">
        <v>22</v>
      </c>
    </row>
    <row r="21" spans="1:3" x14ac:dyDescent="0.25">
      <c r="A21" s="1" t="s">
        <v>3</v>
      </c>
      <c r="B21" s="1" t="s">
        <v>3</v>
      </c>
      <c r="C21" s="1" t="s">
        <v>23</v>
      </c>
    </row>
    <row r="22" spans="1:3" x14ac:dyDescent="0.25">
      <c r="A22" s="1" t="s">
        <v>3</v>
      </c>
      <c r="B22" s="1" t="s">
        <v>3</v>
      </c>
      <c r="C22" s="1" t="s">
        <v>24</v>
      </c>
    </row>
    <row r="23" spans="1:3" x14ac:dyDescent="0.25">
      <c r="A23" s="1" t="s">
        <v>3</v>
      </c>
      <c r="B23" s="1" t="s">
        <v>3</v>
      </c>
      <c r="C23" s="1" t="s">
        <v>25</v>
      </c>
    </row>
    <row r="24" spans="1:3" x14ac:dyDescent="0.25">
      <c r="A24" s="1" t="s">
        <v>3</v>
      </c>
      <c r="B24" s="1" t="s">
        <v>3</v>
      </c>
      <c r="C24" s="1" t="s">
        <v>26</v>
      </c>
    </row>
    <row r="25" spans="1:3" x14ac:dyDescent="0.25">
      <c r="A25" s="1" t="s">
        <v>3</v>
      </c>
      <c r="B25" s="1" t="s">
        <v>3</v>
      </c>
      <c r="C25" s="1" t="s">
        <v>27</v>
      </c>
    </row>
    <row r="26" spans="1:3" x14ac:dyDescent="0.25">
      <c r="A26" s="1" t="s">
        <v>3</v>
      </c>
      <c r="B26" s="1" t="s">
        <v>3</v>
      </c>
      <c r="C26" s="1" t="s">
        <v>28</v>
      </c>
    </row>
    <row r="27" spans="1:3" x14ac:dyDescent="0.25">
      <c r="A27" s="1" t="s">
        <v>3</v>
      </c>
      <c r="B27" s="1" t="s">
        <v>3</v>
      </c>
      <c r="C27" s="1" t="s">
        <v>29</v>
      </c>
    </row>
    <row r="28" spans="1:3" x14ac:dyDescent="0.25">
      <c r="A28" s="1" t="s">
        <v>3</v>
      </c>
      <c r="B28" s="1" t="s">
        <v>3</v>
      </c>
      <c r="C28" s="1" t="s">
        <v>30</v>
      </c>
    </row>
    <row r="29" spans="1:3" x14ac:dyDescent="0.25">
      <c r="A29" s="1" t="s">
        <v>3</v>
      </c>
      <c r="B29" s="1" t="s">
        <v>31</v>
      </c>
      <c r="C29" s="1" t="s">
        <v>32</v>
      </c>
    </row>
    <row r="30" spans="1:3" x14ac:dyDescent="0.25">
      <c r="A30" s="1" t="s">
        <v>3</v>
      </c>
      <c r="B30" s="1" t="s">
        <v>31</v>
      </c>
      <c r="C30" s="1" t="s">
        <v>33</v>
      </c>
    </row>
    <row r="31" spans="1:3" x14ac:dyDescent="0.25">
      <c r="A31" s="1" t="s">
        <v>3</v>
      </c>
      <c r="B31" s="1" t="s">
        <v>31</v>
      </c>
      <c r="C31" s="1" t="s">
        <v>34</v>
      </c>
    </row>
    <row r="32" spans="1:3" x14ac:dyDescent="0.25">
      <c r="A32" s="1" t="s">
        <v>3</v>
      </c>
      <c r="B32" s="1" t="s">
        <v>35</v>
      </c>
      <c r="C32" s="1" t="s">
        <v>36</v>
      </c>
    </row>
    <row r="33" spans="1:3" x14ac:dyDescent="0.25">
      <c r="A33" s="1" t="s">
        <v>3</v>
      </c>
      <c r="B33" s="1" t="s">
        <v>35</v>
      </c>
      <c r="C33" s="1" t="s">
        <v>37</v>
      </c>
    </row>
    <row r="34" spans="1:3" x14ac:dyDescent="0.25">
      <c r="A34" s="1" t="s">
        <v>3</v>
      </c>
      <c r="B34" s="1" t="s">
        <v>35</v>
      </c>
      <c r="C34" s="1" t="s">
        <v>38</v>
      </c>
    </row>
    <row r="35" spans="1:3" x14ac:dyDescent="0.25">
      <c r="A35" s="1" t="s">
        <v>3</v>
      </c>
      <c r="B35" s="1" t="s">
        <v>35</v>
      </c>
      <c r="C35" s="1" t="s">
        <v>39</v>
      </c>
    </row>
    <row r="36" spans="1:3" x14ac:dyDescent="0.25">
      <c r="A36" s="1" t="s">
        <v>3</v>
      </c>
      <c r="B36" s="1" t="s">
        <v>35</v>
      </c>
      <c r="C36" s="1" t="s">
        <v>40</v>
      </c>
    </row>
    <row r="37" spans="1:3" x14ac:dyDescent="0.25">
      <c r="A37" s="1" t="s">
        <v>3</v>
      </c>
      <c r="B37" s="1" t="s">
        <v>35</v>
      </c>
      <c r="C37" s="1" t="s">
        <v>41</v>
      </c>
    </row>
    <row r="38" spans="1:3" x14ac:dyDescent="0.25">
      <c r="A38" s="1" t="s">
        <v>3</v>
      </c>
      <c r="B38" s="1" t="s">
        <v>35</v>
      </c>
      <c r="C38" s="1" t="s">
        <v>42</v>
      </c>
    </row>
    <row r="39" spans="1:3" x14ac:dyDescent="0.25">
      <c r="A39" s="1" t="s">
        <v>3</v>
      </c>
      <c r="B39" s="1" t="s">
        <v>35</v>
      </c>
      <c r="C39" s="1" t="s">
        <v>43</v>
      </c>
    </row>
    <row r="40" spans="1:3" x14ac:dyDescent="0.25">
      <c r="A40" s="1" t="s">
        <v>3</v>
      </c>
      <c r="B40" s="1" t="s">
        <v>35</v>
      </c>
      <c r="C40" s="1" t="s">
        <v>44</v>
      </c>
    </row>
    <row r="41" spans="1:3" x14ac:dyDescent="0.25">
      <c r="A41" s="1" t="s">
        <v>3</v>
      </c>
      <c r="B41" s="1" t="s">
        <v>35</v>
      </c>
      <c r="C41" s="1" t="s">
        <v>45</v>
      </c>
    </row>
    <row r="42" spans="1:3" x14ac:dyDescent="0.25">
      <c r="A42" s="1" t="s">
        <v>3</v>
      </c>
      <c r="B42" s="1" t="s">
        <v>46</v>
      </c>
      <c r="C42" s="1" t="s">
        <v>47</v>
      </c>
    </row>
    <row r="43" spans="1:3" x14ac:dyDescent="0.25">
      <c r="A43" s="1" t="s">
        <v>3</v>
      </c>
      <c r="B43" s="1" t="s">
        <v>46</v>
      </c>
      <c r="C43" s="1" t="s">
        <v>48</v>
      </c>
    </row>
    <row r="44" spans="1:3" x14ac:dyDescent="0.25">
      <c r="A44" s="1" t="s">
        <v>3</v>
      </c>
      <c r="B44" s="1" t="s">
        <v>46</v>
      </c>
      <c r="C44" s="1" t="s">
        <v>49</v>
      </c>
    </row>
    <row r="45" spans="1:3" x14ac:dyDescent="0.25">
      <c r="A45" s="1" t="s">
        <v>3</v>
      </c>
      <c r="B45" s="1" t="s">
        <v>46</v>
      </c>
      <c r="C45" s="1" t="s">
        <v>50</v>
      </c>
    </row>
    <row r="46" spans="1:3" x14ac:dyDescent="0.25">
      <c r="A46" s="1" t="s">
        <v>3</v>
      </c>
      <c r="B46" s="1" t="s">
        <v>51</v>
      </c>
      <c r="C46" s="1" t="s">
        <v>52</v>
      </c>
    </row>
    <row r="47" spans="1:3" x14ac:dyDescent="0.25">
      <c r="A47" s="1" t="s">
        <v>3</v>
      </c>
      <c r="B47" s="1" t="s">
        <v>51</v>
      </c>
      <c r="C47" s="1" t="s">
        <v>53</v>
      </c>
    </row>
    <row r="48" spans="1:3" x14ac:dyDescent="0.25">
      <c r="A48" s="1" t="s">
        <v>3</v>
      </c>
      <c r="B48" s="1" t="s">
        <v>51</v>
      </c>
      <c r="C48" s="1" t="s">
        <v>54</v>
      </c>
    </row>
    <row r="49" spans="1:3" x14ac:dyDescent="0.25">
      <c r="A49" s="1" t="s">
        <v>3</v>
      </c>
      <c r="B49" s="1" t="s">
        <v>51</v>
      </c>
      <c r="C49" s="1" t="s">
        <v>55</v>
      </c>
    </row>
    <row r="50" spans="1:3" x14ac:dyDescent="0.25">
      <c r="A50" s="1" t="s">
        <v>3</v>
      </c>
      <c r="B50" s="1" t="s">
        <v>51</v>
      </c>
      <c r="C50" s="1" t="s">
        <v>56</v>
      </c>
    </row>
    <row r="51" spans="1:3" x14ac:dyDescent="0.25">
      <c r="A51" s="1" t="s">
        <v>3</v>
      </c>
      <c r="B51" s="1" t="s">
        <v>57</v>
      </c>
      <c r="C51" s="1" t="s">
        <v>58</v>
      </c>
    </row>
    <row r="52" spans="1:3" x14ac:dyDescent="0.25">
      <c r="A52" s="1" t="s">
        <v>3</v>
      </c>
      <c r="B52" s="1" t="s">
        <v>57</v>
      </c>
      <c r="C52" s="1" t="s">
        <v>59</v>
      </c>
    </row>
    <row r="53" spans="1:3" x14ac:dyDescent="0.25">
      <c r="A53" s="1" t="s">
        <v>3</v>
      </c>
      <c r="B53" s="1" t="s">
        <v>57</v>
      </c>
      <c r="C53" s="1" t="s">
        <v>60</v>
      </c>
    </row>
    <row r="54" spans="1:3" x14ac:dyDescent="0.25">
      <c r="A54" s="1" t="s">
        <v>3</v>
      </c>
      <c r="B54" s="1" t="s">
        <v>57</v>
      </c>
      <c r="C54" s="1" t="s">
        <v>61</v>
      </c>
    </row>
    <row r="55" spans="1:3" x14ac:dyDescent="0.25">
      <c r="A55" s="1" t="s">
        <v>62</v>
      </c>
      <c r="B55" s="1" t="s">
        <v>62</v>
      </c>
      <c r="C55" s="1" t="s">
        <v>63</v>
      </c>
    </row>
    <row r="56" spans="1:3" x14ac:dyDescent="0.25">
      <c r="A56" s="1" t="s">
        <v>62</v>
      </c>
      <c r="B56" s="1" t="s">
        <v>62</v>
      </c>
      <c r="C56" s="1" t="s">
        <v>64</v>
      </c>
    </row>
    <row r="57" spans="1:3" x14ac:dyDescent="0.25">
      <c r="A57" s="1" t="s">
        <v>62</v>
      </c>
      <c r="B57" s="1" t="s">
        <v>65</v>
      </c>
      <c r="C57" s="1" t="s">
        <v>66</v>
      </c>
    </row>
    <row r="58" spans="1:3" x14ac:dyDescent="0.25">
      <c r="A58" s="1" t="s">
        <v>62</v>
      </c>
      <c r="B58" s="1" t="s">
        <v>65</v>
      </c>
      <c r="C58" s="1" t="s">
        <v>67</v>
      </c>
    </row>
    <row r="59" spans="1:3" x14ac:dyDescent="0.25">
      <c r="A59" s="1" t="s">
        <v>68</v>
      </c>
      <c r="B59" s="1" t="s">
        <v>68</v>
      </c>
      <c r="C59" s="1" t="s">
        <v>69</v>
      </c>
    </row>
    <row r="60" spans="1:3" x14ac:dyDescent="0.25">
      <c r="A60" s="1" t="s">
        <v>68</v>
      </c>
      <c r="B60" s="1" t="s">
        <v>68</v>
      </c>
      <c r="C60" s="1" t="s">
        <v>70</v>
      </c>
    </row>
    <row r="61" spans="1:3" x14ac:dyDescent="0.25">
      <c r="A61" s="1" t="s">
        <v>68</v>
      </c>
      <c r="B61" s="1" t="s">
        <v>68</v>
      </c>
      <c r="C61" s="1" t="s">
        <v>71</v>
      </c>
    </row>
    <row r="62" spans="1:3" x14ac:dyDescent="0.25">
      <c r="A62" s="1" t="s">
        <v>68</v>
      </c>
      <c r="B62" s="1" t="s">
        <v>68</v>
      </c>
      <c r="C62" s="1" t="s">
        <v>72</v>
      </c>
    </row>
    <row r="63" spans="1:3" x14ac:dyDescent="0.25">
      <c r="A63" s="1" t="s">
        <v>68</v>
      </c>
      <c r="B63" s="1" t="s">
        <v>68</v>
      </c>
      <c r="C63" s="1" t="s">
        <v>73</v>
      </c>
    </row>
    <row r="64" spans="1:3" x14ac:dyDescent="0.25">
      <c r="A64" s="1" t="s">
        <v>68</v>
      </c>
      <c r="B64" s="1" t="s">
        <v>68</v>
      </c>
      <c r="C64" s="1" t="s">
        <v>74</v>
      </c>
    </row>
    <row r="65" spans="1:3" x14ac:dyDescent="0.25">
      <c r="A65" s="1" t="s">
        <v>68</v>
      </c>
      <c r="B65" s="1" t="s">
        <v>68</v>
      </c>
      <c r="C65" s="1" t="s">
        <v>75</v>
      </c>
    </row>
    <row r="66" spans="1:3" x14ac:dyDescent="0.25">
      <c r="A66" s="1" t="s">
        <v>68</v>
      </c>
      <c r="B66" s="1" t="s">
        <v>68</v>
      </c>
      <c r="C66" s="1" t="s">
        <v>76</v>
      </c>
    </row>
    <row r="67" spans="1:3" x14ac:dyDescent="0.25">
      <c r="A67" s="1" t="s">
        <v>68</v>
      </c>
      <c r="B67" s="1" t="s">
        <v>77</v>
      </c>
      <c r="C67" s="1" t="s">
        <v>78</v>
      </c>
    </row>
    <row r="68" spans="1:3" x14ac:dyDescent="0.25">
      <c r="A68" s="1" t="s">
        <v>68</v>
      </c>
      <c r="B68" s="1" t="s">
        <v>77</v>
      </c>
      <c r="C68" s="1" t="s">
        <v>79</v>
      </c>
    </row>
    <row r="69" spans="1:3" x14ac:dyDescent="0.25">
      <c r="A69" s="1" t="s">
        <v>68</v>
      </c>
      <c r="B69" s="1" t="s">
        <v>77</v>
      </c>
      <c r="C69" s="1" t="s">
        <v>80</v>
      </c>
    </row>
    <row r="70" spans="1:3" x14ac:dyDescent="0.25">
      <c r="A70" s="1" t="s">
        <v>68</v>
      </c>
      <c r="B70" s="1" t="s">
        <v>81</v>
      </c>
      <c r="C70" s="1" t="s">
        <v>82</v>
      </c>
    </row>
    <row r="71" spans="1:3" x14ac:dyDescent="0.25">
      <c r="A71" s="1" t="s">
        <v>68</v>
      </c>
      <c r="B71" s="1" t="s">
        <v>81</v>
      </c>
      <c r="C71" s="1" t="s">
        <v>83</v>
      </c>
    </row>
    <row r="72" spans="1:3" x14ac:dyDescent="0.25">
      <c r="A72" s="1" t="s">
        <v>68</v>
      </c>
      <c r="B72" s="1" t="s">
        <v>84</v>
      </c>
      <c r="C72" s="1" t="s">
        <v>85</v>
      </c>
    </row>
    <row r="73" spans="1:3" x14ac:dyDescent="0.25">
      <c r="A73" s="1" t="s">
        <v>68</v>
      </c>
      <c r="B73" s="1" t="s">
        <v>84</v>
      </c>
      <c r="C73" s="1" t="s">
        <v>86</v>
      </c>
    </row>
    <row r="74" spans="1:3" x14ac:dyDescent="0.25">
      <c r="A74" s="1" t="s">
        <v>68</v>
      </c>
      <c r="B74" s="1" t="s">
        <v>87</v>
      </c>
      <c r="C74" s="1" t="s">
        <v>88</v>
      </c>
    </row>
    <row r="75" spans="1:3" x14ac:dyDescent="0.25">
      <c r="A75" s="1" t="s">
        <v>68</v>
      </c>
      <c r="B75" s="1" t="s">
        <v>87</v>
      </c>
      <c r="C75" s="1" t="s">
        <v>89</v>
      </c>
    </row>
    <row r="76" spans="1:3" x14ac:dyDescent="0.25">
      <c r="A76" s="1" t="s">
        <v>68</v>
      </c>
      <c r="B76" s="1" t="s">
        <v>90</v>
      </c>
      <c r="C76" s="1" t="s">
        <v>91</v>
      </c>
    </row>
    <row r="77" spans="1:3" x14ac:dyDescent="0.25">
      <c r="A77" s="1" t="s">
        <v>68</v>
      </c>
      <c r="B77" s="1" t="s">
        <v>90</v>
      </c>
      <c r="C77" s="1" t="s">
        <v>92</v>
      </c>
    </row>
    <row r="78" spans="1:3" x14ac:dyDescent="0.25">
      <c r="A78" s="1" t="s">
        <v>68</v>
      </c>
      <c r="B78" s="1" t="s">
        <v>93</v>
      </c>
      <c r="C78" s="1" t="s">
        <v>94</v>
      </c>
    </row>
    <row r="79" spans="1:3" x14ac:dyDescent="0.25">
      <c r="A79" s="1" t="s">
        <v>68</v>
      </c>
      <c r="B79" s="1" t="s">
        <v>93</v>
      </c>
      <c r="C79" s="1" t="s">
        <v>95</v>
      </c>
    </row>
    <row r="80" spans="1:3" x14ac:dyDescent="0.25">
      <c r="A80" s="1" t="s">
        <v>68</v>
      </c>
      <c r="B80" s="1" t="s">
        <v>96</v>
      </c>
      <c r="C80" s="1" t="s">
        <v>97</v>
      </c>
    </row>
    <row r="81" spans="1:3" x14ac:dyDescent="0.25">
      <c r="A81" s="1" t="s">
        <v>68</v>
      </c>
      <c r="B81" s="1" t="s">
        <v>96</v>
      </c>
      <c r="C81" s="1" t="s">
        <v>98</v>
      </c>
    </row>
    <row r="82" spans="1:3" x14ac:dyDescent="0.25">
      <c r="A82" s="1" t="s">
        <v>99</v>
      </c>
      <c r="B82" s="1" t="s">
        <v>100</v>
      </c>
      <c r="C82" s="1" t="s">
        <v>101</v>
      </c>
    </row>
    <row r="83" spans="1:3" x14ac:dyDescent="0.25">
      <c r="A83" s="1" t="s">
        <v>99</v>
      </c>
      <c r="B83" s="1" t="s">
        <v>100</v>
      </c>
      <c r="C83" s="1" t="s">
        <v>102</v>
      </c>
    </row>
    <row r="84" spans="1:3" x14ac:dyDescent="0.25">
      <c r="A84" s="1" t="s">
        <v>99</v>
      </c>
      <c r="B84" s="1" t="s">
        <v>100</v>
      </c>
      <c r="C84" s="1" t="s">
        <v>103</v>
      </c>
    </row>
    <row r="85" spans="1:3" x14ac:dyDescent="0.25">
      <c r="A85" s="1" t="s">
        <v>99</v>
      </c>
      <c r="B85" s="1" t="s">
        <v>100</v>
      </c>
      <c r="C85" s="1" t="s">
        <v>104</v>
      </c>
    </row>
    <row r="86" spans="1:3" x14ac:dyDescent="0.25">
      <c r="A86" s="1" t="s">
        <v>99</v>
      </c>
      <c r="B86" s="1" t="s">
        <v>100</v>
      </c>
      <c r="C86" s="1" t="s">
        <v>105</v>
      </c>
    </row>
    <row r="87" spans="1:3" x14ac:dyDescent="0.25">
      <c r="A87" s="1" t="s">
        <v>99</v>
      </c>
      <c r="B87" s="1" t="s">
        <v>100</v>
      </c>
      <c r="C87" s="1" t="s">
        <v>106</v>
      </c>
    </row>
    <row r="88" spans="1:3" x14ac:dyDescent="0.25">
      <c r="A88" s="1" t="s">
        <v>99</v>
      </c>
      <c r="B88" s="1" t="s">
        <v>100</v>
      </c>
      <c r="C88" s="1" t="s">
        <v>107</v>
      </c>
    </row>
    <row r="89" spans="1:3" x14ac:dyDescent="0.25">
      <c r="A89" s="1" t="s">
        <v>99</v>
      </c>
      <c r="B89" s="1" t="s">
        <v>100</v>
      </c>
      <c r="C89" s="1" t="s">
        <v>108</v>
      </c>
    </row>
    <row r="90" spans="1:3" x14ac:dyDescent="0.25">
      <c r="A90" s="1" t="s">
        <v>99</v>
      </c>
      <c r="B90" s="1" t="s">
        <v>100</v>
      </c>
      <c r="C90" s="1" t="s">
        <v>109</v>
      </c>
    </row>
    <row r="91" spans="1:3" x14ac:dyDescent="0.25">
      <c r="A91" s="1" t="s">
        <v>99</v>
      </c>
      <c r="B91" s="1" t="s">
        <v>100</v>
      </c>
      <c r="C91" s="1" t="s">
        <v>110</v>
      </c>
    </row>
    <row r="92" spans="1:3" x14ac:dyDescent="0.25">
      <c r="A92" s="1" t="s">
        <v>99</v>
      </c>
      <c r="B92" s="1" t="s">
        <v>100</v>
      </c>
      <c r="C92" s="1" t="s">
        <v>111</v>
      </c>
    </row>
    <row r="93" spans="1:3" x14ac:dyDescent="0.25">
      <c r="A93" s="1" t="s">
        <v>99</v>
      </c>
      <c r="B93" s="1" t="s">
        <v>100</v>
      </c>
      <c r="C93" s="1" t="s">
        <v>112</v>
      </c>
    </row>
    <row r="94" spans="1:3" x14ac:dyDescent="0.25">
      <c r="A94" s="1" t="s">
        <v>99</v>
      </c>
      <c r="B94" s="1" t="s">
        <v>100</v>
      </c>
      <c r="C94" s="1" t="s">
        <v>113</v>
      </c>
    </row>
    <row r="95" spans="1:3" x14ac:dyDescent="0.25">
      <c r="A95" s="1" t="s">
        <v>99</v>
      </c>
      <c r="B95" s="1" t="s">
        <v>100</v>
      </c>
      <c r="C95" s="1" t="s">
        <v>114</v>
      </c>
    </row>
    <row r="96" spans="1:3" x14ac:dyDescent="0.25">
      <c r="A96" s="1" t="s">
        <v>99</v>
      </c>
      <c r="B96" s="1" t="s">
        <v>100</v>
      </c>
      <c r="C96" s="1" t="s">
        <v>115</v>
      </c>
    </row>
    <row r="97" spans="1:3" x14ac:dyDescent="0.25">
      <c r="A97" s="1" t="s">
        <v>99</v>
      </c>
      <c r="B97" s="1" t="s">
        <v>100</v>
      </c>
      <c r="C97" s="1" t="s">
        <v>116</v>
      </c>
    </row>
    <row r="98" spans="1:3" x14ac:dyDescent="0.25">
      <c r="A98" s="1" t="s">
        <v>117</v>
      </c>
      <c r="B98" s="1" t="s">
        <v>100</v>
      </c>
      <c r="C98" s="1" t="s">
        <v>118</v>
      </c>
    </row>
    <row r="99" spans="1:3" x14ac:dyDescent="0.25">
      <c r="A99" s="1" t="s">
        <v>117</v>
      </c>
      <c r="B99" s="1" t="s">
        <v>100</v>
      </c>
      <c r="C99" s="1" t="s">
        <v>119</v>
      </c>
    </row>
    <row r="100" spans="1:3" x14ac:dyDescent="0.25">
      <c r="A100" s="1" t="s">
        <v>117</v>
      </c>
      <c r="B100" s="1" t="s">
        <v>100</v>
      </c>
      <c r="C100" s="1" t="s">
        <v>120</v>
      </c>
    </row>
    <row r="101" spans="1:3" x14ac:dyDescent="0.25">
      <c r="A101" s="1" t="s">
        <v>117</v>
      </c>
      <c r="B101" s="1" t="s">
        <v>100</v>
      </c>
      <c r="C101" s="1" t="s">
        <v>121</v>
      </c>
    </row>
    <row r="102" spans="1:3" x14ac:dyDescent="0.25">
      <c r="A102" s="1" t="s">
        <v>117</v>
      </c>
      <c r="B102" s="1" t="s">
        <v>100</v>
      </c>
      <c r="C102" s="1" t="s">
        <v>122</v>
      </c>
    </row>
    <row r="103" spans="1:3" x14ac:dyDescent="0.25">
      <c r="A103" s="1" t="s">
        <v>117</v>
      </c>
      <c r="B103" s="1" t="s">
        <v>100</v>
      </c>
      <c r="C103" s="1" t="s">
        <v>123</v>
      </c>
    </row>
    <row r="104" spans="1:3" x14ac:dyDescent="0.25">
      <c r="A104" s="1" t="s">
        <v>117</v>
      </c>
      <c r="B104" s="1" t="s">
        <v>100</v>
      </c>
      <c r="C104" s="1" t="s">
        <v>124</v>
      </c>
    </row>
    <row r="105" spans="1:3" x14ac:dyDescent="0.25">
      <c r="A105" s="1" t="s">
        <v>117</v>
      </c>
      <c r="B105" s="1" t="s">
        <v>100</v>
      </c>
      <c r="C105" s="1" t="s">
        <v>125</v>
      </c>
    </row>
    <row r="106" spans="1:3" x14ac:dyDescent="0.25">
      <c r="A106" s="1" t="s">
        <v>117</v>
      </c>
      <c r="B106" s="1" t="s">
        <v>100</v>
      </c>
      <c r="C106" s="1" t="s">
        <v>126</v>
      </c>
    </row>
    <row r="107" spans="1:3" x14ac:dyDescent="0.25">
      <c r="A107" s="1" t="s">
        <v>117</v>
      </c>
      <c r="B107" s="1" t="s">
        <v>100</v>
      </c>
      <c r="C107" s="1" t="s">
        <v>127</v>
      </c>
    </row>
    <row r="108" spans="1:3" x14ac:dyDescent="0.25">
      <c r="A108" s="1" t="s">
        <v>117</v>
      </c>
      <c r="B108" s="1" t="s">
        <v>100</v>
      </c>
      <c r="C108" s="1" t="s">
        <v>128</v>
      </c>
    </row>
    <row r="109" spans="1:3" x14ac:dyDescent="0.25">
      <c r="A109" s="1" t="s">
        <v>117</v>
      </c>
      <c r="B109" s="1" t="s">
        <v>100</v>
      </c>
      <c r="C109" s="1" t="s">
        <v>129</v>
      </c>
    </row>
    <row r="110" spans="1:3" x14ac:dyDescent="0.25">
      <c r="A110" s="1" t="s">
        <v>117</v>
      </c>
      <c r="B110" s="1" t="s">
        <v>100</v>
      </c>
      <c r="C110" s="1" t="s">
        <v>130</v>
      </c>
    </row>
    <row r="111" spans="1:3" x14ac:dyDescent="0.25">
      <c r="A111" s="1" t="s">
        <v>117</v>
      </c>
      <c r="B111" s="1" t="s">
        <v>100</v>
      </c>
      <c r="C111" s="1" t="s">
        <v>131</v>
      </c>
    </row>
    <row r="112" spans="1:3" x14ac:dyDescent="0.25">
      <c r="A112" s="1" t="s">
        <v>117</v>
      </c>
      <c r="B112" s="1" t="s">
        <v>100</v>
      </c>
      <c r="C112" s="1" t="s">
        <v>132</v>
      </c>
    </row>
    <row r="113" spans="1:3" x14ac:dyDescent="0.25">
      <c r="A113" s="1" t="s">
        <v>117</v>
      </c>
      <c r="B113" s="1" t="s">
        <v>100</v>
      </c>
      <c r="C113" s="1" t="s">
        <v>133</v>
      </c>
    </row>
    <row r="114" spans="1:3" x14ac:dyDescent="0.25">
      <c r="A114" s="1" t="s">
        <v>117</v>
      </c>
      <c r="B114" s="1" t="s">
        <v>100</v>
      </c>
      <c r="C114" s="1" t="s">
        <v>134</v>
      </c>
    </row>
    <row r="115" spans="1:3" x14ac:dyDescent="0.25">
      <c r="A115" s="1" t="s">
        <v>135</v>
      </c>
      <c r="B115" s="1" t="s">
        <v>100</v>
      </c>
      <c r="C115" s="1" t="s">
        <v>136</v>
      </c>
    </row>
    <row r="116" spans="1:3" x14ac:dyDescent="0.25">
      <c r="A116" s="1" t="s">
        <v>135</v>
      </c>
      <c r="B116" s="1" t="s">
        <v>100</v>
      </c>
      <c r="C116" s="1" t="s">
        <v>137</v>
      </c>
    </row>
    <row r="117" spans="1:3" x14ac:dyDescent="0.25">
      <c r="A117" s="1" t="s">
        <v>135</v>
      </c>
      <c r="B117" s="1" t="s">
        <v>100</v>
      </c>
      <c r="C117" s="1" t="s">
        <v>138</v>
      </c>
    </row>
    <row r="118" spans="1:3" x14ac:dyDescent="0.25">
      <c r="A118" s="1" t="s">
        <v>135</v>
      </c>
      <c r="B118" s="1" t="s">
        <v>100</v>
      </c>
      <c r="C118" s="1" t="s">
        <v>139</v>
      </c>
    </row>
    <row r="119" spans="1:3" x14ac:dyDescent="0.25">
      <c r="A119" s="1" t="s">
        <v>135</v>
      </c>
      <c r="B119" s="1" t="s">
        <v>100</v>
      </c>
      <c r="C119" s="1" t="s">
        <v>140</v>
      </c>
    </row>
    <row r="120" spans="1:3" x14ac:dyDescent="0.25">
      <c r="A120" s="1" t="s">
        <v>135</v>
      </c>
      <c r="B120" s="1" t="s">
        <v>100</v>
      </c>
      <c r="C120" s="1" t="s">
        <v>141</v>
      </c>
    </row>
    <row r="121" spans="1:3" x14ac:dyDescent="0.25">
      <c r="A121" s="1" t="s">
        <v>135</v>
      </c>
      <c r="B121" s="1" t="s">
        <v>100</v>
      </c>
      <c r="C121" s="1" t="s">
        <v>26</v>
      </c>
    </row>
    <row r="122" spans="1:3" x14ac:dyDescent="0.25">
      <c r="A122" s="1" t="s">
        <v>135</v>
      </c>
      <c r="B122" s="1" t="s">
        <v>100</v>
      </c>
      <c r="C122" s="1" t="s">
        <v>142</v>
      </c>
    </row>
    <row r="123" spans="1:3" x14ac:dyDescent="0.25">
      <c r="A123" s="1" t="s">
        <v>135</v>
      </c>
      <c r="B123" s="1" t="s">
        <v>100</v>
      </c>
      <c r="C123" s="1" t="s">
        <v>143</v>
      </c>
    </row>
    <row r="124" spans="1:3" x14ac:dyDescent="0.25">
      <c r="A124" s="1" t="s">
        <v>135</v>
      </c>
      <c r="B124" s="1" t="s">
        <v>100</v>
      </c>
      <c r="C124" s="1" t="s">
        <v>144</v>
      </c>
    </row>
    <row r="125" spans="1:3" x14ac:dyDescent="0.25">
      <c r="A125" s="1" t="s">
        <v>135</v>
      </c>
      <c r="B125" s="1" t="s">
        <v>100</v>
      </c>
      <c r="C125" s="1" t="s">
        <v>145</v>
      </c>
    </row>
    <row r="126" spans="1:3" x14ac:dyDescent="0.25">
      <c r="A126" s="1" t="s">
        <v>135</v>
      </c>
      <c r="B126" s="1" t="s">
        <v>100</v>
      </c>
      <c r="C126" s="1" t="s">
        <v>146</v>
      </c>
    </row>
    <row r="127" spans="1:3" x14ac:dyDescent="0.25">
      <c r="A127" s="1" t="s">
        <v>135</v>
      </c>
      <c r="B127" s="1" t="s">
        <v>147</v>
      </c>
      <c r="C127" s="1" t="s">
        <v>148</v>
      </c>
    </row>
    <row r="128" spans="1:3" x14ac:dyDescent="0.25">
      <c r="A128" s="1" t="s">
        <v>135</v>
      </c>
      <c r="B128" s="1" t="s">
        <v>147</v>
      </c>
      <c r="C128" s="1" t="s">
        <v>149</v>
      </c>
    </row>
    <row r="129" spans="1:3" x14ac:dyDescent="0.25">
      <c r="A129" s="1" t="s">
        <v>135</v>
      </c>
      <c r="B129" s="1" t="s">
        <v>147</v>
      </c>
      <c r="C129" s="1" t="s">
        <v>150</v>
      </c>
    </row>
    <row r="130" spans="1:3" x14ac:dyDescent="0.25">
      <c r="A130" s="1" t="s">
        <v>135</v>
      </c>
      <c r="B130" s="1" t="s">
        <v>147</v>
      </c>
      <c r="C130" s="1" t="s">
        <v>151</v>
      </c>
    </row>
    <row r="131" spans="1:3" x14ac:dyDescent="0.25">
      <c r="A131" s="1" t="s">
        <v>135</v>
      </c>
      <c r="B131" s="1" t="s">
        <v>147</v>
      </c>
      <c r="C131" s="1" t="s">
        <v>152</v>
      </c>
    </row>
    <row r="132" spans="1:3" x14ac:dyDescent="0.25">
      <c r="A132" s="1" t="s">
        <v>135</v>
      </c>
      <c r="B132" s="1" t="s">
        <v>147</v>
      </c>
      <c r="C132" s="1" t="s">
        <v>153</v>
      </c>
    </row>
    <row r="133" spans="1:3" x14ac:dyDescent="0.25">
      <c r="A133" s="1" t="s">
        <v>135</v>
      </c>
      <c r="B133" s="1" t="s">
        <v>147</v>
      </c>
      <c r="C133" s="1" t="s">
        <v>154</v>
      </c>
    </row>
    <row r="134" spans="1:3" x14ac:dyDescent="0.25">
      <c r="A134" s="1" t="s">
        <v>155</v>
      </c>
      <c r="B134" s="1" t="s">
        <v>100</v>
      </c>
      <c r="C134" s="1" t="s">
        <v>156</v>
      </c>
    </row>
    <row r="135" spans="1:3" x14ac:dyDescent="0.25">
      <c r="A135" s="1" t="s">
        <v>155</v>
      </c>
      <c r="B135" s="1" t="s">
        <v>100</v>
      </c>
      <c r="C135" s="1" t="s">
        <v>157</v>
      </c>
    </row>
    <row r="136" spans="1:3" x14ac:dyDescent="0.25">
      <c r="A136" s="1" t="s">
        <v>155</v>
      </c>
      <c r="B136" s="1" t="s">
        <v>100</v>
      </c>
      <c r="C136" s="1" t="s">
        <v>158</v>
      </c>
    </row>
    <row r="137" spans="1:3" x14ac:dyDescent="0.25">
      <c r="A137" s="1" t="s">
        <v>155</v>
      </c>
      <c r="B137" s="1" t="s">
        <v>100</v>
      </c>
      <c r="C137" s="1" t="s">
        <v>159</v>
      </c>
    </row>
    <row r="138" spans="1:3" x14ac:dyDescent="0.25">
      <c r="A138" s="1" t="s">
        <v>155</v>
      </c>
      <c r="B138" s="1" t="s">
        <v>100</v>
      </c>
      <c r="C138" s="1" t="s">
        <v>160</v>
      </c>
    </row>
    <row r="139" spans="1:3" x14ac:dyDescent="0.25">
      <c r="A139" s="1" t="s">
        <v>155</v>
      </c>
      <c r="B139" s="1" t="s">
        <v>100</v>
      </c>
      <c r="C139" s="1" t="s">
        <v>161</v>
      </c>
    </row>
    <row r="140" spans="1:3" x14ac:dyDescent="0.25">
      <c r="A140" s="1" t="s">
        <v>155</v>
      </c>
      <c r="B140" s="1" t="s">
        <v>100</v>
      </c>
      <c r="C140" s="1" t="s">
        <v>162</v>
      </c>
    </row>
    <row r="141" spans="1:3" x14ac:dyDescent="0.25">
      <c r="A141" s="1" t="s">
        <v>155</v>
      </c>
      <c r="B141" s="1" t="s">
        <v>100</v>
      </c>
      <c r="C141" s="1" t="s">
        <v>163</v>
      </c>
    </row>
    <row r="142" spans="1:3" x14ac:dyDescent="0.25">
      <c r="A142" s="1" t="s">
        <v>155</v>
      </c>
      <c r="B142" s="1" t="s">
        <v>100</v>
      </c>
      <c r="C142" s="1" t="s">
        <v>164</v>
      </c>
    </row>
    <row r="143" spans="1:3" x14ac:dyDescent="0.25">
      <c r="A143" s="1" t="s">
        <v>155</v>
      </c>
      <c r="B143" s="1" t="s">
        <v>100</v>
      </c>
      <c r="C143" s="1" t="s">
        <v>165</v>
      </c>
    </row>
    <row r="144" spans="1:3" x14ac:dyDescent="0.25">
      <c r="A144" s="1" t="s">
        <v>155</v>
      </c>
      <c r="B144" s="1" t="s">
        <v>100</v>
      </c>
      <c r="C144" s="1" t="s">
        <v>166</v>
      </c>
    </row>
    <row r="145" spans="1:3" x14ac:dyDescent="0.25">
      <c r="A145" s="1" t="s">
        <v>155</v>
      </c>
      <c r="B145" s="1" t="s">
        <v>100</v>
      </c>
      <c r="C145" s="1" t="s">
        <v>167</v>
      </c>
    </row>
    <row r="146" spans="1:3" x14ac:dyDescent="0.25">
      <c r="A146" s="1" t="s">
        <v>155</v>
      </c>
      <c r="B146" s="1" t="s">
        <v>100</v>
      </c>
      <c r="C146" s="1" t="s">
        <v>168</v>
      </c>
    </row>
    <row r="147" spans="1:3" x14ac:dyDescent="0.25">
      <c r="A147" s="1" t="s">
        <v>155</v>
      </c>
      <c r="B147" s="1" t="s">
        <v>100</v>
      </c>
      <c r="C147" s="1" t="s">
        <v>169</v>
      </c>
    </row>
    <row r="148" spans="1:3" x14ac:dyDescent="0.25">
      <c r="A148" s="1" t="s">
        <v>155</v>
      </c>
      <c r="B148" s="1" t="s">
        <v>100</v>
      </c>
      <c r="C148" s="1" t="s">
        <v>170</v>
      </c>
    </row>
    <row r="149" spans="1:3" x14ac:dyDescent="0.25">
      <c r="A149" s="1" t="s">
        <v>155</v>
      </c>
      <c r="B149" s="1" t="s">
        <v>100</v>
      </c>
      <c r="C149" s="1" t="s">
        <v>171</v>
      </c>
    </row>
    <row r="150" spans="1:3" x14ac:dyDescent="0.25">
      <c r="A150" s="1" t="s">
        <v>155</v>
      </c>
      <c r="B150" s="1" t="s">
        <v>100</v>
      </c>
      <c r="C150" s="1" t="s">
        <v>172</v>
      </c>
    </row>
    <row r="151" spans="1:3" x14ac:dyDescent="0.25">
      <c r="A151" s="1" t="s">
        <v>155</v>
      </c>
      <c r="B151" s="1" t="s">
        <v>100</v>
      </c>
      <c r="C151" s="1" t="s">
        <v>173</v>
      </c>
    </row>
    <row r="152" spans="1:3" x14ac:dyDescent="0.25">
      <c r="A152" s="1" t="s">
        <v>174</v>
      </c>
      <c r="B152" s="1" t="s">
        <v>100</v>
      </c>
      <c r="C152" s="1" t="s">
        <v>175</v>
      </c>
    </row>
    <row r="153" spans="1:3" x14ac:dyDescent="0.25">
      <c r="A153" s="1" t="s">
        <v>174</v>
      </c>
      <c r="B153" s="1" t="s">
        <v>100</v>
      </c>
      <c r="C153" s="1" t="s">
        <v>176</v>
      </c>
    </row>
    <row r="154" spans="1:3" x14ac:dyDescent="0.25">
      <c r="A154" s="1" t="s">
        <v>174</v>
      </c>
      <c r="B154" s="1" t="s">
        <v>100</v>
      </c>
      <c r="C154" s="1" t="s">
        <v>177</v>
      </c>
    </row>
    <row r="155" spans="1:3" x14ac:dyDescent="0.25">
      <c r="A155" s="1" t="s">
        <v>174</v>
      </c>
      <c r="B155" s="1" t="s">
        <v>100</v>
      </c>
      <c r="C155" s="1" t="s">
        <v>178</v>
      </c>
    </row>
    <row r="156" spans="1:3" x14ac:dyDescent="0.25">
      <c r="A156" s="1" t="s">
        <v>174</v>
      </c>
      <c r="B156" s="1" t="s">
        <v>100</v>
      </c>
      <c r="C156" s="1" t="s">
        <v>179</v>
      </c>
    </row>
    <row r="157" spans="1:3" x14ac:dyDescent="0.25">
      <c r="A157" s="1" t="s">
        <v>174</v>
      </c>
      <c r="B157" s="1" t="s">
        <v>100</v>
      </c>
      <c r="C157" s="1" t="s">
        <v>180</v>
      </c>
    </row>
    <row r="158" spans="1:3" x14ac:dyDescent="0.25">
      <c r="A158" s="1" t="s">
        <v>174</v>
      </c>
      <c r="B158" s="1" t="s">
        <v>100</v>
      </c>
      <c r="C158" s="1" t="s">
        <v>181</v>
      </c>
    </row>
    <row r="159" spans="1:3" x14ac:dyDescent="0.25">
      <c r="A159" s="1" t="s">
        <v>174</v>
      </c>
      <c r="B159" s="1" t="s">
        <v>100</v>
      </c>
      <c r="C159" s="1" t="s">
        <v>182</v>
      </c>
    </row>
    <row r="160" spans="1:3" x14ac:dyDescent="0.25">
      <c r="A160" s="1" t="s">
        <v>174</v>
      </c>
      <c r="B160" s="1" t="s">
        <v>100</v>
      </c>
      <c r="C160" s="1" t="s">
        <v>183</v>
      </c>
    </row>
    <row r="161" spans="1:3" x14ac:dyDescent="0.25">
      <c r="A161" s="1" t="s">
        <v>174</v>
      </c>
      <c r="B161" s="1" t="s">
        <v>100</v>
      </c>
      <c r="C161" s="1" t="s">
        <v>184</v>
      </c>
    </row>
    <row r="162" spans="1:3" x14ac:dyDescent="0.25">
      <c r="A162" s="1" t="s">
        <v>174</v>
      </c>
      <c r="B162" s="1" t="s">
        <v>100</v>
      </c>
      <c r="C162" s="1" t="s">
        <v>185</v>
      </c>
    </row>
    <row r="163" spans="1:3" x14ac:dyDescent="0.25">
      <c r="A163" s="1" t="s">
        <v>174</v>
      </c>
      <c r="B163" s="1" t="s">
        <v>100</v>
      </c>
      <c r="C163" s="1" t="s">
        <v>186</v>
      </c>
    </row>
    <row r="164" spans="1:3" x14ac:dyDescent="0.25">
      <c r="A164" s="1" t="s">
        <v>174</v>
      </c>
      <c r="B164" s="1" t="s">
        <v>100</v>
      </c>
      <c r="C164" s="1" t="s">
        <v>187</v>
      </c>
    </row>
    <row r="165" spans="1:3" x14ac:dyDescent="0.25">
      <c r="A165" s="1" t="s">
        <v>174</v>
      </c>
      <c r="B165" s="1" t="s">
        <v>100</v>
      </c>
      <c r="C165" s="1" t="s">
        <v>188</v>
      </c>
    </row>
    <row r="166" spans="1:3" x14ac:dyDescent="0.25">
      <c r="A166" s="1" t="s">
        <v>174</v>
      </c>
      <c r="B166" s="1" t="s">
        <v>100</v>
      </c>
      <c r="C166" s="1" t="s">
        <v>189</v>
      </c>
    </row>
    <row r="167" spans="1:3" x14ac:dyDescent="0.25">
      <c r="A167" s="1" t="s">
        <v>174</v>
      </c>
      <c r="B167" s="1" t="s">
        <v>100</v>
      </c>
      <c r="C167" s="1" t="s">
        <v>190</v>
      </c>
    </row>
    <row r="168" spans="1:3" x14ac:dyDescent="0.25">
      <c r="A168" s="1" t="s">
        <v>174</v>
      </c>
      <c r="B168" s="1" t="s">
        <v>100</v>
      </c>
      <c r="C168" s="1" t="s">
        <v>191</v>
      </c>
    </row>
    <row r="169" spans="1:3" x14ac:dyDescent="0.25">
      <c r="A169" s="1" t="s">
        <v>192</v>
      </c>
      <c r="B169" s="1" t="s">
        <v>147</v>
      </c>
      <c r="C169" s="1" t="s">
        <v>193</v>
      </c>
    </row>
    <row r="170" spans="1:3" x14ac:dyDescent="0.25">
      <c r="A170" s="1" t="s">
        <v>192</v>
      </c>
      <c r="B170" s="1" t="s">
        <v>147</v>
      </c>
      <c r="C170" s="1" t="s">
        <v>194</v>
      </c>
    </row>
    <row r="171" spans="1:3" x14ac:dyDescent="0.25">
      <c r="A171" s="1" t="s">
        <v>192</v>
      </c>
      <c r="B171" s="1" t="s">
        <v>147</v>
      </c>
      <c r="C171" s="1" t="s">
        <v>195</v>
      </c>
    </row>
    <row r="172" spans="1:3" x14ac:dyDescent="0.25">
      <c r="A172" s="1" t="s">
        <v>192</v>
      </c>
      <c r="B172" s="1" t="s">
        <v>147</v>
      </c>
      <c r="C172" s="1" t="s">
        <v>196</v>
      </c>
    </row>
    <row r="173" spans="1:3" x14ac:dyDescent="0.25">
      <c r="A173" s="1" t="s">
        <v>192</v>
      </c>
      <c r="B173" s="1" t="s">
        <v>147</v>
      </c>
      <c r="C173" s="1" t="s">
        <v>197</v>
      </c>
    </row>
    <row r="174" spans="1:3" x14ac:dyDescent="0.25">
      <c r="A174" s="1" t="s">
        <v>192</v>
      </c>
      <c r="B174" s="1" t="s">
        <v>147</v>
      </c>
      <c r="C174" s="1" t="s">
        <v>198</v>
      </c>
    </row>
    <row r="175" spans="1:3" x14ac:dyDescent="0.25">
      <c r="A175" s="1" t="s">
        <v>192</v>
      </c>
      <c r="B175" s="1" t="s">
        <v>147</v>
      </c>
      <c r="C175" s="1" t="s">
        <v>199</v>
      </c>
    </row>
    <row r="176" spans="1:3" x14ac:dyDescent="0.25">
      <c r="A176" s="1" t="s">
        <v>192</v>
      </c>
      <c r="B176" s="1" t="s">
        <v>147</v>
      </c>
      <c r="C176" s="1" t="s">
        <v>200</v>
      </c>
    </row>
    <row r="177" spans="1:3" x14ac:dyDescent="0.25">
      <c r="A177" s="1" t="s">
        <v>192</v>
      </c>
      <c r="B177" s="1" t="s">
        <v>147</v>
      </c>
      <c r="C177" s="1" t="s">
        <v>201</v>
      </c>
    </row>
    <row r="178" spans="1:3" x14ac:dyDescent="0.25">
      <c r="A178" s="1" t="s">
        <v>192</v>
      </c>
      <c r="B178" s="1" t="s">
        <v>147</v>
      </c>
      <c r="C178" s="1" t="s">
        <v>202</v>
      </c>
    </row>
    <row r="179" spans="1:3" x14ac:dyDescent="0.25">
      <c r="A179" s="1" t="s">
        <v>192</v>
      </c>
      <c r="B179" s="1" t="s">
        <v>147</v>
      </c>
      <c r="C179" s="1" t="s">
        <v>203</v>
      </c>
    </row>
    <row r="180" spans="1:3" x14ac:dyDescent="0.25">
      <c r="A180" s="1" t="s">
        <v>192</v>
      </c>
      <c r="B180" s="1" t="s">
        <v>147</v>
      </c>
      <c r="C180" s="1" t="s">
        <v>204</v>
      </c>
    </row>
    <row r="181" spans="1:3" x14ac:dyDescent="0.25">
      <c r="A181" s="1" t="s">
        <v>192</v>
      </c>
      <c r="B181" s="1" t="s">
        <v>147</v>
      </c>
      <c r="C181" s="1" t="s">
        <v>205</v>
      </c>
    </row>
    <row r="182" spans="1:3" x14ac:dyDescent="0.25">
      <c r="A182" s="1" t="s">
        <v>192</v>
      </c>
      <c r="B182" s="1" t="s">
        <v>147</v>
      </c>
      <c r="C182" s="1" t="s">
        <v>206</v>
      </c>
    </row>
    <row r="183" spans="1:3" x14ac:dyDescent="0.25">
      <c r="A183" s="1" t="s">
        <v>192</v>
      </c>
      <c r="B183" s="1" t="s">
        <v>147</v>
      </c>
      <c r="C183" s="1" t="s">
        <v>207</v>
      </c>
    </row>
    <row r="184" spans="1:3" x14ac:dyDescent="0.25">
      <c r="A184" s="1" t="s">
        <v>192</v>
      </c>
      <c r="B184" s="1" t="s">
        <v>147</v>
      </c>
      <c r="C184" s="1" t="s">
        <v>208</v>
      </c>
    </row>
    <row r="185" spans="1:3" x14ac:dyDescent="0.25">
      <c r="A185" s="1" t="s">
        <v>192</v>
      </c>
      <c r="B185" s="1" t="s">
        <v>147</v>
      </c>
      <c r="C185" s="1" t="s">
        <v>209</v>
      </c>
    </row>
    <row r="186" spans="1:3" x14ac:dyDescent="0.25">
      <c r="A186" s="1" t="s">
        <v>192</v>
      </c>
      <c r="B186" s="1" t="s">
        <v>147</v>
      </c>
      <c r="C186" s="1" t="s">
        <v>210</v>
      </c>
    </row>
    <row r="187" spans="1:3" x14ac:dyDescent="0.25">
      <c r="A187" s="1" t="s">
        <v>192</v>
      </c>
      <c r="B187" s="1" t="s">
        <v>147</v>
      </c>
      <c r="C187" s="1" t="s">
        <v>211</v>
      </c>
    </row>
    <row r="188" spans="1:3" x14ac:dyDescent="0.25">
      <c r="A188" s="1" t="s">
        <v>192</v>
      </c>
      <c r="B188" s="1" t="s">
        <v>147</v>
      </c>
      <c r="C188" s="1" t="s">
        <v>212</v>
      </c>
    </row>
    <row r="189" spans="1:3" x14ac:dyDescent="0.25">
      <c r="A189" s="1" t="s">
        <v>192</v>
      </c>
      <c r="B189" s="1" t="s">
        <v>147</v>
      </c>
      <c r="C189" s="1" t="s">
        <v>213</v>
      </c>
    </row>
    <row r="190" spans="1:3" x14ac:dyDescent="0.25">
      <c r="A190" s="1" t="s">
        <v>192</v>
      </c>
      <c r="B190" s="1" t="s">
        <v>214</v>
      </c>
      <c r="C190" s="1" t="s">
        <v>215</v>
      </c>
    </row>
    <row r="191" spans="1:3" x14ac:dyDescent="0.25">
      <c r="A191" s="1" t="s">
        <v>192</v>
      </c>
      <c r="B191" s="1" t="s">
        <v>214</v>
      </c>
      <c r="C191" s="1" t="s">
        <v>216</v>
      </c>
    </row>
    <row r="192" spans="1:3" x14ac:dyDescent="0.25">
      <c r="A192" s="1" t="s">
        <v>192</v>
      </c>
      <c r="B192" s="1" t="s">
        <v>214</v>
      </c>
      <c r="C192" s="1" t="s">
        <v>217</v>
      </c>
    </row>
    <row r="193" spans="1:3" x14ac:dyDescent="0.25">
      <c r="A193" s="1" t="s">
        <v>218</v>
      </c>
      <c r="B193" s="1" t="s">
        <v>147</v>
      </c>
      <c r="C193" s="1" t="s">
        <v>219</v>
      </c>
    </row>
    <row r="194" spans="1:3" x14ac:dyDescent="0.25">
      <c r="A194" s="1" t="s">
        <v>218</v>
      </c>
      <c r="B194" s="1" t="s">
        <v>147</v>
      </c>
      <c r="C194" s="1" t="s">
        <v>220</v>
      </c>
    </row>
    <row r="195" spans="1:3" x14ac:dyDescent="0.25">
      <c r="A195" s="1" t="s">
        <v>218</v>
      </c>
      <c r="B195" s="1" t="s">
        <v>147</v>
      </c>
      <c r="C195" s="1" t="s">
        <v>221</v>
      </c>
    </row>
    <row r="196" spans="1:3" x14ac:dyDescent="0.25">
      <c r="A196" s="1" t="s">
        <v>218</v>
      </c>
      <c r="B196" s="1" t="s">
        <v>147</v>
      </c>
      <c r="C196" s="1" t="s">
        <v>222</v>
      </c>
    </row>
    <row r="197" spans="1:3" x14ac:dyDescent="0.25">
      <c r="A197" s="1" t="s">
        <v>218</v>
      </c>
      <c r="B197" s="1" t="s">
        <v>147</v>
      </c>
      <c r="C197" s="1" t="s">
        <v>223</v>
      </c>
    </row>
    <row r="198" spans="1:3" x14ac:dyDescent="0.25">
      <c r="A198" s="1" t="s">
        <v>218</v>
      </c>
      <c r="B198" s="1" t="s">
        <v>147</v>
      </c>
      <c r="C198" s="1" t="s">
        <v>224</v>
      </c>
    </row>
    <row r="199" spans="1:3" x14ac:dyDescent="0.25">
      <c r="A199" s="1" t="s">
        <v>218</v>
      </c>
      <c r="B199" s="1" t="s">
        <v>147</v>
      </c>
      <c r="C199" s="1" t="s">
        <v>225</v>
      </c>
    </row>
    <row r="200" spans="1:3" x14ac:dyDescent="0.25">
      <c r="A200" s="1" t="s">
        <v>218</v>
      </c>
      <c r="B200" s="1" t="s">
        <v>214</v>
      </c>
      <c r="C200" s="1" t="s">
        <v>226</v>
      </c>
    </row>
    <row r="201" spans="1:3" x14ac:dyDescent="0.25">
      <c r="A201" s="1" t="s">
        <v>218</v>
      </c>
      <c r="B201" s="1" t="s">
        <v>214</v>
      </c>
      <c r="C201" s="1" t="s">
        <v>227</v>
      </c>
    </row>
    <row r="202" spans="1:3" x14ac:dyDescent="0.25">
      <c r="A202" s="1" t="s">
        <v>218</v>
      </c>
      <c r="B202" s="1" t="s">
        <v>214</v>
      </c>
      <c r="C202" s="1" t="s">
        <v>228</v>
      </c>
    </row>
    <row r="203" spans="1:3" x14ac:dyDescent="0.25">
      <c r="A203" s="1" t="s">
        <v>218</v>
      </c>
      <c r="B203" s="1" t="s">
        <v>214</v>
      </c>
      <c r="C203" s="1" t="s">
        <v>229</v>
      </c>
    </row>
    <row r="204" spans="1:3" x14ac:dyDescent="0.25">
      <c r="A204" s="1" t="s">
        <v>218</v>
      </c>
      <c r="B204" s="1" t="s">
        <v>214</v>
      </c>
      <c r="C204" s="1" t="s">
        <v>230</v>
      </c>
    </row>
    <row r="205" spans="1:3" x14ac:dyDescent="0.25">
      <c r="A205" s="1" t="s">
        <v>218</v>
      </c>
      <c r="B205" s="1" t="s">
        <v>214</v>
      </c>
      <c r="C205" s="1" t="s">
        <v>231</v>
      </c>
    </row>
    <row r="206" spans="1:3" x14ac:dyDescent="0.25">
      <c r="A206" s="1" t="s">
        <v>218</v>
      </c>
      <c r="B206" s="1" t="s">
        <v>214</v>
      </c>
      <c r="C206" s="1" t="s">
        <v>232</v>
      </c>
    </row>
    <row r="207" spans="1:3" x14ac:dyDescent="0.25">
      <c r="A207" s="1" t="s">
        <v>218</v>
      </c>
      <c r="B207" s="1" t="s">
        <v>214</v>
      </c>
      <c r="C207" s="1" t="s">
        <v>233</v>
      </c>
    </row>
    <row r="208" spans="1:3" x14ac:dyDescent="0.25">
      <c r="A208" s="1" t="s">
        <v>218</v>
      </c>
      <c r="B208" s="1" t="s">
        <v>214</v>
      </c>
      <c r="C208" s="1" t="s">
        <v>234</v>
      </c>
    </row>
    <row r="209" spans="1:3" x14ac:dyDescent="0.25">
      <c r="A209" s="1" t="s">
        <v>218</v>
      </c>
      <c r="B209" s="1" t="s">
        <v>214</v>
      </c>
      <c r="C209" s="1" t="s">
        <v>235</v>
      </c>
    </row>
    <row r="210" spans="1:3" x14ac:dyDescent="0.25">
      <c r="A210" s="1" t="s">
        <v>218</v>
      </c>
      <c r="B210" s="1" t="s">
        <v>214</v>
      </c>
      <c r="C210" s="1" t="s">
        <v>236</v>
      </c>
    </row>
    <row r="211" spans="1:3" x14ac:dyDescent="0.25">
      <c r="A211" s="1" t="s">
        <v>218</v>
      </c>
      <c r="B211" s="1" t="s">
        <v>214</v>
      </c>
      <c r="C211" s="1" t="s">
        <v>237</v>
      </c>
    </row>
    <row r="212" spans="1:3" x14ac:dyDescent="0.25">
      <c r="A212" s="1" t="s">
        <v>218</v>
      </c>
      <c r="B212" s="1" t="s">
        <v>214</v>
      </c>
      <c r="C212" s="1" t="s">
        <v>238</v>
      </c>
    </row>
    <row r="213" spans="1:3" x14ac:dyDescent="0.25">
      <c r="A213" s="1" t="s">
        <v>218</v>
      </c>
      <c r="B213" s="1" t="s">
        <v>214</v>
      </c>
      <c r="C213" s="1" t="s">
        <v>239</v>
      </c>
    </row>
    <row r="214" spans="1:3" x14ac:dyDescent="0.25">
      <c r="A214" s="1" t="s">
        <v>218</v>
      </c>
      <c r="B214" s="1" t="s">
        <v>214</v>
      </c>
      <c r="C214" s="1" t="s">
        <v>240</v>
      </c>
    </row>
    <row r="215" spans="1:3" x14ac:dyDescent="0.25">
      <c r="A215" s="1" t="s">
        <v>218</v>
      </c>
      <c r="B215" s="1" t="s">
        <v>214</v>
      </c>
      <c r="C215" s="1" t="s">
        <v>241</v>
      </c>
    </row>
    <row r="216" spans="1:3" x14ac:dyDescent="0.25">
      <c r="A216" s="1" t="s">
        <v>242</v>
      </c>
      <c r="B216" s="1" t="s">
        <v>147</v>
      </c>
      <c r="C216" s="1" t="s">
        <v>243</v>
      </c>
    </row>
    <row r="217" spans="1:3" x14ac:dyDescent="0.25">
      <c r="A217" s="1" t="s">
        <v>242</v>
      </c>
      <c r="B217" s="1" t="s">
        <v>147</v>
      </c>
      <c r="C217" s="1" t="s">
        <v>244</v>
      </c>
    </row>
    <row r="218" spans="1:3" x14ac:dyDescent="0.25">
      <c r="A218" s="1" t="s">
        <v>242</v>
      </c>
      <c r="B218" s="1" t="s">
        <v>147</v>
      </c>
      <c r="C218" s="1" t="s">
        <v>245</v>
      </c>
    </row>
    <row r="219" spans="1:3" x14ac:dyDescent="0.25">
      <c r="A219" s="1" t="s">
        <v>242</v>
      </c>
      <c r="B219" s="1" t="s">
        <v>147</v>
      </c>
      <c r="C219" s="1" t="s">
        <v>246</v>
      </c>
    </row>
    <row r="220" spans="1:3" x14ac:dyDescent="0.25">
      <c r="A220" s="1" t="s">
        <v>242</v>
      </c>
      <c r="B220" s="1" t="s">
        <v>147</v>
      </c>
      <c r="C220" s="1" t="s">
        <v>247</v>
      </c>
    </row>
    <row r="221" spans="1:3" x14ac:dyDescent="0.25">
      <c r="A221" s="1" t="s">
        <v>242</v>
      </c>
      <c r="B221" s="1" t="s">
        <v>147</v>
      </c>
      <c r="C221" s="1" t="s">
        <v>248</v>
      </c>
    </row>
    <row r="222" spans="1:3" x14ac:dyDescent="0.25">
      <c r="A222" s="1" t="s">
        <v>242</v>
      </c>
      <c r="B222" s="1" t="s">
        <v>147</v>
      </c>
      <c r="C222" s="1" t="s">
        <v>249</v>
      </c>
    </row>
    <row r="223" spans="1:3" x14ac:dyDescent="0.25">
      <c r="A223" s="1" t="s">
        <v>242</v>
      </c>
      <c r="B223" s="1" t="s">
        <v>147</v>
      </c>
      <c r="C223" s="1" t="s">
        <v>250</v>
      </c>
    </row>
    <row r="224" spans="1:3" x14ac:dyDescent="0.25">
      <c r="A224" s="1" t="s">
        <v>242</v>
      </c>
      <c r="B224" s="1" t="s">
        <v>147</v>
      </c>
      <c r="C224" s="1" t="s">
        <v>251</v>
      </c>
    </row>
    <row r="225" spans="1:3" x14ac:dyDescent="0.25">
      <c r="A225" s="1" t="s">
        <v>242</v>
      </c>
      <c r="B225" s="1" t="s">
        <v>147</v>
      </c>
      <c r="C225" s="1" t="s">
        <v>252</v>
      </c>
    </row>
    <row r="226" spans="1:3" x14ac:dyDescent="0.25">
      <c r="A226" s="1" t="s">
        <v>242</v>
      </c>
      <c r="B226" s="1" t="s">
        <v>147</v>
      </c>
      <c r="C226" s="1" t="s">
        <v>253</v>
      </c>
    </row>
    <row r="227" spans="1:3" x14ac:dyDescent="0.25">
      <c r="A227" s="1" t="s">
        <v>242</v>
      </c>
      <c r="B227" s="1" t="s">
        <v>147</v>
      </c>
      <c r="C227" s="1" t="s">
        <v>254</v>
      </c>
    </row>
    <row r="228" spans="1:3" x14ac:dyDescent="0.25">
      <c r="A228" s="1" t="s">
        <v>242</v>
      </c>
      <c r="B228" s="1" t="s">
        <v>147</v>
      </c>
      <c r="C228" s="1" t="s">
        <v>255</v>
      </c>
    </row>
    <row r="229" spans="1:3" x14ac:dyDescent="0.25">
      <c r="A229" s="1" t="s">
        <v>242</v>
      </c>
      <c r="B229" s="1" t="s">
        <v>147</v>
      </c>
      <c r="C229" s="1" t="s">
        <v>256</v>
      </c>
    </row>
    <row r="230" spans="1:3" x14ac:dyDescent="0.25">
      <c r="A230" s="1" t="s">
        <v>242</v>
      </c>
      <c r="B230" s="1" t="s">
        <v>147</v>
      </c>
      <c r="C230" s="1" t="s">
        <v>257</v>
      </c>
    </row>
    <row r="231" spans="1:3" x14ac:dyDescent="0.25">
      <c r="A231" s="1" t="s">
        <v>242</v>
      </c>
      <c r="B231" s="1" t="s">
        <v>147</v>
      </c>
      <c r="C231" s="1" t="s">
        <v>258</v>
      </c>
    </row>
    <row r="232" spans="1:3" x14ac:dyDescent="0.25">
      <c r="A232" s="1" t="s">
        <v>242</v>
      </c>
      <c r="B232" s="1" t="s">
        <v>147</v>
      </c>
      <c r="C232" s="1" t="s">
        <v>259</v>
      </c>
    </row>
    <row r="233" spans="1:3" x14ac:dyDescent="0.25">
      <c r="A233" s="1" t="s">
        <v>242</v>
      </c>
      <c r="B233" s="1" t="s">
        <v>147</v>
      </c>
      <c r="C233" s="1" t="s">
        <v>260</v>
      </c>
    </row>
    <row r="234" spans="1:3" x14ac:dyDescent="0.25">
      <c r="A234" s="1" t="s">
        <v>242</v>
      </c>
      <c r="B234" s="1" t="s">
        <v>147</v>
      </c>
      <c r="C234" s="1" t="s">
        <v>261</v>
      </c>
    </row>
    <row r="235" spans="1:3" x14ac:dyDescent="0.25">
      <c r="A235" s="1" t="s">
        <v>242</v>
      </c>
      <c r="B235" s="1" t="s">
        <v>147</v>
      </c>
      <c r="C235" s="1" t="s">
        <v>262</v>
      </c>
    </row>
    <row r="236" spans="1:3" x14ac:dyDescent="0.25">
      <c r="A236" s="1" t="s">
        <v>242</v>
      </c>
      <c r="B236" s="1" t="s">
        <v>147</v>
      </c>
      <c r="C236" s="1" t="s">
        <v>263</v>
      </c>
    </row>
    <row r="237" spans="1:3" x14ac:dyDescent="0.25">
      <c r="A237" s="1" t="s">
        <v>264</v>
      </c>
      <c r="B237" s="1" t="s">
        <v>147</v>
      </c>
      <c r="C237" s="1" t="s">
        <v>265</v>
      </c>
    </row>
    <row r="238" spans="1:3" x14ac:dyDescent="0.25">
      <c r="A238" s="1" t="s">
        <v>264</v>
      </c>
      <c r="B238" s="1" t="s">
        <v>147</v>
      </c>
      <c r="C238" s="1" t="s">
        <v>266</v>
      </c>
    </row>
    <row r="239" spans="1:3" x14ac:dyDescent="0.25">
      <c r="A239" s="1" t="s">
        <v>264</v>
      </c>
      <c r="B239" s="1" t="s">
        <v>147</v>
      </c>
      <c r="C239" s="1" t="s">
        <v>267</v>
      </c>
    </row>
    <row r="240" spans="1:3" x14ac:dyDescent="0.25">
      <c r="A240" s="1" t="s">
        <v>264</v>
      </c>
      <c r="B240" s="1" t="s">
        <v>147</v>
      </c>
      <c r="C240" s="1" t="s">
        <v>268</v>
      </c>
    </row>
    <row r="241" spans="1:3" x14ac:dyDescent="0.25">
      <c r="A241" s="1" t="s">
        <v>264</v>
      </c>
      <c r="B241" s="1" t="s">
        <v>147</v>
      </c>
      <c r="C241" s="1" t="s">
        <v>269</v>
      </c>
    </row>
    <row r="242" spans="1:3" x14ac:dyDescent="0.25">
      <c r="A242" s="1" t="s">
        <v>264</v>
      </c>
      <c r="B242" s="1" t="s">
        <v>147</v>
      </c>
      <c r="C242" s="1" t="s">
        <v>270</v>
      </c>
    </row>
    <row r="243" spans="1:3" x14ac:dyDescent="0.25">
      <c r="A243" s="1" t="s">
        <v>264</v>
      </c>
      <c r="B243" s="1" t="s">
        <v>147</v>
      </c>
      <c r="C243" s="1" t="s">
        <v>271</v>
      </c>
    </row>
    <row r="244" spans="1:3" x14ac:dyDescent="0.25">
      <c r="A244" s="1" t="s">
        <v>264</v>
      </c>
      <c r="B244" s="1" t="s">
        <v>147</v>
      </c>
      <c r="C244" s="1" t="s">
        <v>272</v>
      </c>
    </row>
    <row r="245" spans="1:3" x14ac:dyDescent="0.25">
      <c r="A245" s="1" t="s">
        <v>264</v>
      </c>
      <c r="B245" s="1" t="s">
        <v>147</v>
      </c>
      <c r="C245" s="1" t="s">
        <v>273</v>
      </c>
    </row>
    <row r="246" spans="1:3" x14ac:dyDescent="0.25">
      <c r="A246" s="1" t="s">
        <v>264</v>
      </c>
      <c r="B246" s="1" t="s">
        <v>147</v>
      </c>
      <c r="C246" s="1" t="s">
        <v>274</v>
      </c>
    </row>
    <row r="247" spans="1:3" x14ac:dyDescent="0.25">
      <c r="A247" s="1" t="s">
        <v>264</v>
      </c>
      <c r="B247" s="1" t="s">
        <v>147</v>
      </c>
      <c r="C247" s="1" t="s">
        <v>275</v>
      </c>
    </row>
    <row r="248" spans="1:3" x14ac:dyDescent="0.25">
      <c r="A248" s="1" t="s">
        <v>264</v>
      </c>
      <c r="B248" s="1" t="s">
        <v>147</v>
      </c>
      <c r="C248" s="1" t="s">
        <v>276</v>
      </c>
    </row>
    <row r="249" spans="1:3" x14ac:dyDescent="0.25">
      <c r="A249" s="1" t="s">
        <v>264</v>
      </c>
      <c r="B249" s="1" t="s">
        <v>147</v>
      </c>
      <c r="C249" s="1" t="s">
        <v>277</v>
      </c>
    </row>
    <row r="250" spans="1:3" x14ac:dyDescent="0.25">
      <c r="A250" s="1" t="s">
        <v>264</v>
      </c>
      <c r="B250" s="1" t="s">
        <v>147</v>
      </c>
      <c r="C250" s="1" t="s">
        <v>278</v>
      </c>
    </row>
    <row r="251" spans="1:3" x14ac:dyDescent="0.25">
      <c r="A251" s="1" t="s">
        <v>264</v>
      </c>
      <c r="B251" s="1" t="s">
        <v>147</v>
      </c>
      <c r="C251" s="1" t="s">
        <v>279</v>
      </c>
    </row>
    <row r="252" spans="1:3" x14ac:dyDescent="0.25">
      <c r="A252" s="1" t="s">
        <v>264</v>
      </c>
      <c r="B252" s="1" t="s">
        <v>147</v>
      </c>
      <c r="C252" s="1" t="s">
        <v>280</v>
      </c>
    </row>
    <row r="253" spans="1:3" x14ac:dyDescent="0.25">
      <c r="A253" s="1" t="s">
        <v>264</v>
      </c>
      <c r="B253" s="1" t="s">
        <v>147</v>
      </c>
      <c r="C253" s="1" t="s">
        <v>281</v>
      </c>
    </row>
    <row r="254" spans="1:3" x14ac:dyDescent="0.25">
      <c r="A254" s="1" t="s">
        <v>264</v>
      </c>
      <c r="B254" s="1" t="s">
        <v>147</v>
      </c>
      <c r="C254" s="1" t="s">
        <v>282</v>
      </c>
    </row>
    <row r="255" spans="1:3" x14ac:dyDescent="0.25">
      <c r="A255" s="1" t="s">
        <v>264</v>
      </c>
      <c r="B255" s="1" t="s">
        <v>147</v>
      </c>
      <c r="C255" s="1" t="s">
        <v>212</v>
      </c>
    </row>
    <row r="256" spans="1:3" x14ac:dyDescent="0.25">
      <c r="A256" s="1" t="s">
        <v>264</v>
      </c>
      <c r="B256" s="1" t="s">
        <v>147</v>
      </c>
      <c r="C256" s="1" t="s">
        <v>283</v>
      </c>
    </row>
    <row r="257" spans="1:3" x14ac:dyDescent="0.25">
      <c r="A257" s="1" t="s">
        <v>264</v>
      </c>
      <c r="B257" s="1" t="s">
        <v>147</v>
      </c>
      <c r="C257" s="1" t="s">
        <v>284</v>
      </c>
    </row>
    <row r="258" spans="1:3" x14ac:dyDescent="0.25">
      <c r="A258" s="1" t="s">
        <v>285</v>
      </c>
      <c r="B258" s="1" t="s">
        <v>147</v>
      </c>
      <c r="C258" s="1" t="s">
        <v>286</v>
      </c>
    </row>
    <row r="259" spans="1:3" x14ac:dyDescent="0.25">
      <c r="A259" s="1" t="s">
        <v>287</v>
      </c>
      <c r="B259" s="1" t="s">
        <v>147</v>
      </c>
      <c r="C259" s="1" t="s">
        <v>288</v>
      </c>
    </row>
    <row r="260" spans="1:3" x14ac:dyDescent="0.25">
      <c r="A260" s="1" t="s">
        <v>287</v>
      </c>
      <c r="B260" s="1" t="s">
        <v>147</v>
      </c>
      <c r="C260" s="1" t="s">
        <v>289</v>
      </c>
    </row>
    <row r="261" spans="1:3" x14ac:dyDescent="0.25">
      <c r="A261" s="1" t="s">
        <v>287</v>
      </c>
      <c r="B261" s="1" t="s">
        <v>147</v>
      </c>
      <c r="C261" s="1" t="s">
        <v>290</v>
      </c>
    </row>
    <row r="262" spans="1:3" x14ac:dyDescent="0.25">
      <c r="A262" s="1" t="s">
        <v>287</v>
      </c>
      <c r="B262" s="1" t="s">
        <v>147</v>
      </c>
      <c r="C262" s="1" t="s">
        <v>291</v>
      </c>
    </row>
    <row r="263" spans="1:3" x14ac:dyDescent="0.25">
      <c r="A263" s="1" t="s">
        <v>287</v>
      </c>
      <c r="B263" s="1" t="s">
        <v>147</v>
      </c>
      <c r="C263" s="1" t="s">
        <v>292</v>
      </c>
    </row>
    <row r="264" spans="1:3" x14ac:dyDescent="0.25">
      <c r="A264" s="1" t="s">
        <v>287</v>
      </c>
      <c r="B264" s="1" t="s">
        <v>147</v>
      </c>
      <c r="C264" s="1" t="s">
        <v>293</v>
      </c>
    </row>
    <row r="265" spans="1:3" x14ac:dyDescent="0.25">
      <c r="A265" s="1" t="s">
        <v>287</v>
      </c>
      <c r="B265" s="1" t="s">
        <v>147</v>
      </c>
      <c r="C265" s="1" t="s">
        <v>294</v>
      </c>
    </row>
    <row r="266" spans="1:3" x14ac:dyDescent="0.25">
      <c r="A266" s="1" t="s">
        <v>287</v>
      </c>
      <c r="B266" s="1" t="s">
        <v>147</v>
      </c>
      <c r="C266" s="1" t="s">
        <v>295</v>
      </c>
    </row>
    <row r="267" spans="1:3" x14ac:dyDescent="0.25">
      <c r="A267" s="1" t="s">
        <v>287</v>
      </c>
      <c r="B267" s="1" t="s">
        <v>147</v>
      </c>
      <c r="C267" s="1" t="s">
        <v>296</v>
      </c>
    </row>
    <row r="268" spans="1:3" x14ac:dyDescent="0.25">
      <c r="A268" s="1" t="s">
        <v>287</v>
      </c>
      <c r="B268" s="1" t="s">
        <v>147</v>
      </c>
      <c r="C268" s="1" t="s">
        <v>297</v>
      </c>
    </row>
    <row r="269" spans="1:3" x14ac:dyDescent="0.25">
      <c r="A269" s="1" t="s">
        <v>287</v>
      </c>
      <c r="B269" s="1" t="s">
        <v>147</v>
      </c>
      <c r="C269" s="1" t="s">
        <v>298</v>
      </c>
    </row>
    <row r="270" spans="1:3" x14ac:dyDescent="0.25">
      <c r="A270" s="1" t="s">
        <v>287</v>
      </c>
      <c r="B270" s="1" t="s">
        <v>147</v>
      </c>
      <c r="C270" s="1" t="s">
        <v>299</v>
      </c>
    </row>
    <row r="271" spans="1:3" x14ac:dyDescent="0.25">
      <c r="A271" s="1" t="s">
        <v>287</v>
      </c>
      <c r="B271" s="1" t="s">
        <v>147</v>
      </c>
      <c r="C271" s="1" t="s">
        <v>300</v>
      </c>
    </row>
    <row r="272" spans="1:3" x14ac:dyDescent="0.25">
      <c r="A272" s="1" t="s">
        <v>287</v>
      </c>
      <c r="B272" s="1" t="s">
        <v>147</v>
      </c>
      <c r="C272" s="1" t="s">
        <v>301</v>
      </c>
    </row>
    <row r="273" spans="1:3" x14ac:dyDescent="0.25">
      <c r="A273" s="1" t="s">
        <v>287</v>
      </c>
      <c r="B273" s="1" t="s">
        <v>147</v>
      </c>
      <c r="C273" s="1" t="s">
        <v>302</v>
      </c>
    </row>
    <row r="274" spans="1:3" x14ac:dyDescent="0.25">
      <c r="A274" s="1" t="s">
        <v>287</v>
      </c>
      <c r="B274" s="1" t="s">
        <v>147</v>
      </c>
      <c r="C274" s="1" t="s">
        <v>303</v>
      </c>
    </row>
    <row r="275" spans="1:3" x14ac:dyDescent="0.25">
      <c r="A275" s="1" t="s">
        <v>287</v>
      </c>
      <c r="B275" s="1" t="s">
        <v>147</v>
      </c>
      <c r="C275" s="1" t="s">
        <v>304</v>
      </c>
    </row>
    <row r="276" spans="1:3" x14ac:dyDescent="0.25">
      <c r="A276" s="1" t="s">
        <v>287</v>
      </c>
      <c r="B276" s="1" t="s">
        <v>147</v>
      </c>
      <c r="C276" s="1" t="s">
        <v>305</v>
      </c>
    </row>
    <row r="277" spans="1:3" x14ac:dyDescent="0.25">
      <c r="A277" s="1" t="s">
        <v>287</v>
      </c>
      <c r="B277" s="1" t="s">
        <v>147</v>
      </c>
      <c r="C277" s="1" t="s">
        <v>306</v>
      </c>
    </row>
    <row r="278" spans="1:3" x14ac:dyDescent="0.25">
      <c r="A278" s="1" t="s">
        <v>287</v>
      </c>
      <c r="B278" s="1" t="s">
        <v>147</v>
      </c>
      <c r="C278" s="1" t="s">
        <v>307</v>
      </c>
    </row>
    <row r="279" spans="1:3" x14ac:dyDescent="0.25">
      <c r="A279" s="1" t="s">
        <v>287</v>
      </c>
      <c r="B279" s="1" t="s">
        <v>147</v>
      </c>
      <c r="C279" s="1" t="s">
        <v>308</v>
      </c>
    </row>
    <row r="280" spans="1:3" x14ac:dyDescent="0.25">
      <c r="A280" s="1" t="s">
        <v>287</v>
      </c>
      <c r="B280" s="1" t="s">
        <v>147</v>
      </c>
      <c r="C280" s="1" t="s">
        <v>309</v>
      </c>
    </row>
    <row r="281" spans="1:3" x14ac:dyDescent="0.25">
      <c r="A281" s="1" t="s">
        <v>310</v>
      </c>
      <c r="B281" s="1" t="s">
        <v>147</v>
      </c>
      <c r="C281" s="1" t="s">
        <v>311</v>
      </c>
    </row>
    <row r="282" spans="1:3" x14ac:dyDescent="0.25">
      <c r="A282" s="1" t="s">
        <v>310</v>
      </c>
      <c r="B282" s="1" t="s">
        <v>147</v>
      </c>
      <c r="C282" s="1" t="s">
        <v>312</v>
      </c>
    </row>
    <row r="283" spans="1:3" x14ac:dyDescent="0.25">
      <c r="A283" s="1" t="s">
        <v>310</v>
      </c>
      <c r="B283" s="1" t="s">
        <v>147</v>
      </c>
      <c r="C283" s="1" t="s">
        <v>313</v>
      </c>
    </row>
    <row r="284" spans="1:3" x14ac:dyDescent="0.25">
      <c r="A284" s="1" t="s">
        <v>310</v>
      </c>
      <c r="B284" s="1" t="s">
        <v>147</v>
      </c>
      <c r="C284" s="1" t="s">
        <v>314</v>
      </c>
    </row>
    <row r="285" spans="1:3" x14ac:dyDescent="0.25">
      <c r="A285" s="1" t="s">
        <v>310</v>
      </c>
      <c r="B285" s="1" t="s">
        <v>147</v>
      </c>
      <c r="C285" s="1" t="s">
        <v>315</v>
      </c>
    </row>
    <row r="286" spans="1:3" x14ac:dyDescent="0.25">
      <c r="A286" s="1" t="s">
        <v>310</v>
      </c>
      <c r="B286" s="1" t="s">
        <v>147</v>
      </c>
      <c r="C286" s="1" t="s">
        <v>316</v>
      </c>
    </row>
    <row r="287" spans="1:3" x14ac:dyDescent="0.25">
      <c r="A287" s="1" t="s">
        <v>310</v>
      </c>
      <c r="B287" s="1" t="s">
        <v>147</v>
      </c>
      <c r="C287" s="1" t="s">
        <v>317</v>
      </c>
    </row>
    <row r="288" spans="1:3" x14ac:dyDescent="0.25">
      <c r="A288" s="1" t="s">
        <v>310</v>
      </c>
      <c r="B288" s="1" t="s">
        <v>147</v>
      </c>
      <c r="C288" s="1" t="s">
        <v>318</v>
      </c>
    </row>
    <row r="289" spans="1:3" x14ac:dyDescent="0.25">
      <c r="A289" s="1" t="s">
        <v>310</v>
      </c>
      <c r="B289" s="1" t="s">
        <v>147</v>
      </c>
      <c r="C289" s="1" t="s">
        <v>319</v>
      </c>
    </row>
    <row r="290" spans="1:3" x14ac:dyDescent="0.25">
      <c r="A290" s="1" t="s">
        <v>310</v>
      </c>
      <c r="B290" s="1" t="s">
        <v>147</v>
      </c>
      <c r="C290" s="1" t="s">
        <v>320</v>
      </c>
    </row>
    <row r="291" spans="1:3" x14ac:dyDescent="0.25">
      <c r="A291" s="1" t="s">
        <v>310</v>
      </c>
      <c r="B291" s="1" t="s">
        <v>147</v>
      </c>
      <c r="C291" s="1" t="s">
        <v>321</v>
      </c>
    </row>
    <row r="292" spans="1:3" x14ac:dyDescent="0.25">
      <c r="A292" s="1" t="s">
        <v>310</v>
      </c>
      <c r="B292" s="1" t="s">
        <v>147</v>
      </c>
      <c r="C292" s="1" t="s">
        <v>322</v>
      </c>
    </row>
    <row r="293" spans="1:3" x14ac:dyDescent="0.25">
      <c r="A293" s="1" t="s">
        <v>310</v>
      </c>
      <c r="B293" s="1" t="s">
        <v>147</v>
      </c>
      <c r="C293" s="1" t="s">
        <v>323</v>
      </c>
    </row>
    <row r="294" spans="1:3" x14ac:dyDescent="0.25">
      <c r="A294" s="1" t="s">
        <v>310</v>
      </c>
      <c r="B294" s="1" t="s">
        <v>147</v>
      </c>
      <c r="C294" s="1" t="s">
        <v>324</v>
      </c>
    </row>
    <row r="295" spans="1:3" x14ac:dyDescent="0.25">
      <c r="A295" s="1" t="s">
        <v>310</v>
      </c>
      <c r="B295" s="1" t="s">
        <v>147</v>
      </c>
      <c r="C295" s="1" t="s">
        <v>325</v>
      </c>
    </row>
    <row r="296" spans="1:3" x14ac:dyDescent="0.25">
      <c r="A296" s="1" t="s">
        <v>310</v>
      </c>
      <c r="B296" s="1" t="s">
        <v>147</v>
      </c>
      <c r="C296" s="1" t="s">
        <v>326</v>
      </c>
    </row>
    <row r="297" spans="1:3" x14ac:dyDescent="0.25">
      <c r="A297" s="1" t="s">
        <v>310</v>
      </c>
      <c r="B297" s="1" t="s">
        <v>147</v>
      </c>
      <c r="C297" s="1" t="s">
        <v>327</v>
      </c>
    </row>
    <row r="298" spans="1:3" x14ac:dyDescent="0.25">
      <c r="A298" s="1" t="s">
        <v>310</v>
      </c>
      <c r="B298" s="1" t="s">
        <v>147</v>
      </c>
      <c r="C298" s="1" t="s">
        <v>328</v>
      </c>
    </row>
    <row r="299" spans="1:3" x14ac:dyDescent="0.25">
      <c r="A299" s="1" t="s">
        <v>310</v>
      </c>
      <c r="B299" s="1" t="s">
        <v>147</v>
      </c>
      <c r="C299" s="1" t="s">
        <v>329</v>
      </c>
    </row>
    <row r="300" spans="1:3" x14ac:dyDescent="0.25">
      <c r="A300" s="1" t="s">
        <v>310</v>
      </c>
      <c r="B300" s="1" t="s">
        <v>147</v>
      </c>
      <c r="C300" s="1" t="s">
        <v>330</v>
      </c>
    </row>
    <row r="301" spans="1:3" x14ac:dyDescent="0.25">
      <c r="A301" s="1" t="s">
        <v>310</v>
      </c>
      <c r="B301" s="1" t="s">
        <v>147</v>
      </c>
      <c r="C301" s="1" t="s">
        <v>331</v>
      </c>
    </row>
    <row r="302" spans="1:3" x14ac:dyDescent="0.25">
      <c r="A302" s="1" t="s">
        <v>332</v>
      </c>
      <c r="B302" s="1" t="s">
        <v>100</v>
      </c>
      <c r="C302" s="1" t="s">
        <v>333</v>
      </c>
    </row>
    <row r="303" spans="1:3" x14ac:dyDescent="0.25">
      <c r="A303" s="1" t="s">
        <v>332</v>
      </c>
      <c r="B303" s="1" t="s">
        <v>100</v>
      </c>
      <c r="C303" s="1" t="s">
        <v>334</v>
      </c>
    </row>
    <row r="304" spans="1:3" x14ac:dyDescent="0.25">
      <c r="A304" s="1" t="s">
        <v>332</v>
      </c>
      <c r="B304" s="1" t="s">
        <v>100</v>
      </c>
      <c r="C304" s="1" t="s">
        <v>335</v>
      </c>
    </row>
    <row r="305" spans="1:3" x14ac:dyDescent="0.25">
      <c r="A305" s="1" t="s">
        <v>332</v>
      </c>
      <c r="B305" s="1" t="s">
        <v>100</v>
      </c>
      <c r="C305" s="1" t="s">
        <v>336</v>
      </c>
    </row>
    <row r="306" spans="1:3" x14ac:dyDescent="0.25">
      <c r="A306" s="1" t="s">
        <v>332</v>
      </c>
      <c r="B306" s="1" t="s">
        <v>100</v>
      </c>
      <c r="C306" s="1" t="s">
        <v>337</v>
      </c>
    </row>
    <row r="307" spans="1:3" x14ac:dyDescent="0.25">
      <c r="A307" s="1" t="s">
        <v>332</v>
      </c>
      <c r="B307" s="1" t="s">
        <v>147</v>
      </c>
      <c r="C307" s="1" t="s">
        <v>338</v>
      </c>
    </row>
    <row r="308" spans="1:3" x14ac:dyDescent="0.25">
      <c r="A308" s="1" t="s">
        <v>332</v>
      </c>
      <c r="B308" s="1" t="s">
        <v>147</v>
      </c>
      <c r="C308" s="1" t="s">
        <v>339</v>
      </c>
    </row>
    <row r="309" spans="1:3" x14ac:dyDescent="0.25">
      <c r="A309" s="1" t="s">
        <v>332</v>
      </c>
      <c r="B309" s="1" t="s">
        <v>147</v>
      </c>
      <c r="C309" s="1" t="s">
        <v>340</v>
      </c>
    </row>
    <row r="310" spans="1:3" x14ac:dyDescent="0.25">
      <c r="A310" s="1" t="s">
        <v>332</v>
      </c>
      <c r="B310" s="1" t="s">
        <v>147</v>
      </c>
      <c r="C310" s="1" t="s">
        <v>341</v>
      </c>
    </row>
    <row r="311" spans="1:3" x14ac:dyDescent="0.25">
      <c r="A311" s="1" t="s">
        <v>332</v>
      </c>
      <c r="B311" s="1" t="s">
        <v>147</v>
      </c>
      <c r="C311" s="1" t="s">
        <v>342</v>
      </c>
    </row>
    <row r="312" spans="1:3" x14ac:dyDescent="0.25">
      <c r="A312" s="1" t="s">
        <v>332</v>
      </c>
      <c r="B312" s="1" t="s">
        <v>147</v>
      </c>
      <c r="C312" s="1" t="s">
        <v>343</v>
      </c>
    </row>
    <row r="313" spans="1:3" x14ac:dyDescent="0.25">
      <c r="A313" s="1" t="s">
        <v>332</v>
      </c>
      <c r="B313" s="1" t="s">
        <v>147</v>
      </c>
      <c r="C313" s="1" t="s">
        <v>344</v>
      </c>
    </row>
    <row r="314" spans="1:3" x14ac:dyDescent="0.25">
      <c r="A314" s="1" t="s">
        <v>332</v>
      </c>
      <c r="B314" s="1" t="s">
        <v>147</v>
      </c>
      <c r="C314" s="1" t="s">
        <v>345</v>
      </c>
    </row>
    <row r="315" spans="1:3" x14ac:dyDescent="0.25">
      <c r="A315" s="1" t="s">
        <v>332</v>
      </c>
      <c r="B315" s="1" t="s">
        <v>147</v>
      </c>
      <c r="C315" s="1" t="s">
        <v>346</v>
      </c>
    </row>
    <row r="316" spans="1:3" x14ac:dyDescent="0.25">
      <c r="A316" s="1" t="s">
        <v>332</v>
      </c>
      <c r="B316" s="1" t="s">
        <v>147</v>
      </c>
      <c r="C316" s="1" t="s">
        <v>347</v>
      </c>
    </row>
    <row r="317" spans="1:3" x14ac:dyDescent="0.25">
      <c r="A317" s="1" t="s">
        <v>332</v>
      </c>
      <c r="B317" s="1" t="s">
        <v>147</v>
      </c>
      <c r="C317" s="1" t="s">
        <v>348</v>
      </c>
    </row>
    <row r="318" spans="1:3" x14ac:dyDescent="0.25">
      <c r="A318" s="1" t="s">
        <v>332</v>
      </c>
      <c r="B318" s="1" t="s">
        <v>147</v>
      </c>
      <c r="C318" s="1" t="s">
        <v>349</v>
      </c>
    </row>
    <row r="319" spans="1:3" x14ac:dyDescent="0.25">
      <c r="A319" s="1" t="s">
        <v>332</v>
      </c>
      <c r="B319" s="1" t="s">
        <v>147</v>
      </c>
      <c r="C319" s="1" t="s">
        <v>350</v>
      </c>
    </row>
    <row r="320" spans="1:3" x14ac:dyDescent="0.25">
      <c r="A320" s="1" t="s">
        <v>332</v>
      </c>
      <c r="B320" s="1" t="s">
        <v>147</v>
      </c>
      <c r="C320" s="1" t="s">
        <v>351</v>
      </c>
    </row>
    <row r="321" spans="1:3" x14ac:dyDescent="0.25">
      <c r="A321" s="1" t="s">
        <v>285</v>
      </c>
      <c r="B321" s="1" t="s">
        <v>147</v>
      </c>
      <c r="C321" s="1" t="s">
        <v>352</v>
      </c>
    </row>
    <row r="322" spans="1:3" x14ac:dyDescent="0.25">
      <c r="A322" s="1" t="s">
        <v>285</v>
      </c>
      <c r="B322" s="1" t="s">
        <v>147</v>
      </c>
      <c r="C322" s="1" t="s">
        <v>353</v>
      </c>
    </row>
    <row r="323" spans="1:3" x14ac:dyDescent="0.25">
      <c r="A323" s="1" t="s">
        <v>285</v>
      </c>
      <c r="B323" s="1" t="s">
        <v>147</v>
      </c>
      <c r="C323" s="1" t="s">
        <v>354</v>
      </c>
    </row>
    <row r="324" spans="1:3" x14ac:dyDescent="0.25">
      <c r="A324" s="1" t="s">
        <v>285</v>
      </c>
      <c r="B324" s="1" t="s">
        <v>147</v>
      </c>
      <c r="C324" s="1" t="s">
        <v>355</v>
      </c>
    </row>
    <row r="325" spans="1:3" x14ac:dyDescent="0.25">
      <c r="A325" s="1" t="s">
        <v>285</v>
      </c>
      <c r="B325" s="1" t="s">
        <v>147</v>
      </c>
      <c r="C325" s="1" t="s">
        <v>356</v>
      </c>
    </row>
    <row r="326" spans="1:3" x14ac:dyDescent="0.25">
      <c r="A326" s="1" t="s">
        <v>285</v>
      </c>
      <c r="B326" s="1" t="s">
        <v>147</v>
      </c>
      <c r="C326" s="1" t="s">
        <v>357</v>
      </c>
    </row>
    <row r="327" spans="1:3" x14ac:dyDescent="0.25">
      <c r="A327" s="1" t="s">
        <v>285</v>
      </c>
      <c r="B327" s="1" t="s">
        <v>147</v>
      </c>
      <c r="C327" s="1" t="s">
        <v>358</v>
      </c>
    </row>
    <row r="328" spans="1:3" x14ac:dyDescent="0.25">
      <c r="A328" s="1" t="s">
        <v>285</v>
      </c>
      <c r="B328" s="1" t="s">
        <v>147</v>
      </c>
      <c r="C328" s="1" t="s">
        <v>359</v>
      </c>
    </row>
    <row r="329" spans="1:3" x14ac:dyDescent="0.25">
      <c r="A329" s="1" t="s">
        <v>285</v>
      </c>
      <c r="B329" s="1" t="s">
        <v>147</v>
      </c>
      <c r="C329" s="1" t="s">
        <v>360</v>
      </c>
    </row>
    <row r="330" spans="1:3" x14ac:dyDescent="0.25">
      <c r="A330" s="1" t="s">
        <v>285</v>
      </c>
      <c r="B330" s="1" t="s">
        <v>147</v>
      </c>
      <c r="C330" s="1" t="s">
        <v>361</v>
      </c>
    </row>
    <row r="331" spans="1:3" x14ac:dyDescent="0.25">
      <c r="A331" s="1" t="s">
        <v>285</v>
      </c>
      <c r="B331" s="1" t="s">
        <v>147</v>
      </c>
      <c r="C331" s="1" t="s">
        <v>362</v>
      </c>
    </row>
    <row r="332" spans="1:3" x14ac:dyDescent="0.25">
      <c r="A332" s="1" t="s">
        <v>285</v>
      </c>
      <c r="B332" s="1" t="s">
        <v>147</v>
      </c>
      <c r="C332" s="1" t="s">
        <v>363</v>
      </c>
    </row>
    <row r="333" spans="1:3" x14ac:dyDescent="0.25">
      <c r="A333" s="1" t="s">
        <v>285</v>
      </c>
      <c r="B333" s="1" t="s">
        <v>147</v>
      </c>
      <c r="C333" s="1" t="s">
        <v>364</v>
      </c>
    </row>
    <row r="334" spans="1:3" x14ac:dyDescent="0.25">
      <c r="A334" s="1" t="s">
        <v>285</v>
      </c>
      <c r="B334" s="1" t="s">
        <v>147</v>
      </c>
      <c r="C334" s="1" t="s">
        <v>365</v>
      </c>
    </row>
    <row r="335" spans="1:3" x14ac:dyDescent="0.25">
      <c r="A335" s="1" t="s">
        <v>285</v>
      </c>
      <c r="B335" s="1" t="s">
        <v>147</v>
      </c>
      <c r="C335" s="1" t="s">
        <v>366</v>
      </c>
    </row>
    <row r="336" spans="1:3" x14ac:dyDescent="0.25">
      <c r="A336" s="1" t="s">
        <v>285</v>
      </c>
      <c r="B336" s="1" t="s">
        <v>147</v>
      </c>
      <c r="C336" s="1" t="s">
        <v>367</v>
      </c>
    </row>
    <row r="337" spans="1:3" x14ac:dyDescent="0.25">
      <c r="A337" s="1" t="s">
        <v>285</v>
      </c>
      <c r="B337" s="1" t="s">
        <v>147</v>
      </c>
      <c r="C337" s="1" t="s">
        <v>368</v>
      </c>
    </row>
    <row r="338" spans="1:3" x14ac:dyDescent="0.25">
      <c r="A338" s="1" t="s">
        <v>285</v>
      </c>
      <c r="B338" s="1" t="s">
        <v>147</v>
      </c>
      <c r="C338" s="1" t="s">
        <v>369</v>
      </c>
    </row>
    <row r="339" spans="1:3" x14ac:dyDescent="0.25">
      <c r="A339" s="1" t="s">
        <v>285</v>
      </c>
      <c r="B339" s="1" t="s">
        <v>147</v>
      </c>
      <c r="C339" s="1" t="s">
        <v>370</v>
      </c>
    </row>
    <row r="340" spans="1:3" x14ac:dyDescent="0.25">
      <c r="A340" s="1" t="s">
        <v>285</v>
      </c>
      <c r="B340" s="1" t="s">
        <v>147</v>
      </c>
      <c r="C340" s="1" t="s">
        <v>371</v>
      </c>
    </row>
    <row r="341" spans="1:3" x14ac:dyDescent="0.25">
      <c r="A341" s="1" t="s">
        <v>285</v>
      </c>
      <c r="B341" s="1" t="s">
        <v>147</v>
      </c>
      <c r="C341" s="1" t="s">
        <v>372</v>
      </c>
    </row>
    <row r="342" spans="1:3" x14ac:dyDescent="0.25">
      <c r="A342" s="1" t="s">
        <v>285</v>
      </c>
      <c r="B342" s="1" t="s">
        <v>147</v>
      </c>
      <c r="C342" s="1" t="s">
        <v>373</v>
      </c>
    </row>
    <row r="343" spans="1:3" x14ac:dyDescent="0.25">
      <c r="A343" s="1" t="s">
        <v>374</v>
      </c>
      <c r="B343" s="1" t="s">
        <v>147</v>
      </c>
      <c r="C343" s="1" t="s">
        <v>375</v>
      </c>
    </row>
    <row r="344" spans="1:3" x14ac:dyDescent="0.25">
      <c r="A344" s="1" t="s">
        <v>374</v>
      </c>
      <c r="B344" s="1" t="s">
        <v>147</v>
      </c>
      <c r="C344" s="1" t="s">
        <v>376</v>
      </c>
    </row>
    <row r="345" spans="1:3" x14ac:dyDescent="0.25">
      <c r="A345" s="1" t="s">
        <v>374</v>
      </c>
      <c r="B345" s="1" t="s">
        <v>147</v>
      </c>
      <c r="C345" s="1" t="s">
        <v>377</v>
      </c>
    </row>
    <row r="346" spans="1:3" x14ac:dyDescent="0.25">
      <c r="A346" s="1" t="s">
        <v>374</v>
      </c>
      <c r="B346" s="1" t="s">
        <v>147</v>
      </c>
      <c r="C346" s="1" t="s">
        <v>378</v>
      </c>
    </row>
    <row r="347" spans="1:3" x14ac:dyDescent="0.25">
      <c r="A347" s="1" t="s">
        <v>374</v>
      </c>
      <c r="B347" s="1" t="s">
        <v>147</v>
      </c>
      <c r="C347" s="1" t="s">
        <v>379</v>
      </c>
    </row>
    <row r="348" spans="1:3" x14ac:dyDescent="0.25">
      <c r="A348" s="1" t="s">
        <v>374</v>
      </c>
      <c r="B348" s="1" t="s">
        <v>147</v>
      </c>
      <c r="C348" s="1" t="s">
        <v>380</v>
      </c>
    </row>
    <row r="349" spans="1:3" x14ac:dyDescent="0.25">
      <c r="A349" s="1" t="s">
        <v>374</v>
      </c>
      <c r="B349" s="1" t="s">
        <v>147</v>
      </c>
      <c r="C349" s="1" t="s">
        <v>381</v>
      </c>
    </row>
    <row r="350" spans="1:3" x14ac:dyDescent="0.25">
      <c r="A350" s="1" t="s">
        <v>374</v>
      </c>
      <c r="B350" s="1" t="s">
        <v>147</v>
      </c>
      <c r="C350" s="1" t="s">
        <v>382</v>
      </c>
    </row>
    <row r="351" spans="1:3" x14ac:dyDescent="0.25">
      <c r="A351" s="1" t="s">
        <v>374</v>
      </c>
      <c r="B351" s="1" t="s">
        <v>147</v>
      </c>
      <c r="C351" s="1" t="s">
        <v>383</v>
      </c>
    </row>
    <row r="352" spans="1:3" x14ac:dyDescent="0.25">
      <c r="A352" s="1" t="s">
        <v>374</v>
      </c>
      <c r="B352" s="1" t="s">
        <v>147</v>
      </c>
      <c r="C352" s="1" t="s">
        <v>384</v>
      </c>
    </row>
    <row r="353" spans="1:3" x14ac:dyDescent="0.25">
      <c r="A353" s="1" t="s">
        <v>374</v>
      </c>
      <c r="B353" s="1" t="s">
        <v>147</v>
      </c>
      <c r="C353" s="1" t="s">
        <v>385</v>
      </c>
    </row>
    <row r="354" spans="1:3" x14ac:dyDescent="0.25">
      <c r="A354" s="1" t="s">
        <v>374</v>
      </c>
      <c r="B354" s="1" t="s">
        <v>147</v>
      </c>
      <c r="C354" s="1" t="s">
        <v>386</v>
      </c>
    </row>
    <row r="355" spans="1:3" x14ac:dyDescent="0.25">
      <c r="A355" s="1" t="s">
        <v>374</v>
      </c>
      <c r="B355" s="1" t="s">
        <v>147</v>
      </c>
      <c r="C355" s="1" t="s">
        <v>387</v>
      </c>
    </row>
    <row r="356" spans="1:3" x14ac:dyDescent="0.25">
      <c r="A356" s="1" t="s">
        <v>374</v>
      </c>
      <c r="B356" s="1" t="s">
        <v>214</v>
      </c>
      <c r="C356" s="1" t="s">
        <v>388</v>
      </c>
    </row>
    <row r="357" spans="1:3" x14ac:dyDescent="0.25">
      <c r="A357" s="1" t="s">
        <v>374</v>
      </c>
      <c r="B357" s="1" t="s">
        <v>214</v>
      </c>
      <c r="C357" s="1" t="s">
        <v>389</v>
      </c>
    </row>
    <row r="358" spans="1:3" x14ac:dyDescent="0.25">
      <c r="A358" s="1" t="s">
        <v>374</v>
      </c>
      <c r="B358" s="1" t="s">
        <v>214</v>
      </c>
      <c r="C358" s="1" t="s">
        <v>390</v>
      </c>
    </row>
    <row r="359" spans="1:3" x14ac:dyDescent="0.25">
      <c r="A359" s="1" t="s">
        <v>374</v>
      </c>
      <c r="B359" s="1" t="s">
        <v>214</v>
      </c>
      <c r="C359" s="1" t="s">
        <v>391</v>
      </c>
    </row>
    <row r="360" spans="1:3" x14ac:dyDescent="0.25">
      <c r="A360" s="1" t="s">
        <v>374</v>
      </c>
      <c r="B360" s="1" t="s">
        <v>214</v>
      </c>
      <c r="C360" s="1" t="s">
        <v>392</v>
      </c>
    </row>
    <row r="361" spans="1:3" x14ac:dyDescent="0.25">
      <c r="A361" s="1" t="s">
        <v>374</v>
      </c>
      <c r="B361" s="1" t="s">
        <v>214</v>
      </c>
      <c r="C361" s="1" t="s">
        <v>393</v>
      </c>
    </row>
    <row r="362" spans="1:3" x14ac:dyDescent="0.25">
      <c r="A362" s="1" t="s">
        <v>374</v>
      </c>
      <c r="B362" s="1" t="s">
        <v>214</v>
      </c>
      <c r="C362" s="1" t="s">
        <v>394</v>
      </c>
    </row>
    <row r="363" spans="1:3" x14ac:dyDescent="0.25">
      <c r="A363" s="1" t="s">
        <v>374</v>
      </c>
      <c r="B363" s="1" t="s">
        <v>214</v>
      </c>
      <c r="C363" s="1" t="s">
        <v>395</v>
      </c>
    </row>
    <row r="364" spans="1:3" x14ac:dyDescent="0.25">
      <c r="A364" s="1" t="s">
        <v>374</v>
      </c>
      <c r="B364" s="1" t="s">
        <v>214</v>
      </c>
      <c r="C364" s="1" t="s">
        <v>396</v>
      </c>
    </row>
    <row r="365" spans="1:3" x14ac:dyDescent="0.25">
      <c r="A365" s="1" t="s">
        <v>397</v>
      </c>
      <c r="B365" s="1" t="s">
        <v>147</v>
      </c>
      <c r="C365" s="1" t="s">
        <v>398</v>
      </c>
    </row>
    <row r="366" spans="1:3" x14ac:dyDescent="0.25">
      <c r="A366" s="1" t="s">
        <v>397</v>
      </c>
      <c r="B366" s="1" t="s">
        <v>147</v>
      </c>
      <c r="C366" s="1" t="s">
        <v>399</v>
      </c>
    </row>
    <row r="367" spans="1:3" x14ac:dyDescent="0.25">
      <c r="A367" s="1" t="s">
        <v>397</v>
      </c>
      <c r="B367" s="1" t="s">
        <v>147</v>
      </c>
      <c r="C367" s="1" t="s">
        <v>400</v>
      </c>
    </row>
    <row r="368" spans="1:3" x14ac:dyDescent="0.25">
      <c r="A368" s="1" t="s">
        <v>397</v>
      </c>
      <c r="B368" s="1" t="s">
        <v>147</v>
      </c>
      <c r="C368" s="1" t="s">
        <v>401</v>
      </c>
    </row>
    <row r="369" spans="1:3" x14ac:dyDescent="0.25">
      <c r="A369" s="1" t="s">
        <v>397</v>
      </c>
      <c r="B369" s="1" t="s">
        <v>147</v>
      </c>
      <c r="C369" s="1" t="s">
        <v>402</v>
      </c>
    </row>
    <row r="370" spans="1:3" x14ac:dyDescent="0.25">
      <c r="A370" s="1" t="s">
        <v>397</v>
      </c>
      <c r="B370" s="1" t="s">
        <v>147</v>
      </c>
      <c r="C370" s="1" t="s">
        <v>403</v>
      </c>
    </row>
    <row r="371" spans="1:3" x14ac:dyDescent="0.25">
      <c r="A371" s="1" t="s">
        <v>397</v>
      </c>
      <c r="B371" s="1" t="s">
        <v>147</v>
      </c>
      <c r="C371" s="1" t="s">
        <v>404</v>
      </c>
    </row>
    <row r="372" spans="1:3" x14ac:dyDescent="0.25">
      <c r="A372" s="1" t="s">
        <v>397</v>
      </c>
      <c r="B372" s="1" t="s">
        <v>147</v>
      </c>
      <c r="C372" s="1" t="s">
        <v>405</v>
      </c>
    </row>
    <row r="373" spans="1:3" x14ac:dyDescent="0.25">
      <c r="A373" s="1" t="s">
        <v>397</v>
      </c>
      <c r="B373" s="1" t="s">
        <v>147</v>
      </c>
      <c r="C373" s="1" t="s">
        <v>406</v>
      </c>
    </row>
    <row r="374" spans="1:3" x14ac:dyDescent="0.25">
      <c r="A374" s="1" t="s">
        <v>397</v>
      </c>
      <c r="B374" s="1" t="s">
        <v>147</v>
      </c>
      <c r="C374" s="1" t="s">
        <v>407</v>
      </c>
    </row>
    <row r="375" spans="1:3" x14ac:dyDescent="0.25">
      <c r="A375" s="1" t="s">
        <v>397</v>
      </c>
      <c r="B375" s="1" t="s">
        <v>147</v>
      </c>
      <c r="C375" s="1" t="s">
        <v>408</v>
      </c>
    </row>
    <row r="376" spans="1:3" x14ac:dyDescent="0.25">
      <c r="A376" s="1" t="s">
        <v>397</v>
      </c>
      <c r="B376" s="1" t="s">
        <v>147</v>
      </c>
      <c r="C376" s="1" t="s">
        <v>409</v>
      </c>
    </row>
    <row r="377" spans="1:3" x14ac:dyDescent="0.25">
      <c r="A377" s="1" t="s">
        <v>397</v>
      </c>
      <c r="B377" s="1" t="s">
        <v>214</v>
      </c>
      <c r="C377" s="1" t="s">
        <v>410</v>
      </c>
    </row>
    <row r="378" spans="1:3" x14ac:dyDescent="0.25">
      <c r="A378" s="1" t="s">
        <v>397</v>
      </c>
      <c r="B378" s="1" t="s">
        <v>214</v>
      </c>
      <c r="C378" s="1" t="s">
        <v>411</v>
      </c>
    </row>
    <row r="379" spans="1:3" x14ac:dyDescent="0.25">
      <c r="A379" s="1" t="s">
        <v>397</v>
      </c>
      <c r="B379" s="1" t="s">
        <v>214</v>
      </c>
      <c r="C379" s="1" t="s">
        <v>412</v>
      </c>
    </row>
    <row r="380" spans="1:3" x14ac:dyDescent="0.25">
      <c r="A380" s="1" t="s">
        <v>397</v>
      </c>
      <c r="B380" s="1" t="s">
        <v>214</v>
      </c>
      <c r="C380" s="1" t="s">
        <v>413</v>
      </c>
    </row>
    <row r="381" spans="1:3" x14ac:dyDescent="0.25">
      <c r="A381" s="1" t="s">
        <v>397</v>
      </c>
      <c r="B381" s="1" t="s">
        <v>214</v>
      </c>
      <c r="C381" s="1" t="s">
        <v>414</v>
      </c>
    </row>
    <row r="382" spans="1:3" x14ac:dyDescent="0.25">
      <c r="A382" s="1" t="s">
        <v>397</v>
      </c>
      <c r="B382" s="1" t="s">
        <v>214</v>
      </c>
      <c r="C382" s="1" t="s">
        <v>415</v>
      </c>
    </row>
    <row r="383" spans="1:3" x14ac:dyDescent="0.25">
      <c r="A383" s="1" t="s">
        <v>397</v>
      </c>
      <c r="B383" s="1" t="s">
        <v>214</v>
      </c>
      <c r="C383" s="1" t="s">
        <v>416</v>
      </c>
    </row>
    <row r="384" spans="1:3" x14ac:dyDescent="0.25">
      <c r="A384" s="1" t="s">
        <v>397</v>
      </c>
      <c r="B384" s="1" t="s">
        <v>214</v>
      </c>
      <c r="C384" s="1" t="s">
        <v>417</v>
      </c>
    </row>
    <row r="385" spans="1:3" x14ac:dyDescent="0.25">
      <c r="A385" s="1" t="s">
        <v>397</v>
      </c>
      <c r="B385" s="1" t="s">
        <v>214</v>
      </c>
      <c r="C385" s="1" t="s">
        <v>418</v>
      </c>
    </row>
    <row r="386" spans="1:3" x14ac:dyDescent="0.25">
      <c r="A386" s="1" t="s">
        <v>397</v>
      </c>
      <c r="B386" s="1" t="s">
        <v>214</v>
      </c>
      <c r="C386" s="1" t="s">
        <v>419</v>
      </c>
    </row>
    <row r="387" spans="1:3" x14ac:dyDescent="0.25">
      <c r="A387" s="1" t="s">
        <v>420</v>
      </c>
      <c r="B387" s="1" t="s">
        <v>100</v>
      </c>
      <c r="C387" s="1" t="s">
        <v>40</v>
      </c>
    </row>
    <row r="388" spans="1:3" x14ac:dyDescent="0.25">
      <c r="A388" s="1" t="s">
        <v>420</v>
      </c>
      <c r="B388" s="1" t="s">
        <v>420</v>
      </c>
      <c r="C388" s="1" t="s">
        <v>421</v>
      </c>
    </row>
    <row r="389" spans="1:3" x14ac:dyDescent="0.25">
      <c r="A389" s="1" t="s">
        <v>420</v>
      </c>
      <c r="B389" s="1" t="s">
        <v>420</v>
      </c>
      <c r="C389" s="1" t="s">
        <v>422</v>
      </c>
    </row>
    <row r="390" spans="1:3" x14ac:dyDescent="0.25">
      <c r="A390" s="1" t="s">
        <v>420</v>
      </c>
      <c r="B390" s="1" t="s">
        <v>420</v>
      </c>
      <c r="C390" s="1" t="s">
        <v>423</v>
      </c>
    </row>
    <row r="391" spans="1:3" x14ac:dyDescent="0.25">
      <c r="A391" s="1" t="s">
        <v>420</v>
      </c>
      <c r="B391" s="1" t="s">
        <v>420</v>
      </c>
      <c r="C391" s="1" t="s">
        <v>424</v>
      </c>
    </row>
    <row r="392" spans="1:3" x14ac:dyDescent="0.25">
      <c r="A392" s="1" t="s">
        <v>420</v>
      </c>
      <c r="B392" s="1" t="s">
        <v>420</v>
      </c>
      <c r="C392" s="1" t="s">
        <v>425</v>
      </c>
    </row>
    <row r="393" spans="1:3" x14ac:dyDescent="0.25">
      <c r="A393" s="1" t="s">
        <v>420</v>
      </c>
      <c r="B393" s="1" t="s">
        <v>420</v>
      </c>
      <c r="C393" s="1" t="s">
        <v>426</v>
      </c>
    </row>
    <row r="394" spans="1:3" x14ac:dyDescent="0.25">
      <c r="A394" s="1" t="s">
        <v>420</v>
      </c>
      <c r="B394" s="1" t="s">
        <v>420</v>
      </c>
      <c r="C394" s="1" t="s">
        <v>427</v>
      </c>
    </row>
    <row r="395" spans="1:3" x14ac:dyDescent="0.25">
      <c r="A395" s="1" t="s">
        <v>420</v>
      </c>
      <c r="B395" s="1" t="s">
        <v>420</v>
      </c>
      <c r="C395" s="1" t="s">
        <v>428</v>
      </c>
    </row>
    <row r="396" spans="1:3" x14ac:dyDescent="0.25">
      <c r="A396" s="1" t="s">
        <v>420</v>
      </c>
      <c r="B396" s="1" t="s">
        <v>420</v>
      </c>
      <c r="C396" s="1" t="s">
        <v>429</v>
      </c>
    </row>
    <row r="397" spans="1:3" x14ac:dyDescent="0.25">
      <c r="A397" s="1" t="s">
        <v>420</v>
      </c>
      <c r="B397" s="1" t="s">
        <v>420</v>
      </c>
      <c r="C397" s="1" t="s">
        <v>430</v>
      </c>
    </row>
    <row r="398" spans="1:3" x14ac:dyDescent="0.25">
      <c r="A398" s="1" t="s">
        <v>420</v>
      </c>
      <c r="B398" s="1" t="s">
        <v>420</v>
      </c>
      <c r="C398" s="1" t="s">
        <v>431</v>
      </c>
    </row>
    <row r="399" spans="1:3" x14ac:dyDescent="0.25">
      <c r="A399" s="1" t="s">
        <v>420</v>
      </c>
      <c r="B399" s="1" t="s">
        <v>420</v>
      </c>
      <c r="C399" s="1" t="s">
        <v>432</v>
      </c>
    </row>
    <row r="400" spans="1:3" x14ac:dyDescent="0.25">
      <c r="A400" s="1" t="s">
        <v>420</v>
      </c>
      <c r="B400" s="1" t="s">
        <v>420</v>
      </c>
      <c r="C400" s="1" t="s">
        <v>433</v>
      </c>
    </row>
    <row r="401" spans="1:3" x14ac:dyDescent="0.25">
      <c r="A401" s="1" t="s">
        <v>420</v>
      </c>
      <c r="B401" s="1" t="s">
        <v>420</v>
      </c>
      <c r="C401" s="1" t="s">
        <v>434</v>
      </c>
    </row>
    <row r="402" spans="1:3" x14ac:dyDescent="0.25">
      <c r="A402" s="1" t="s">
        <v>420</v>
      </c>
      <c r="B402" s="1" t="s">
        <v>435</v>
      </c>
      <c r="C402" s="1" t="s">
        <v>436</v>
      </c>
    </row>
    <row r="403" spans="1:3" x14ac:dyDescent="0.25">
      <c r="A403" s="1" t="s">
        <v>420</v>
      </c>
      <c r="B403" s="1" t="s">
        <v>435</v>
      </c>
      <c r="C403" s="1" t="s">
        <v>437</v>
      </c>
    </row>
    <row r="404" spans="1:3" x14ac:dyDescent="0.25">
      <c r="A404" s="1" t="s">
        <v>420</v>
      </c>
      <c r="B404" s="1" t="s">
        <v>435</v>
      </c>
      <c r="C404" s="1" t="s">
        <v>438</v>
      </c>
    </row>
    <row r="405" spans="1:3" x14ac:dyDescent="0.25">
      <c r="A405" s="1" t="s">
        <v>420</v>
      </c>
      <c r="B405" s="1" t="s">
        <v>435</v>
      </c>
      <c r="C405" s="1" t="s">
        <v>439</v>
      </c>
    </row>
    <row r="406" spans="1:3" x14ac:dyDescent="0.25">
      <c r="A406" s="1" t="s">
        <v>420</v>
      </c>
      <c r="B406" s="1" t="s">
        <v>435</v>
      </c>
      <c r="C406" s="1" t="s">
        <v>440</v>
      </c>
    </row>
    <row r="407" spans="1:3" x14ac:dyDescent="0.25">
      <c r="A407" s="1" t="s">
        <v>420</v>
      </c>
      <c r="B407" s="1" t="s">
        <v>435</v>
      </c>
      <c r="C407" s="1" t="s">
        <v>441</v>
      </c>
    </row>
    <row r="408" spans="1:3" x14ac:dyDescent="0.25">
      <c r="A408" s="1" t="s">
        <v>420</v>
      </c>
      <c r="B408" s="1" t="s">
        <v>435</v>
      </c>
      <c r="C408" s="1" t="s">
        <v>442</v>
      </c>
    </row>
    <row r="409" spans="1:3" x14ac:dyDescent="0.25">
      <c r="A409" s="1" t="s">
        <v>443</v>
      </c>
      <c r="B409" s="1" t="s">
        <v>444</v>
      </c>
      <c r="C409" s="1" t="s">
        <v>445</v>
      </c>
    </row>
    <row r="410" spans="1:3" x14ac:dyDescent="0.25">
      <c r="A410" s="1" t="s">
        <v>443</v>
      </c>
      <c r="B410" s="1" t="s">
        <v>444</v>
      </c>
      <c r="C410" s="1" t="s">
        <v>446</v>
      </c>
    </row>
    <row r="411" spans="1:3" x14ac:dyDescent="0.25">
      <c r="A411" s="1" t="s">
        <v>443</v>
      </c>
      <c r="B411" s="1" t="s">
        <v>444</v>
      </c>
      <c r="C411" s="1" t="s">
        <v>447</v>
      </c>
    </row>
    <row r="412" spans="1:3" x14ac:dyDescent="0.25">
      <c r="A412" s="1" t="s">
        <v>443</v>
      </c>
      <c r="B412" s="1" t="s">
        <v>444</v>
      </c>
      <c r="C412" s="1" t="s">
        <v>448</v>
      </c>
    </row>
    <row r="413" spans="1:3" x14ac:dyDescent="0.25">
      <c r="A413" s="1" t="s">
        <v>443</v>
      </c>
      <c r="B413" s="1" t="s">
        <v>444</v>
      </c>
      <c r="C413" s="1" t="s">
        <v>449</v>
      </c>
    </row>
    <row r="414" spans="1:3" x14ac:dyDescent="0.25">
      <c r="A414" s="1" t="s">
        <v>443</v>
      </c>
      <c r="B414" s="1" t="s">
        <v>443</v>
      </c>
      <c r="C414" s="1" t="s">
        <v>450</v>
      </c>
    </row>
    <row r="415" spans="1:3" x14ac:dyDescent="0.25">
      <c r="A415" s="1" t="s">
        <v>443</v>
      </c>
      <c r="B415" s="1" t="s">
        <v>443</v>
      </c>
      <c r="C415" s="1" t="s">
        <v>451</v>
      </c>
    </row>
    <row r="416" spans="1:3" x14ac:dyDescent="0.25">
      <c r="A416" s="1" t="s">
        <v>443</v>
      </c>
      <c r="B416" s="1" t="s">
        <v>443</v>
      </c>
      <c r="C416" s="1" t="s">
        <v>452</v>
      </c>
    </row>
    <row r="417" spans="1:3" x14ac:dyDescent="0.25">
      <c r="A417" s="1" t="s">
        <v>443</v>
      </c>
      <c r="B417" s="1" t="s">
        <v>443</v>
      </c>
      <c r="C417" s="1" t="s">
        <v>453</v>
      </c>
    </row>
    <row r="418" spans="1:3" x14ac:dyDescent="0.25">
      <c r="A418" s="1" t="s">
        <v>443</v>
      </c>
      <c r="B418" s="1" t="s">
        <v>443</v>
      </c>
      <c r="C418" s="1" t="s">
        <v>454</v>
      </c>
    </row>
    <row r="419" spans="1:3" x14ac:dyDescent="0.25">
      <c r="A419" s="1" t="s">
        <v>443</v>
      </c>
      <c r="B419" s="1" t="s">
        <v>443</v>
      </c>
      <c r="C419" s="1" t="s">
        <v>455</v>
      </c>
    </row>
    <row r="420" spans="1:3" x14ac:dyDescent="0.25">
      <c r="A420" s="1" t="s">
        <v>443</v>
      </c>
      <c r="B420" s="1" t="s">
        <v>443</v>
      </c>
      <c r="C420" s="1" t="s">
        <v>456</v>
      </c>
    </row>
    <row r="421" spans="1:3" x14ac:dyDescent="0.25">
      <c r="A421" s="1" t="s">
        <v>443</v>
      </c>
      <c r="B421" s="1" t="s">
        <v>443</v>
      </c>
      <c r="C421" s="1" t="s">
        <v>457</v>
      </c>
    </row>
    <row r="422" spans="1:3" x14ac:dyDescent="0.25">
      <c r="A422" s="1" t="s">
        <v>443</v>
      </c>
      <c r="B422" s="1" t="s">
        <v>443</v>
      </c>
      <c r="C422" s="1" t="s">
        <v>458</v>
      </c>
    </row>
    <row r="423" spans="1:3" x14ac:dyDescent="0.25">
      <c r="A423" s="1" t="s">
        <v>443</v>
      </c>
      <c r="B423" s="1" t="s">
        <v>443</v>
      </c>
      <c r="C423" s="1" t="s">
        <v>459</v>
      </c>
    </row>
    <row r="424" spans="1:3" x14ac:dyDescent="0.25">
      <c r="A424" s="1" t="s">
        <v>443</v>
      </c>
      <c r="B424" s="1" t="s">
        <v>443</v>
      </c>
      <c r="C424" s="1" t="s">
        <v>460</v>
      </c>
    </row>
    <row r="425" spans="1:3" x14ac:dyDescent="0.25">
      <c r="A425" s="1" t="s">
        <v>443</v>
      </c>
      <c r="B425" s="1" t="s">
        <v>443</v>
      </c>
      <c r="C425" s="1" t="s">
        <v>461</v>
      </c>
    </row>
    <row r="426" spans="1:3" x14ac:dyDescent="0.25">
      <c r="A426" s="1" t="s">
        <v>443</v>
      </c>
      <c r="B426" s="1" t="s">
        <v>443</v>
      </c>
      <c r="C426" s="1" t="s">
        <v>462</v>
      </c>
    </row>
    <row r="427" spans="1:3" x14ac:dyDescent="0.25">
      <c r="A427" s="1" t="s">
        <v>443</v>
      </c>
      <c r="B427" s="1" t="s">
        <v>443</v>
      </c>
      <c r="C427" s="1" t="s">
        <v>463</v>
      </c>
    </row>
    <row r="428" spans="1:3" x14ac:dyDescent="0.25">
      <c r="A428" s="1" t="s">
        <v>443</v>
      </c>
      <c r="B428" s="1" t="s">
        <v>443</v>
      </c>
      <c r="C428" s="1" t="s">
        <v>464</v>
      </c>
    </row>
    <row r="429" spans="1:3" x14ac:dyDescent="0.25">
      <c r="A429" s="1" t="s">
        <v>443</v>
      </c>
      <c r="B429" s="1" t="s">
        <v>443</v>
      </c>
      <c r="C429" s="1" t="s">
        <v>465</v>
      </c>
    </row>
    <row r="430" spans="1:3" x14ac:dyDescent="0.25">
      <c r="A430" s="1" t="s">
        <v>443</v>
      </c>
      <c r="B430" s="1" t="s">
        <v>443</v>
      </c>
      <c r="C430" s="1" t="s">
        <v>466</v>
      </c>
    </row>
    <row r="431" spans="1:3" x14ac:dyDescent="0.25">
      <c r="A431" s="1" t="s">
        <v>443</v>
      </c>
      <c r="B431" s="1" t="s">
        <v>443</v>
      </c>
      <c r="C431" s="1" t="s">
        <v>467</v>
      </c>
    </row>
    <row r="432" spans="1:3" x14ac:dyDescent="0.25">
      <c r="A432" s="1" t="s">
        <v>443</v>
      </c>
      <c r="B432" s="1" t="s">
        <v>443</v>
      </c>
      <c r="C432" s="1" t="s">
        <v>468</v>
      </c>
    </row>
    <row r="433" spans="1:3" x14ac:dyDescent="0.25">
      <c r="A433" s="1" t="s">
        <v>443</v>
      </c>
      <c r="B433" s="1" t="s">
        <v>443</v>
      </c>
      <c r="C433" s="1" t="s">
        <v>469</v>
      </c>
    </row>
    <row r="434" spans="1:3" x14ac:dyDescent="0.25">
      <c r="A434" s="1" t="s">
        <v>443</v>
      </c>
      <c r="B434" s="1" t="s">
        <v>443</v>
      </c>
      <c r="C434" s="1" t="s">
        <v>470</v>
      </c>
    </row>
    <row r="435" spans="1:3" x14ac:dyDescent="0.25">
      <c r="A435" s="1" t="s">
        <v>443</v>
      </c>
      <c r="B435" s="1" t="s">
        <v>443</v>
      </c>
      <c r="C435" s="1" t="s">
        <v>471</v>
      </c>
    </row>
    <row r="436" spans="1:3" x14ac:dyDescent="0.25">
      <c r="A436" s="1" t="s">
        <v>443</v>
      </c>
      <c r="B436" s="1" t="s">
        <v>443</v>
      </c>
      <c r="C436" s="1" t="s">
        <v>366</v>
      </c>
    </row>
    <row r="437" spans="1:3" x14ac:dyDescent="0.25">
      <c r="A437" s="1" t="s">
        <v>443</v>
      </c>
      <c r="B437" s="1" t="s">
        <v>443</v>
      </c>
      <c r="C437" s="1" t="s">
        <v>472</v>
      </c>
    </row>
    <row r="438" spans="1:3" x14ac:dyDescent="0.25">
      <c r="A438" s="1" t="s">
        <v>443</v>
      </c>
      <c r="B438" s="1" t="s">
        <v>443</v>
      </c>
      <c r="C438" s="1" t="s">
        <v>473</v>
      </c>
    </row>
    <row r="439" spans="1:3" x14ac:dyDescent="0.25">
      <c r="A439" s="1" t="s">
        <v>443</v>
      </c>
      <c r="B439" s="1" t="s">
        <v>443</v>
      </c>
      <c r="C439" s="1" t="s">
        <v>474</v>
      </c>
    </row>
    <row r="440" spans="1:3" x14ac:dyDescent="0.25">
      <c r="A440" s="1" t="s">
        <v>443</v>
      </c>
      <c r="B440" s="1" t="s">
        <v>443</v>
      </c>
      <c r="C440" s="1" t="s">
        <v>475</v>
      </c>
    </row>
    <row r="441" spans="1:3" x14ac:dyDescent="0.25">
      <c r="A441" s="1" t="s">
        <v>443</v>
      </c>
      <c r="B441" s="1" t="s">
        <v>476</v>
      </c>
      <c r="C441" s="1" t="s">
        <v>477</v>
      </c>
    </row>
    <row r="442" spans="1:3" x14ac:dyDescent="0.25">
      <c r="A442" s="1" t="s">
        <v>443</v>
      </c>
      <c r="B442" s="1" t="s">
        <v>476</v>
      </c>
      <c r="C442" s="1" t="s">
        <v>478</v>
      </c>
    </row>
    <row r="443" spans="1:3" x14ac:dyDescent="0.25">
      <c r="A443" s="1" t="s">
        <v>443</v>
      </c>
      <c r="B443" s="1" t="s">
        <v>476</v>
      </c>
      <c r="C443" s="1" t="s">
        <v>479</v>
      </c>
    </row>
    <row r="444" spans="1:3" x14ac:dyDescent="0.25">
      <c r="A444" s="1" t="s">
        <v>443</v>
      </c>
      <c r="B444" s="1" t="s">
        <v>480</v>
      </c>
      <c r="C444" s="1" t="s">
        <v>481</v>
      </c>
    </row>
    <row r="445" spans="1:3" x14ac:dyDescent="0.25">
      <c r="A445" s="1" t="s">
        <v>443</v>
      </c>
      <c r="B445" s="1" t="s">
        <v>480</v>
      </c>
      <c r="C445" s="1" t="s">
        <v>482</v>
      </c>
    </row>
    <row r="446" spans="1:3" x14ac:dyDescent="0.25">
      <c r="A446" s="1" t="s">
        <v>443</v>
      </c>
      <c r="B446" s="1" t="s">
        <v>483</v>
      </c>
      <c r="C446" s="1" t="s">
        <v>484</v>
      </c>
    </row>
    <row r="447" spans="1:3" x14ac:dyDescent="0.25">
      <c r="A447" s="1" t="s">
        <v>443</v>
      </c>
      <c r="B447" s="1" t="s">
        <v>483</v>
      </c>
      <c r="C447" s="1" t="s">
        <v>485</v>
      </c>
    </row>
    <row r="448" spans="1:3" x14ac:dyDescent="0.25">
      <c r="A448" s="1" t="s">
        <v>443</v>
      </c>
      <c r="B448" s="1" t="s">
        <v>483</v>
      </c>
      <c r="C448" s="1" t="s">
        <v>486</v>
      </c>
    </row>
    <row r="449" spans="1:3" x14ac:dyDescent="0.25">
      <c r="A449" s="1" t="s">
        <v>443</v>
      </c>
      <c r="B449" s="1" t="s">
        <v>483</v>
      </c>
      <c r="C449" s="1" t="s">
        <v>487</v>
      </c>
    </row>
    <row r="450" spans="1:3" x14ac:dyDescent="0.25">
      <c r="A450" s="1" t="s">
        <v>443</v>
      </c>
      <c r="B450" s="1" t="s">
        <v>483</v>
      </c>
      <c r="C450" s="1" t="s">
        <v>488</v>
      </c>
    </row>
    <row r="451" spans="1:3" x14ac:dyDescent="0.25">
      <c r="A451" s="1" t="s">
        <v>443</v>
      </c>
      <c r="B451" s="1" t="s">
        <v>483</v>
      </c>
      <c r="C451" s="1" t="s">
        <v>489</v>
      </c>
    </row>
    <row r="452" spans="1:3" x14ac:dyDescent="0.25">
      <c r="A452" s="1" t="s">
        <v>490</v>
      </c>
      <c r="B452" s="1" t="s">
        <v>491</v>
      </c>
      <c r="C452" s="1" t="s">
        <v>492</v>
      </c>
    </row>
    <row r="453" spans="1:3" x14ac:dyDescent="0.25">
      <c r="A453" s="1" t="s">
        <v>490</v>
      </c>
      <c r="B453" s="1" t="s">
        <v>491</v>
      </c>
      <c r="C453" s="1" t="s">
        <v>493</v>
      </c>
    </row>
    <row r="454" spans="1:3" x14ac:dyDescent="0.25">
      <c r="A454" s="1" t="s">
        <v>490</v>
      </c>
      <c r="B454" s="1" t="s">
        <v>494</v>
      </c>
      <c r="C454" s="1" t="s">
        <v>495</v>
      </c>
    </row>
    <row r="455" spans="1:3" x14ac:dyDescent="0.25">
      <c r="A455" s="1" t="s">
        <v>490</v>
      </c>
      <c r="B455" s="1" t="s">
        <v>494</v>
      </c>
      <c r="C455" s="1" t="s">
        <v>496</v>
      </c>
    </row>
    <row r="456" spans="1:3" x14ac:dyDescent="0.25">
      <c r="A456" s="1" t="s">
        <v>490</v>
      </c>
      <c r="B456" s="1" t="s">
        <v>490</v>
      </c>
      <c r="C456" s="1" t="s">
        <v>497</v>
      </c>
    </row>
    <row r="457" spans="1:3" x14ac:dyDescent="0.25">
      <c r="A457" s="1" t="s">
        <v>490</v>
      </c>
      <c r="B457" s="1" t="s">
        <v>490</v>
      </c>
      <c r="C457" s="1" t="s">
        <v>498</v>
      </c>
    </row>
    <row r="458" spans="1:3" x14ac:dyDescent="0.25">
      <c r="A458" s="1" t="s">
        <v>490</v>
      </c>
      <c r="B458" s="1" t="s">
        <v>490</v>
      </c>
      <c r="C458" s="1" t="s">
        <v>499</v>
      </c>
    </row>
    <row r="459" spans="1:3" x14ac:dyDescent="0.25">
      <c r="A459" s="1" t="s">
        <v>490</v>
      </c>
      <c r="B459" s="1" t="s">
        <v>490</v>
      </c>
      <c r="C459" s="1" t="s">
        <v>500</v>
      </c>
    </row>
    <row r="460" spans="1:3" x14ac:dyDescent="0.25">
      <c r="A460" s="1" t="s">
        <v>490</v>
      </c>
      <c r="B460" s="1" t="s">
        <v>490</v>
      </c>
      <c r="C460" s="1" t="s">
        <v>501</v>
      </c>
    </row>
    <row r="461" spans="1:3" x14ac:dyDescent="0.25">
      <c r="A461" s="1" t="s">
        <v>490</v>
      </c>
      <c r="B461" s="1" t="s">
        <v>490</v>
      </c>
      <c r="C461" s="1" t="s">
        <v>502</v>
      </c>
    </row>
    <row r="462" spans="1:3" x14ac:dyDescent="0.25">
      <c r="A462" s="1" t="s">
        <v>490</v>
      </c>
      <c r="B462" s="1" t="s">
        <v>490</v>
      </c>
      <c r="C462" s="1" t="s">
        <v>503</v>
      </c>
    </row>
    <row r="463" spans="1:3" x14ac:dyDescent="0.25">
      <c r="A463" s="1" t="s">
        <v>490</v>
      </c>
      <c r="B463" s="1" t="s">
        <v>490</v>
      </c>
      <c r="C463" s="1" t="s">
        <v>504</v>
      </c>
    </row>
    <row r="464" spans="1:3" x14ac:dyDescent="0.25">
      <c r="A464" s="1" t="s">
        <v>490</v>
      </c>
      <c r="B464" s="1" t="s">
        <v>505</v>
      </c>
      <c r="C464" s="1" t="s">
        <v>506</v>
      </c>
    </row>
    <row r="465" spans="1:3" x14ac:dyDescent="0.25">
      <c r="A465" s="1" t="s">
        <v>490</v>
      </c>
      <c r="B465" s="1" t="s">
        <v>505</v>
      </c>
      <c r="C465" s="1" t="s">
        <v>507</v>
      </c>
    </row>
    <row r="466" spans="1:3" x14ac:dyDescent="0.25">
      <c r="A466" s="1" t="s">
        <v>490</v>
      </c>
      <c r="B466" s="1" t="s">
        <v>508</v>
      </c>
      <c r="C466" s="1" t="s">
        <v>509</v>
      </c>
    </row>
    <row r="467" spans="1:3" x14ac:dyDescent="0.25">
      <c r="A467" s="1" t="s">
        <v>490</v>
      </c>
      <c r="B467" s="1" t="s">
        <v>508</v>
      </c>
      <c r="C467" s="1" t="s">
        <v>510</v>
      </c>
    </row>
    <row r="468" spans="1:3" x14ac:dyDescent="0.25">
      <c r="A468" s="1" t="s">
        <v>490</v>
      </c>
      <c r="B468" s="1" t="s">
        <v>511</v>
      </c>
      <c r="C468" s="1" t="s">
        <v>512</v>
      </c>
    </row>
    <row r="469" spans="1:3" x14ac:dyDescent="0.25">
      <c r="A469" s="1" t="s">
        <v>490</v>
      </c>
      <c r="B469" s="1" t="s">
        <v>511</v>
      </c>
      <c r="C469" s="1" t="s">
        <v>513</v>
      </c>
    </row>
    <row r="470" spans="1:3" x14ac:dyDescent="0.25">
      <c r="A470" s="1" t="s">
        <v>490</v>
      </c>
      <c r="B470" s="1" t="s">
        <v>511</v>
      </c>
      <c r="C470" s="1" t="s">
        <v>514</v>
      </c>
    </row>
    <row r="471" spans="1:3" x14ac:dyDescent="0.25">
      <c r="A471" s="1" t="s">
        <v>515</v>
      </c>
      <c r="B471" s="1" t="s">
        <v>515</v>
      </c>
      <c r="C471" s="1" t="s">
        <v>516</v>
      </c>
    </row>
    <row r="472" spans="1:3" x14ac:dyDescent="0.25">
      <c r="A472" s="1" t="s">
        <v>515</v>
      </c>
      <c r="B472" s="1" t="s">
        <v>515</v>
      </c>
      <c r="C472" s="1" t="s">
        <v>517</v>
      </c>
    </row>
    <row r="473" spans="1:3" x14ac:dyDescent="0.25">
      <c r="A473" s="1" t="s">
        <v>515</v>
      </c>
      <c r="B473" s="1" t="s">
        <v>515</v>
      </c>
      <c r="C473" s="1" t="s">
        <v>518</v>
      </c>
    </row>
    <row r="474" spans="1:3" x14ac:dyDescent="0.25">
      <c r="A474" s="1" t="s">
        <v>515</v>
      </c>
      <c r="B474" s="1" t="s">
        <v>515</v>
      </c>
      <c r="C474" s="1" t="s">
        <v>519</v>
      </c>
    </row>
    <row r="475" spans="1:3" x14ac:dyDescent="0.25">
      <c r="A475" s="1" t="s">
        <v>515</v>
      </c>
      <c r="B475" s="1" t="s">
        <v>515</v>
      </c>
      <c r="C475" s="1" t="s">
        <v>520</v>
      </c>
    </row>
    <row r="476" spans="1:3" x14ac:dyDescent="0.25">
      <c r="A476" s="1" t="s">
        <v>515</v>
      </c>
      <c r="B476" s="1" t="s">
        <v>515</v>
      </c>
      <c r="C476" s="1" t="s">
        <v>521</v>
      </c>
    </row>
    <row r="477" spans="1:3" x14ac:dyDescent="0.25">
      <c r="A477" s="1" t="s">
        <v>515</v>
      </c>
      <c r="B477" s="1" t="s">
        <v>515</v>
      </c>
      <c r="C477" s="1" t="s">
        <v>522</v>
      </c>
    </row>
    <row r="478" spans="1:3" x14ac:dyDescent="0.25">
      <c r="A478" s="1" t="s">
        <v>515</v>
      </c>
      <c r="B478" s="1" t="s">
        <v>515</v>
      </c>
      <c r="C478" s="1" t="s">
        <v>523</v>
      </c>
    </row>
    <row r="479" spans="1:3" x14ac:dyDescent="0.25">
      <c r="A479" s="1" t="s">
        <v>515</v>
      </c>
      <c r="B479" s="1" t="s">
        <v>515</v>
      </c>
      <c r="C479" s="1" t="s">
        <v>524</v>
      </c>
    </row>
    <row r="480" spans="1:3" x14ac:dyDescent="0.25">
      <c r="A480" s="1" t="s">
        <v>515</v>
      </c>
      <c r="B480" s="1" t="s">
        <v>525</v>
      </c>
      <c r="C480" s="1" t="s">
        <v>526</v>
      </c>
    </row>
    <row r="481" spans="1:3" x14ac:dyDescent="0.25">
      <c r="A481" s="1" t="s">
        <v>515</v>
      </c>
      <c r="B481" s="1" t="s">
        <v>525</v>
      </c>
      <c r="C481" s="1" t="s">
        <v>527</v>
      </c>
    </row>
    <row r="482" spans="1:3" x14ac:dyDescent="0.25">
      <c r="A482" s="1" t="s">
        <v>515</v>
      </c>
      <c r="B482" s="1" t="s">
        <v>525</v>
      </c>
      <c r="C482" s="1" t="s">
        <v>528</v>
      </c>
    </row>
    <row r="483" spans="1:3" x14ac:dyDescent="0.25">
      <c r="A483" s="1" t="s">
        <v>515</v>
      </c>
      <c r="B483" s="1" t="s">
        <v>529</v>
      </c>
      <c r="C483" s="1" t="s">
        <v>530</v>
      </c>
    </row>
    <row r="484" spans="1:3" x14ac:dyDescent="0.25">
      <c r="A484" s="1" t="s">
        <v>515</v>
      </c>
      <c r="B484" s="1" t="s">
        <v>529</v>
      </c>
      <c r="C484" s="1" t="s">
        <v>531</v>
      </c>
    </row>
    <row r="485" spans="1:3" x14ac:dyDescent="0.25">
      <c r="A485" s="1" t="s">
        <v>515</v>
      </c>
      <c r="B485" s="1" t="s">
        <v>532</v>
      </c>
      <c r="C485" s="1" t="s">
        <v>533</v>
      </c>
    </row>
    <row r="486" spans="1:3" x14ac:dyDescent="0.25">
      <c r="A486" s="1" t="s">
        <v>515</v>
      </c>
      <c r="B486" s="1" t="s">
        <v>532</v>
      </c>
      <c r="C486" s="1" t="s">
        <v>534</v>
      </c>
    </row>
    <row r="487" spans="1:3" x14ac:dyDescent="0.25">
      <c r="A487" s="1" t="s">
        <v>515</v>
      </c>
      <c r="B487" s="1" t="s">
        <v>532</v>
      </c>
      <c r="C487" s="1" t="s">
        <v>535</v>
      </c>
    </row>
    <row r="488" spans="1:3" x14ac:dyDescent="0.25">
      <c r="A488" s="1" t="s">
        <v>515</v>
      </c>
      <c r="B488" s="1" t="s">
        <v>532</v>
      </c>
      <c r="C488" s="1" t="s">
        <v>536</v>
      </c>
    </row>
    <row r="489" spans="1:3" x14ac:dyDescent="0.25">
      <c r="A489" s="1" t="s">
        <v>537</v>
      </c>
      <c r="B489" s="1" t="s">
        <v>538</v>
      </c>
      <c r="C489" s="1" t="s">
        <v>539</v>
      </c>
    </row>
    <row r="490" spans="1:3" x14ac:dyDescent="0.25">
      <c r="A490" s="1" t="s">
        <v>537</v>
      </c>
      <c r="B490" s="1" t="s">
        <v>538</v>
      </c>
      <c r="C490" s="1" t="s">
        <v>540</v>
      </c>
    </row>
    <row r="491" spans="1:3" x14ac:dyDescent="0.25">
      <c r="A491" s="1" t="s">
        <v>537</v>
      </c>
      <c r="B491" s="1" t="s">
        <v>538</v>
      </c>
      <c r="C491" s="1" t="s">
        <v>541</v>
      </c>
    </row>
    <row r="492" spans="1:3" x14ac:dyDescent="0.25">
      <c r="A492" s="1" t="s">
        <v>537</v>
      </c>
      <c r="B492" s="1" t="s">
        <v>537</v>
      </c>
      <c r="C492" s="1" t="s">
        <v>542</v>
      </c>
    </row>
    <row r="493" spans="1:3" x14ac:dyDescent="0.25">
      <c r="A493" s="1" t="s">
        <v>537</v>
      </c>
      <c r="B493" s="1" t="s">
        <v>537</v>
      </c>
      <c r="C493" s="1" t="s">
        <v>543</v>
      </c>
    </row>
    <row r="494" spans="1:3" x14ac:dyDescent="0.25">
      <c r="A494" s="1" t="s">
        <v>537</v>
      </c>
      <c r="B494" s="1" t="s">
        <v>537</v>
      </c>
      <c r="C494" s="1" t="s">
        <v>544</v>
      </c>
    </row>
    <row r="495" spans="1:3" x14ac:dyDescent="0.25">
      <c r="A495" s="1" t="s">
        <v>537</v>
      </c>
      <c r="B495" s="1" t="s">
        <v>537</v>
      </c>
      <c r="C495" s="1" t="s">
        <v>545</v>
      </c>
    </row>
    <row r="496" spans="1:3" x14ac:dyDescent="0.25">
      <c r="A496" s="1" t="s">
        <v>537</v>
      </c>
      <c r="B496" s="1" t="s">
        <v>537</v>
      </c>
      <c r="C496" s="1" t="s">
        <v>546</v>
      </c>
    </row>
    <row r="497" spans="1:3" x14ac:dyDescent="0.25">
      <c r="A497" s="1" t="s">
        <v>537</v>
      </c>
      <c r="B497" s="1" t="s">
        <v>537</v>
      </c>
      <c r="C497" s="1" t="s">
        <v>547</v>
      </c>
    </row>
    <row r="498" spans="1:3" x14ac:dyDescent="0.25">
      <c r="A498" s="1" t="s">
        <v>537</v>
      </c>
      <c r="B498" s="1" t="s">
        <v>537</v>
      </c>
      <c r="C498" s="1" t="s">
        <v>548</v>
      </c>
    </row>
    <row r="499" spans="1:3" x14ac:dyDescent="0.25">
      <c r="A499" s="1" t="s">
        <v>537</v>
      </c>
      <c r="B499" s="1" t="s">
        <v>537</v>
      </c>
      <c r="C499" s="1" t="s">
        <v>549</v>
      </c>
    </row>
    <row r="500" spans="1:3" x14ac:dyDescent="0.25">
      <c r="A500" s="1" t="s">
        <v>537</v>
      </c>
      <c r="B500" s="1" t="s">
        <v>537</v>
      </c>
      <c r="C500" s="1" t="s">
        <v>550</v>
      </c>
    </row>
    <row r="501" spans="1:3" x14ac:dyDescent="0.25">
      <c r="A501" s="1" t="s">
        <v>537</v>
      </c>
      <c r="B501" s="1" t="s">
        <v>551</v>
      </c>
      <c r="C501" s="1" t="s">
        <v>552</v>
      </c>
    </row>
    <row r="502" spans="1:3" x14ac:dyDescent="0.25">
      <c r="A502" s="1" t="s">
        <v>537</v>
      </c>
      <c r="B502" s="1" t="s">
        <v>551</v>
      </c>
      <c r="C502" s="1" t="s">
        <v>553</v>
      </c>
    </row>
    <row r="503" spans="1:3" x14ac:dyDescent="0.25">
      <c r="A503" s="1" t="s">
        <v>537</v>
      </c>
      <c r="B503" s="1" t="s">
        <v>551</v>
      </c>
      <c r="C503" s="1" t="s">
        <v>554</v>
      </c>
    </row>
    <row r="504" spans="1:3" x14ac:dyDescent="0.25">
      <c r="A504" s="1" t="s">
        <v>537</v>
      </c>
      <c r="B504" s="1" t="s">
        <v>555</v>
      </c>
      <c r="C504" s="1" t="s">
        <v>556</v>
      </c>
    </row>
    <row r="505" spans="1:3" x14ac:dyDescent="0.25">
      <c r="A505" s="1" t="s">
        <v>537</v>
      </c>
      <c r="B505" s="1" t="s">
        <v>555</v>
      </c>
      <c r="C505" s="1" t="s">
        <v>557</v>
      </c>
    </row>
    <row r="506" spans="1:3" x14ac:dyDescent="0.25">
      <c r="A506" s="1" t="s">
        <v>537</v>
      </c>
      <c r="B506" s="1" t="s">
        <v>555</v>
      </c>
      <c r="C506" s="1" t="s">
        <v>558</v>
      </c>
    </row>
    <row r="507" spans="1:3" x14ac:dyDescent="0.25">
      <c r="A507" s="1" t="s">
        <v>559</v>
      </c>
      <c r="B507" s="1" t="s">
        <v>560</v>
      </c>
      <c r="C507" s="1" t="s">
        <v>561</v>
      </c>
    </row>
    <row r="508" spans="1:3" x14ac:dyDescent="0.25">
      <c r="A508" s="1" t="s">
        <v>559</v>
      </c>
      <c r="B508" s="1" t="s">
        <v>560</v>
      </c>
      <c r="C508" s="1" t="s">
        <v>562</v>
      </c>
    </row>
    <row r="509" spans="1:3" x14ac:dyDescent="0.25">
      <c r="A509" s="1" t="s">
        <v>559</v>
      </c>
      <c r="B509" s="1" t="s">
        <v>560</v>
      </c>
      <c r="C509" s="1" t="s">
        <v>563</v>
      </c>
    </row>
    <row r="510" spans="1:3" x14ac:dyDescent="0.25">
      <c r="A510" s="1" t="s">
        <v>559</v>
      </c>
      <c r="B510" s="1" t="s">
        <v>559</v>
      </c>
      <c r="C510" s="1" t="s">
        <v>564</v>
      </c>
    </row>
    <row r="511" spans="1:3" x14ac:dyDescent="0.25">
      <c r="A511" s="1" t="s">
        <v>559</v>
      </c>
      <c r="B511" s="1" t="s">
        <v>559</v>
      </c>
      <c r="C511" s="1" t="s">
        <v>565</v>
      </c>
    </row>
    <row r="512" spans="1:3" x14ac:dyDescent="0.25">
      <c r="A512" s="1" t="s">
        <v>559</v>
      </c>
      <c r="B512" s="1" t="s">
        <v>559</v>
      </c>
      <c r="C512" s="1" t="s">
        <v>566</v>
      </c>
    </row>
    <row r="513" spans="1:3" x14ac:dyDescent="0.25">
      <c r="A513" s="1" t="s">
        <v>559</v>
      </c>
      <c r="B513" s="1" t="s">
        <v>559</v>
      </c>
      <c r="C513" s="1" t="s">
        <v>567</v>
      </c>
    </row>
    <row r="514" spans="1:3" x14ac:dyDescent="0.25">
      <c r="A514" s="1" t="s">
        <v>559</v>
      </c>
      <c r="B514" s="1" t="s">
        <v>559</v>
      </c>
      <c r="C514" s="1" t="s">
        <v>568</v>
      </c>
    </row>
    <row r="515" spans="1:3" x14ac:dyDescent="0.25">
      <c r="A515" s="1" t="s">
        <v>559</v>
      </c>
      <c r="B515" s="1" t="s">
        <v>559</v>
      </c>
      <c r="C515" s="1" t="s">
        <v>569</v>
      </c>
    </row>
    <row r="516" spans="1:3" x14ac:dyDescent="0.25">
      <c r="A516" s="1" t="s">
        <v>559</v>
      </c>
      <c r="B516" s="1" t="s">
        <v>559</v>
      </c>
      <c r="C516" s="1" t="s">
        <v>570</v>
      </c>
    </row>
    <row r="517" spans="1:3" x14ac:dyDescent="0.25">
      <c r="A517" s="1" t="s">
        <v>559</v>
      </c>
      <c r="B517" s="1" t="s">
        <v>559</v>
      </c>
      <c r="C517" s="1" t="s">
        <v>571</v>
      </c>
    </row>
    <row r="518" spans="1:3" x14ac:dyDescent="0.25">
      <c r="A518" s="1" t="s">
        <v>559</v>
      </c>
      <c r="B518" s="1" t="s">
        <v>559</v>
      </c>
      <c r="C518" s="1" t="s">
        <v>572</v>
      </c>
    </row>
    <row r="519" spans="1:3" x14ac:dyDescent="0.25">
      <c r="A519" s="1" t="s">
        <v>559</v>
      </c>
      <c r="B519" s="1" t="s">
        <v>559</v>
      </c>
      <c r="C519" s="1" t="s">
        <v>573</v>
      </c>
    </row>
    <row r="520" spans="1:3" x14ac:dyDescent="0.25">
      <c r="A520" s="1" t="s">
        <v>559</v>
      </c>
      <c r="B520" s="1" t="s">
        <v>559</v>
      </c>
      <c r="C520" s="1" t="s">
        <v>574</v>
      </c>
    </row>
    <row r="521" spans="1:3" x14ac:dyDescent="0.25">
      <c r="A521" s="1" t="s">
        <v>559</v>
      </c>
      <c r="B521" s="1" t="s">
        <v>559</v>
      </c>
      <c r="C521" s="1" t="s">
        <v>575</v>
      </c>
    </row>
    <row r="522" spans="1:3" x14ac:dyDescent="0.25">
      <c r="A522" s="1" t="s">
        <v>559</v>
      </c>
      <c r="B522" s="1" t="s">
        <v>559</v>
      </c>
      <c r="C522" s="1" t="s">
        <v>258</v>
      </c>
    </row>
    <row r="523" spans="1:3" x14ac:dyDescent="0.25">
      <c r="A523" s="1" t="s">
        <v>559</v>
      </c>
      <c r="B523" s="1" t="s">
        <v>559</v>
      </c>
      <c r="C523" s="1" t="s">
        <v>576</v>
      </c>
    </row>
    <row r="524" spans="1:3" x14ac:dyDescent="0.25">
      <c r="A524" s="1" t="s">
        <v>559</v>
      </c>
      <c r="B524" s="1" t="s">
        <v>577</v>
      </c>
      <c r="C524" s="1" t="s">
        <v>578</v>
      </c>
    </row>
    <row r="525" spans="1:3" x14ac:dyDescent="0.25">
      <c r="A525" s="1" t="s">
        <v>559</v>
      </c>
      <c r="B525" s="1" t="s">
        <v>577</v>
      </c>
      <c r="C525" s="1" t="s">
        <v>579</v>
      </c>
    </row>
    <row r="526" spans="1:3" x14ac:dyDescent="0.25">
      <c r="A526" s="1" t="s">
        <v>559</v>
      </c>
      <c r="B526" s="1" t="s">
        <v>580</v>
      </c>
      <c r="C526" s="1" t="s">
        <v>581</v>
      </c>
    </row>
    <row r="527" spans="1:3" x14ac:dyDescent="0.25">
      <c r="A527" s="1" t="s">
        <v>559</v>
      </c>
      <c r="B527" s="1" t="s">
        <v>580</v>
      </c>
      <c r="C527" s="1" t="s">
        <v>582</v>
      </c>
    </row>
    <row r="528" spans="1:3" x14ac:dyDescent="0.25">
      <c r="A528" s="1" t="s">
        <v>559</v>
      </c>
      <c r="B528" s="1" t="s">
        <v>580</v>
      </c>
      <c r="C528" s="1" t="s">
        <v>583</v>
      </c>
    </row>
    <row r="529" spans="1:3" x14ac:dyDescent="0.25">
      <c r="A529" s="1" t="s">
        <v>559</v>
      </c>
      <c r="B529" s="1" t="s">
        <v>580</v>
      </c>
      <c r="C529" s="1" t="s">
        <v>584</v>
      </c>
    </row>
    <row r="530" spans="1:3" x14ac:dyDescent="0.25">
      <c r="A530" s="1" t="s">
        <v>559</v>
      </c>
      <c r="B530" s="1" t="s">
        <v>585</v>
      </c>
      <c r="C530" s="1" t="s">
        <v>586</v>
      </c>
    </row>
    <row r="531" spans="1:3" x14ac:dyDescent="0.25">
      <c r="A531" s="1" t="s">
        <v>559</v>
      </c>
      <c r="B531" s="1" t="s">
        <v>585</v>
      </c>
      <c r="C531" s="1" t="s">
        <v>587</v>
      </c>
    </row>
    <row r="532" spans="1:3" x14ac:dyDescent="0.25">
      <c r="A532" s="1" t="s">
        <v>559</v>
      </c>
      <c r="B532" s="1" t="s">
        <v>588</v>
      </c>
      <c r="C532" s="1" t="s">
        <v>589</v>
      </c>
    </row>
    <row r="533" spans="1:3" x14ac:dyDescent="0.25">
      <c r="A533" s="1" t="s">
        <v>559</v>
      </c>
      <c r="B533" s="1" t="s">
        <v>588</v>
      </c>
      <c r="C533" s="1" t="s">
        <v>590</v>
      </c>
    </row>
    <row r="534" spans="1:3" x14ac:dyDescent="0.25">
      <c r="A534" s="1" t="s">
        <v>559</v>
      </c>
      <c r="B534" s="1" t="s">
        <v>591</v>
      </c>
      <c r="C534" s="1" t="s">
        <v>592</v>
      </c>
    </row>
    <row r="535" spans="1:3" x14ac:dyDescent="0.25">
      <c r="A535" s="1" t="s">
        <v>559</v>
      </c>
      <c r="B535" s="1" t="s">
        <v>591</v>
      </c>
      <c r="C535" s="1" t="s">
        <v>593</v>
      </c>
    </row>
    <row r="536" spans="1:3" x14ac:dyDescent="0.25">
      <c r="A536" s="1" t="s">
        <v>559</v>
      </c>
      <c r="B536" s="1" t="s">
        <v>591</v>
      </c>
      <c r="C536" s="1" t="s">
        <v>594</v>
      </c>
    </row>
    <row r="537" spans="1:3" x14ac:dyDescent="0.25">
      <c r="A537" s="1" t="s">
        <v>559</v>
      </c>
      <c r="B537" s="1" t="s">
        <v>595</v>
      </c>
      <c r="C537" s="1" t="s">
        <v>596</v>
      </c>
    </row>
    <row r="538" spans="1:3" x14ac:dyDescent="0.25">
      <c r="A538" s="1" t="s">
        <v>559</v>
      </c>
      <c r="B538" s="1" t="s">
        <v>595</v>
      </c>
      <c r="C538" s="1" t="s">
        <v>256</v>
      </c>
    </row>
    <row r="539" spans="1:3" x14ac:dyDescent="0.25">
      <c r="A539" s="1" t="s">
        <v>559</v>
      </c>
      <c r="B539" s="1" t="s">
        <v>595</v>
      </c>
      <c r="C539" s="1" t="s">
        <v>597</v>
      </c>
    </row>
    <row r="540" spans="1:3" x14ac:dyDescent="0.25">
      <c r="A540" s="1" t="s">
        <v>559</v>
      </c>
      <c r="B540" s="1" t="s">
        <v>595</v>
      </c>
      <c r="C540" s="1" t="s">
        <v>598</v>
      </c>
    </row>
    <row r="541" spans="1:3" x14ac:dyDescent="0.25">
      <c r="A541" s="1" t="s">
        <v>559</v>
      </c>
      <c r="B541" s="1" t="s">
        <v>595</v>
      </c>
      <c r="C541" s="1" t="s">
        <v>599</v>
      </c>
    </row>
    <row r="542" spans="1:3" x14ac:dyDescent="0.25">
      <c r="A542" s="1" t="s">
        <v>559</v>
      </c>
      <c r="B542" s="1" t="s">
        <v>595</v>
      </c>
      <c r="C542" s="1" t="s">
        <v>600</v>
      </c>
    </row>
    <row r="543" spans="1:3" x14ac:dyDescent="0.25">
      <c r="A543" s="1" t="s">
        <v>559</v>
      </c>
      <c r="B543" s="1" t="s">
        <v>595</v>
      </c>
      <c r="C543" s="1" t="s">
        <v>601</v>
      </c>
    </row>
    <row r="544" spans="1:3" x14ac:dyDescent="0.25">
      <c r="A544" s="1" t="s">
        <v>559</v>
      </c>
      <c r="B544" s="1" t="s">
        <v>595</v>
      </c>
      <c r="C544" s="1" t="s">
        <v>602</v>
      </c>
    </row>
    <row r="545" spans="1:3" x14ac:dyDescent="0.25">
      <c r="A545" s="1" t="s">
        <v>559</v>
      </c>
      <c r="B545" s="1" t="s">
        <v>595</v>
      </c>
      <c r="C545" s="1" t="s">
        <v>603</v>
      </c>
    </row>
    <row r="546" spans="1:3" x14ac:dyDescent="0.25">
      <c r="A546" s="1" t="s">
        <v>559</v>
      </c>
      <c r="B546" s="1" t="s">
        <v>604</v>
      </c>
      <c r="C546" s="1" t="s">
        <v>605</v>
      </c>
    </row>
    <row r="547" spans="1:3" x14ac:dyDescent="0.25">
      <c r="A547" s="1" t="s">
        <v>559</v>
      </c>
      <c r="B547" s="1" t="s">
        <v>606</v>
      </c>
      <c r="C547" s="1" t="s">
        <v>607</v>
      </c>
    </row>
    <row r="548" spans="1:3" x14ac:dyDescent="0.25">
      <c r="A548" s="1" t="s">
        <v>559</v>
      </c>
      <c r="B548" s="1" t="s">
        <v>608</v>
      </c>
      <c r="C548" s="1" t="s">
        <v>609</v>
      </c>
    </row>
    <row r="549" spans="1:3" x14ac:dyDescent="0.25">
      <c r="A549" s="1" t="s">
        <v>610</v>
      </c>
      <c r="B549" s="1" t="s">
        <v>610</v>
      </c>
      <c r="C549" s="1" t="s">
        <v>611</v>
      </c>
    </row>
    <row r="550" spans="1:3" x14ac:dyDescent="0.25">
      <c r="A550" s="1" t="s">
        <v>610</v>
      </c>
      <c r="B550" s="1" t="s">
        <v>610</v>
      </c>
      <c r="C550" s="1" t="s">
        <v>612</v>
      </c>
    </row>
    <row r="551" spans="1:3" x14ac:dyDescent="0.25">
      <c r="A551" s="1" t="s">
        <v>610</v>
      </c>
      <c r="B551" s="1" t="s">
        <v>610</v>
      </c>
      <c r="C551" s="1" t="s">
        <v>613</v>
      </c>
    </row>
    <row r="552" spans="1:3" x14ac:dyDescent="0.25">
      <c r="A552" s="1" t="s">
        <v>610</v>
      </c>
      <c r="B552" s="1" t="s">
        <v>610</v>
      </c>
      <c r="C552" s="1" t="s">
        <v>614</v>
      </c>
    </row>
    <row r="553" spans="1:3" x14ac:dyDescent="0.25">
      <c r="A553" s="1" t="s">
        <v>610</v>
      </c>
      <c r="B553" s="1" t="s">
        <v>610</v>
      </c>
      <c r="C553" s="1" t="s">
        <v>615</v>
      </c>
    </row>
    <row r="554" spans="1:3" x14ac:dyDescent="0.25">
      <c r="A554" s="1" t="s">
        <v>610</v>
      </c>
      <c r="B554" s="1" t="s">
        <v>610</v>
      </c>
      <c r="C554" s="1" t="s">
        <v>616</v>
      </c>
    </row>
    <row r="555" spans="1:3" x14ac:dyDescent="0.25">
      <c r="A555" s="1" t="s">
        <v>610</v>
      </c>
      <c r="B555" s="1" t="s">
        <v>610</v>
      </c>
      <c r="C555" s="1" t="s">
        <v>617</v>
      </c>
    </row>
    <row r="556" spans="1:3" x14ac:dyDescent="0.25">
      <c r="A556" s="1" t="s">
        <v>610</v>
      </c>
      <c r="B556" s="1" t="s">
        <v>610</v>
      </c>
      <c r="C556" s="1" t="s">
        <v>618</v>
      </c>
    </row>
    <row r="557" spans="1:3" x14ac:dyDescent="0.25">
      <c r="A557" s="1" t="s">
        <v>610</v>
      </c>
      <c r="B557" s="1" t="s">
        <v>610</v>
      </c>
      <c r="C557" s="1" t="s">
        <v>619</v>
      </c>
    </row>
    <row r="558" spans="1:3" x14ac:dyDescent="0.25">
      <c r="A558" s="1" t="s">
        <v>610</v>
      </c>
      <c r="B558" s="1" t="s">
        <v>610</v>
      </c>
      <c r="C558" s="1" t="s">
        <v>620</v>
      </c>
    </row>
    <row r="559" spans="1:3" x14ac:dyDescent="0.25">
      <c r="A559" s="1" t="s">
        <v>610</v>
      </c>
      <c r="B559" s="1" t="s">
        <v>610</v>
      </c>
      <c r="C559" s="1" t="s">
        <v>621</v>
      </c>
    </row>
    <row r="560" spans="1:3" x14ac:dyDescent="0.25">
      <c r="A560" s="1" t="s">
        <v>610</v>
      </c>
      <c r="B560" s="1" t="s">
        <v>610</v>
      </c>
      <c r="C560" s="1" t="s">
        <v>622</v>
      </c>
    </row>
    <row r="561" spans="1:3" x14ac:dyDescent="0.25">
      <c r="A561" s="1" t="s">
        <v>610</v>
      </c>
      <c r="B561" s="1" t="s">
        <v>610</v>
      </c>
      <c r="C561" s="1" t="s">
        <v>623</v>
      </c>
    </row>
    <row r="562" spans="1:3" x14ac:dyDescent="0.25">
      <c r="A562" s="1" t="s">
        <v>610</v>
      </c>
      <c r="B562" s="1" t="s">
        <v>610</v>
      </c>
      <c r="C562" s="1" t="s">
        <v>624</v>
      </c>
    </row>
    <row r="563" spans="1:3" x14ac:dyDescent="0.25">
      <c r="A563" s="1" t="s">
        <v>610</v>
      </c>
      <c r="B563" s="1" t="s">
        <v>610</v>
      </c>
      <c r="C563" s="1" t="s">
        <v>625</v>
      </c>
    </row>
    <row r="564" spans="1:3" x14ac:dyDescent="0.25">
      <c r="A564" s="1" t="s">
        <v>610</v>
      </c>
      <c r="B564" s="1" t="s">
        <v>626</v>
      </c>
      <c r="C564" s="1" t="s">
        <v>627</v>
      </c>
    </row>
    <row r="565" spans="1:3" x14ac:dyDescent="0.25">
      <c r="A565" s="1" t="s">
        <v>610</v>
      </c>
      <c r="B565" s="1" t="s">
        <v>626</v>
      </c>
      <c r="C565" s="1" t="s">
        <v>628</v>
      </c>
    </row>
    <row r="566" spans="1:3" x14ac:dyDescent="0.25">
      <c r="A566" s="1" t="s">
        <v>610</v>
      </c>
      <c r="B566" s="1" t="s">
        <v>626</v>
      </c>
      <c r="C566" s="1" t="s">
        <v>629</v>
      </c>
    </row>
    <row r="567" spans="1:3" x14ac:dyDescent="0.25">
      <c r="A567" s="1" t="s">
        <v>610</v>
      </c>
      <c r="B567" s="1" t="s">
        <v>626</v>
      </c>
      <c r="C567" s="1" t="s">
        <v>630</v>
      </c>
    </row>
    <row r="568" spans="1:3" x14ac:dyDescent="0.25">
      <c r="A568" s="1" t="s">
        <v>610</v>
      </c>
      <c r="B568" s="1" t="s">
        <v>631</v>
      </c>
      <c r="C568" s="1" t="s">
        <v>632</v>
      </c>
    </row>
    <row r="569" spans="1:3" x14ac:dyDescent="0.25">
      <c r="A569" s="1" t="s">
        <v>610</v>
      </c>
      <c r="B569" s="1" t="s">
        <v>631</v>
      </c>
      <c r="C569" s="1" t="s">
        <v>633</v>
      </c>
    </row>
    <row r="570" spans="1:3" x14ac:dyDescent="0.25">
      <c r="A570" s="1" t="s">
        <v>610</v>
      </c>
      <c r="B570" s="1" t="s">
        <v>604</v>
      </c>
      <c r="C570" s="1" t="s">
        <v>634</v>
      </c>
    </row>
    <row r="571" spans="1:3" x14ac:dyDescent="0.25">
      <c r="A571" s="1" t="s">
        <v>610</v>
      </c>
      <c r="B571" s="1" t="s">
        <v>604</v>
      </c>
      <c r="C571" s="1" t="s">
        <v>635</v>
      </c>
    </row>
    <row r="572" spans="1:3" x14ac:dyDescent="0.25">
      <c r="A572" s="1" t="s">
        <v>610</v>
      </c>
      <c r="B572" s="1" t="s">
        <v>604</v>
      </c>
      <c r="C572" s="1" t="s">
        <v>636</v>
      </c>
    </row>
    <row r="573" spans="1:3" x14ac:dyDescent="0.25">
      <c r="A573" s="1" t="s">
        <v>637</v>
      </c>
      <c r="B573" s="1" t="s">
        <v>637</v>
      </c>
      <c r="C573" s="1" t="s">
        <v>638</v>
      </c>
    </row>
    <row r="574" spans="1:3" x14ac:dyDescent="0.25">
      <c r="A574" s="1" t="s">
        <v>637</v>
      </c>
      <c r="B574" s="1" t="s">
        <v>637</v>
      </c>
      <c r="C574" s="1" t="s">
        <v>639</v>
      </c>
    </row>
    <row r="575" spans="1:3" x14ac:dyDescent="0.25">
      <c r="A575" s="1" t="s">
        <v>637</v>
      </c>
      <c r="B575" s="1" t="s">
        <v>637</v>
      </c>
      <c r="C575" s="1" t="s">
        <v>640</v>
      </c>
    </row>
    <row r="576" spans="1:3" x14ac:dyDescent="0.25">
      <c r="A576" s="1" t="s">
        <v>637</v>
      </c>
      <c r="B576" s="1" t="s">
        <v>637</v>
      </c>
      <c r="C576" s="1" t="s">
        <v>641</v>
      </c>
    </row>
    <row r="577" spans="1:3" x14ac:dyDescent="0.25">
      <c r="A577" s="1" t="s">
        <v>637</v>
      </c>
      <c r="B577" s="1" t="s">
        <v>637</v>
      </c>
      <c r="C577" s="1" t="s">
        <v>642</v>
      </c>
    </row>
    <row r="578" spans="1:3" x14ac:dyDescent="0.25">
      <c r="A578" s="1" t="s">
        <v>637</v>
      </c>
      <c r="B578" s="1" t="s">
        <v>637</v>
      </c>
      <c r="C578" s="1" t="s">
        <v>643</v>
      </c>
    </row>
    <row r="579" spans="1:3" x14ac:dyDescent="0.25">
      <c r="A579" s="1" t="s">
        <v>637</v>
      </c>
      <c r="B579" s="1" t="s">
        <v>637</v>
      </c>
      <c r="C579" s="1" t="s">
        <v>644</v>
      </c>
    </row>
    <row r="580" spans="1:3" x14ac:dyDescent="0.25">
      <c r="A580" s="1" t="s">
        <v>637</v>
      </c>
      <c r="B580" s="1" t="s">
        <v>637</v>
      </c>
      <c r="C580" s="1" t="s">
        <v>645</v>
      </c>
    </row>
    <row r="581" spans="1:3" x14ac:dyDescent="0.25">
      <c r="A581" s="1" t="s">
        <v>637</v>
      </c>
      <c r="B581" s="1" t="s">
        <v>637</v>
      </c>
      <c r="C581" s="1" t="s">
        <v>646</v>
      </c>
    </row>
    <row r="582" spans="1:3" x14ac:dyDescent="0.25">
      <c r="A582" s="1" t="s">
        <v>637</v>
      </c>
      <c r="B582" s="1" t="s">
        <v>637</v>
      </c>
      <c r="C582" s="1" t="s">
        <v>647</v>
      </c>
    </row>
    <row r="583" spans="1:3" x14ac:dyDescent="0.25">
      <c r="A583" s="1" t="s">
        <v>637</v>
      </c>
      <c r="B583" s="1" t="s">
        <v>637</v>
      </c>
      <c r="C583" s="1" t="s">
        <v>648</v>
      </c>
    </row>
    <row r="584" spans="1:3" x14ac:dyDescent="0.25">
      <c r="A584" s="1" t="s">
        <v>637</v>
      </c>
      <c r="B584" s="1" t="s">
        <v>637</v>
      </c>
      <c r="C584" s="1" t="s">
        <v>649</v>
      </c>
    </row>
    <row r="585" spans="1:3" x14ac:dyDescent="0.25">
      <c r="A585" s="1" t="s">
        <v>637</v>
      </c>
      <c r="B585" s="1" t="s">
        <v>637</v>
      </c>
      <c r="C585" s="1" t="s">
        <v>650</v>
      </c>
    </row>
    <row r="586" spans="1:3" x14ac:dyDescent="0.25">
      <c r="A586" s="1" t="s">
        <v>637</v>
      </c>
      <c r="B586" s="1" t="s">
        <v>637</v>
      </c>
      <c r="C586" s="1" t="s">
        <v>651</v>
      </c>
    </row>
    <row r="587" spans="1:3" x14ac:dyDescent="0.25">
      <c r="A587" s="1" t="s">
        <v>637</v>
      </c>
      <c r="B587" s="1" t="s">
        <v>637</v>
      </c>
      <c r="C587" s="1" t="s">
        <v>652</v>
      </c>
    </row>
    <row r="588" spans="1:3" x14ac:dyDescent="0.25">
      <c r="A588" s="1" t="s">
        <v>637</v>
      </c>
      <c r="B588" s="1" t="s">
        <v>637</v>
      </c>
      <c r="C588" s="1" t="s">
        <v>653</v>
      </c>
    </row>
    <row r="589" spans="1:3" x14ac:dyDescent="0.25">
      <c r="A589" s="1" t="s">
        <v>637</v>
      </c>
      <c r="B589" s="1" t="s">
        <v>637</v>
      </c>
      <c r="C589" s="1" t="s">
        <v>654</v>
      </c>
    </row>
    <row r="590" spans="1:3" x14ac:dyDescent="0.25">
      <c r="A590" s="1" t="s">
        <v>637</v>
      </c>
      <c r="B590" s="1" t="s">
        <v>637</v>
      </c>
      <c r="C590" s="1" t="s">
        <v>655</v>
      </c>
    </row>
    <row r="591" spans="1:3" x14ac:dyDescent="0.25">
      <c r="A591" s="1" t="s">
        <v>637</v>
      </c>
      <c r="B591" s="1" t="s">
        <v>637</v>
      </c>
      <c r="C591" s="1" t="s">
        <v>656</v>
      </c>
    </row>
    <row r="592" spans="1:3" x14ac:dyDescent="0.25">
      <c r="A592" s="1" t="s">
        <v>637</v>
      </c>
      <c r="B592" s="1" t="s">
        <v>657</v>
      </c>
      <c r="C592" s="1" t="s">
        <v>658</v>
      </c>
    </row>
    <row r="593" spans="1:3" x14ac:dyDescent="0.25">
      <c r="A593" s="1" t="s">
        <v>637</v>
      </c>
      <c r="B593" s="1" t="s">
        <v>657</v>
      </c>
      <c r="C593" s="1" t="s">
        <v>659</v>
      </c>
    </row>
    <row r="594" spans="1:3" x14ac:dyDescent="0.25">
      <c r="A594" s="1" t="s">
        <v>637</v>
      </c>
      <c r="B594" s="1" t="s">
        <v>657</v>
      </c>
      <c r="C594" s="1" t="s">
        <v>660</v>
      </c>
    </row>
    <row r="595" spans="1:3" x14ac:dyDescent="0.25">
      <c r="A595" s="1" t="s">
        <v>637</v>
      </c>
      <c r="B595" s="1" t="s">
        <v>657</v>
      </c>
      <c r="C595" s="1" t="s">
        <v>661</v>
      </c>
    </row>
    <row r="596" spans="1:3" x14ac:dyDescent="0.25">
      <c r="A596" s="1" t="s">
        <v>637</v>
      </c>
      <c r="B596" s="1" t="s">
        <v>657</v>
      </c>
      <c r="C596" s="1" t="s">
        <v>662</v>
      </c>
    </row>
    <row r="597" spans="1:3" x14ac:dyDescent="0.25">
      <c r="A597" s="1" t="s">
        <v>637</v>
      </c>
      <c r="B597" s="1" t="s">
        <v>657</v>
      </c>
      <c r="C597" s="1" t="s">
        <v>663</v>
      </c>
    </row>
    <row r="598" spans="1:3" x14ac:dyDescent="0.25">
      <c r="A598" s="1" t="s">
        <v>637</v>
      </c>
      <c r="B598" s="1" t="s">
        <v>657</v>
      </c>
      <c r="C598" s="1" t="s">
        <v>664</v>
      </c>
    </row>
    <row r="599" spans="1:3" x14ac:dyDescent="0.25">
      <c r="A599" s="1" t="s">
        <v>637</v>
      </c>
      <c r="B599" s="1" t="s">
        <v>657</v>
      </c>
      <c r="C599" s="1" t="s">
        <v>665</v>
      </c>
    </row>
    <row r="600" spans="1:3" x14ac:dyDescent="0.25">
      <c r="A600" s="1" t="s">
        <v>637</v>
      </c>
      <c r="B600" s="1" t="s">
        <v>666</v>
      </c>
      <c r="C600" s="1" t="s">
        <v>667</v>
      </c>
    </row>
    <row r="601" spans="1:3" x14ac:dyDescent="0.25">
      <c r="A601" s="1" t="s">
        <v>637</v>
      </c>
      <c r="B601" s="1" t="s">
        <v>666</v>
      </c>
      <c r="C601" s="1" t="s">
        <v>668</v>
      </c>
    </row>
    <row r="602" spans="1:3" x14ac:dyDescent="0.25">
      <c r="A602" s="1" t="s">
        <v>637</v>
      </c>
      <c r="B602" s="1" t="s">
        <v>666</v>
      </c>
      <c r="C602" s="1" t="s">
        <v>669</v>
      </c>
    </row>
    <row r="603" spans="1:3" x14ac:dyDescent="0.25">
      <c r="A603" s="1" t="s">
        <v>637</v>
      </c>
      <c r="B603" s="1" t="s">
        <v>666</v>
      </c>
      <c r="C603" s="1" t="s">
        <v>670</v>
      </c>
    </row>
    <row r="604" spans="1:3" x14ac:dyDescent="0.25">
      <c r="A604" s="1" t="s">
        <v>637</v>
      </c>
      <c r="B604" s="1" t="s">
        <v>671</v>
      </c>
      <c r="C604" s="1" t="s">
        <v>672</v>
      </c>
    </row>
    <row r="605" spans="1:3" x14ac:dyDescent="0.25">
      <c r="A605" s="1" t="s">
        <v>637</v>
      </c>
      <c r="B605" s="1" t="s">
        <v>671</v>
      </c>
      <c r="C605" s="1" t="s">
        <v>673</v>
      </c>
    </row>
    <row r="606" spans="1:3" x14ac:dyDescent="0.25">
      <c r="A606" s="1" t="s">
        <v>637</v>
      </c>
      <c r="B606" s="1" t="s">
        <v>671</v>
      </c>
      <c r="C606" s="1" t="s">
        <v>674</v>
      </c>
    </row>
    <row r="607" spans="1:3" x14ac:dyDescent="0.25">
      <c r="A607" s="1" t="s">
        <v>637</v>
      </c>
      <c r="B607" s="1" t="s">
        <v>671</v>
      </c>
      <c r="C607" s="1" t="s">
        <v>675</v>
      </c>
    </row>
    <row r="608" spans="1:3" x14ac:dyDescent="0.25">
      <c r="A608" s="1" t="s">
        <v>637</v>
      </c>
      <c r="B608" s="1" t="s">
        <v>676</v>
      </c>
      <c r="C608" s="1" t="s">
        <v>677</v>
      </c>
    </row>
    <row r="609" spans="1:3" x14ac:dyDescent="0.25">
      <c r="A609" s="1" t="s">
        <v>637</v>
      </c>
      <c r="B609" s="1" t="s">
        <v>676</v>
      </c>
      <c r="C609" s="1" t="s">
        <v>678</v>
      </c>
    </row>
    <row r="610" spans="1:3" x14ac:dyDescent="0.25">
      <c r="A610" s="1" t="s">
        <v>637</v>
      </c>
      <c r="B610" s="1" t="s">
        <v>676</v>
      </c>
      <c r="C610" s="1" t="s">
        <v>679</v>
      </c>
    </row>
    <row r="611" spans="1:3" x14ac:dyDescent="0.25">
      <c r="A611" s="1" t="s">
        <v>637</v>
      </c>
      <c r="B611" s="1" t="s">
        <v>676</v>
      </c>
      <c r="C611" s="1" t="s">
        <v>680</v>
      </c>
    </row>
    <row r="612" spans="1:3" x14ac:dyDescent="0.25">
      <c r="A612" s="1" t="s">
        <v>637</v>
      </c>
      <c r="B612" s="1" t="s">
        <v>676</v>
      </c>
      <c r="C612" s="1" t="s">
        <v>681</v>
      </c>
    </row>
    <row r="613" spans="1:3" x14ac:dyDescent="0.25">
      <c r="A613" s="1" t="s">
        <v>637</v>
      </c>
      <c r="B613" s="1" t="s">
        <v>676</v>
      </c>
      <c r="C613" s="1" t="s">
        <v>682</v>
      </c>
    </row>
    <row r="614" spans="1:3" x14ac:dyDescent="0.25">
      <c r="A614" s="1" t="s">
        <v>637</v>
      </c>
      <c r="B614" s="1" t="s">
        <v>676</v>
      </c>
      <c r="C614" s="1" t="s">
        <v>683</v>
      </c>
    </row>
    <row r="615" spans="1:3" x14ac:dyDescent="0.25">
      <c r="A615" s="1" t="s">
        <v>637</v>
      </c>
      <c r="B615" s="1" t="s">
        <v>684</v>
      </c>
      <c r="C615" s="1" t="s">
        <v>685</v>
      </c>
    </row>
    <row r="616" spans="1:3" x14ac:dyDescent="0.25">
      <c r="A616" s="1" t="s">
        <v>637</v>
      </c>
      <c r="B616" s="1" t="s">
        <v>684</v>
      </c>
      <c r="C616" s="1" t="s">
        <v>686</v>
      </c>
    </row>
    <row r="617" spans="1:3" x14ac:dyDescent="0.25">
      <c r="A617" s="1" t="s">
        <v>637</v>
      </c>
      <c r="B617" s="1" t="s">
        <v>684</v>
      </c>
      <c r="C617" s="1" t="s">
        <v>687</v>
      </c>
    </row>
    <row r="618" spans="1:3" x14ac:dyDescent="0.25">
      <c r="A618" s="1" t="s">
        <v>637</v>
      </c>
      <c r="B618" s="1" t="s">
        <v>684</v>
      </c>
      <c r="C618" s="1" t="s">
        <v>688</v>
      </c>
    </row>
    <row r="619" spans="1:3" x14ac:dyDescent="0.25">
      <c r="A619" s="1" t="s">
        <v>637</v>
      </c>
      <c r="B619" s="1" t="s">
        <v>689</v>
      </c>
      <c r="C619" s="1" t="s">
        <v>690</v>
      </c>
    </row>
    <row r="620" spans="1:3" x14ac:dyDescent="0.25">
      <c r="A620" s="1" t="s">
        <v>637</v>
      </c>
      <c r="B620" s="1" t="s">
        <v>691</v>
      </c>
      <c r="C620" s="1" t="s">
        <v>692</v>
      </c>
    </row>
    <row r="621" spans="1:3" x14ac:dyDescent="0.25">
      <c r="A621" s="1" t="s">
        <v>637</v>
      </c>
      <c r="B621" s="1" t="s">
        <v>693</v>
      </c>
      <c r="C621" s="1" t="s">
        <v>694</v>
      </c>
    </row>
    <row r="622" spans="1:3" x14ac:dyDescent="0.25">
      <c r="A622" s="1" t="s">
        <v>637</v>
      </c>
      <c r="B622" s="1" t="s">
        <v>693</v>
      </c>
      <c r="C622" s="1" t="s">
        <v>695</v>
      </c>
    </row>
    <row r="623" spans="1:3" x14ac:dyDescent="0.25">
      <c r="A623" s="1" t="s">
        <v>637</v>
      </c>
      <c r="B623" s="1" t="s">
        <v>693</v>
      </c>
      <c r="C623" s="1" t="s">
        <v>696</v>
      </c>
    </row>
    <row r="624" spans="1:3" x14ac:dyDescent="0.25">
      <c r="A624" s="1" t="s">
        <v>637</v>
      </c>
      <c r="B624" s="1" t="s">
        <v>697</v>
      </c>
      <c r="C624" s="1" t="s">
        <v>698</v>
      </c>
    </row>
    <row r="625" spans="1:3" x14ac:dyDescent="0.25">
      <c r="A625" s="1" t="s">
        <v>637</v>
      </c>
      <c r="B625" s="1" t="s">
        <v>697</v>
      </c>
      <c r="C625" s="1" t="s">
        <v>699</v>
      </c>
    </row>
    <row r="626" spans="1:3" x14ac:dyDescent="0.25">
      <c r="A626" s="1" t="s">
        <v>700</v>
      </c>
      <c r="B626" s="1" t="s">
        <v>700</v>
      </c>
      <c r="C626" s="1" t="s">
        <v>701</v>
      </c>
    </row>
    <row r="627" spans="1:3" x14ac:dyDescent="0.25">
      <c r="A627" s="1" t="s">
        <v>700</v>
      </c>
      <c r="B627" s="1" t="s">
        <v>700</v>
      </c>
      <c r="C627" s="1" t="s">
        <v>702</v>
      </c>
    </row>
    <row r="628" spans="1:3" x14ac:dyDescent="0.25">
      <c r="A628" s="1" t="s">
        <v>700</v>
      </c>
      <c r="B628" s="1" t="s">
        <v>700</v>
      </c>
      <c r="C628" s="1" t="s">
        <v>703</v>
      </c>
    </row>
    <row r="629" spans="1:3" x14ac:dyDescent="0.25">
      <c r="A629" s="1" t="s">
        <v>700</v>
      </c>
      <c r="B629" s="1" t="s">
        <v>700</v>
      </c>
      <c r="C629" s="1" t="s">
        <v>704</v>
      </c>
    </row>
    <row r="630" spans="1:3" x14ac:dyDescent="0.25">
      <c r="A630" s="1" t="s">
        <v>700</v>
      </c>
      <c r="B630" s="1" t="s">
        <v>700</v>
      </c>
      <c r="C630" s="1" t="s">
        <v>705</v>
      </c>
    </row>
    <row r="631" spans="1:3" x14ac:dyDescent="0.25">
      <c r="A631" s="1" t="s">
        <v>700</v>
      </c>
      <c r="B631" s="1" t="s">
        <v>700</v>
      </c>
      <c r="C631" s="1" t="s">
        <v>706</v>
      </c>
    </row>
    <row r="632" spans="1:3" x14ac:dyDescent="0.25">
      <c r="A632" s="1" t="s">
        <v>700</v>
      </c>
      <c r="B632" s="1" t="s">
        <v>707</v>
      </c>
      <c r="C632" s="1" t="s">
        <v>708</v>
      </c>
    </row>
    <row r="633" spans="1:3" x14ac:dyDescent="0.25">
      <c r="A633" s="1" t="s">
        <v>700</v>
      </c>
      <c r="B633" s="1" t="s">
        <v>707</v>
      </c>
      <c r="C633" s="1" t="s">
        <v>709</v>
      </c>
    </row>
    <row r="634" spans="1:3" x14ac:dyDescent="0.25">
      <c r="A634" s="1" t="s">
        <v>700</v>
      </c>
      <c r="B634" s="1" t="s">
        <v>707</v>
      </c>
      <c r="C634" s="1" t="s">
        <v>710</v>
      </c>
    </row>
    <row r="635" spans="1:3" x14ac:dyDescent="0.25">
      <c r="A635" s="1" t="s">
        <v>700</v>
      </c>
      <c r="B635" s="1" t="s">
        <v>707</v>
      </c>
      <c r="C635" s="1" t="s">
        <v>711</v>
      </c>
    </row>
    <row r="636" spans="1:3" x14ac:dyDescent="0.25">
      <c r="A636" s="1" t="s">
        <v>700</v>
      </c>
      <c r="B636" s="1" t="s">
        <v>712</v>
      </c>
      <c r="C636" s="1" t="s">
        <v>713</v>
      </c>
    </row>
    <row r="637" spans="1:3" x14ac:dyDescent="0.25">
      <c r="A637" s="1" t="s">
        <v>700</v>
      </c>
      <c r="B637" s="1" t="s">
        <v>712</v>
      </c>
      <c r="C637" s="1" t="s">
        <v>714</v>
      </c>
    </row>
    <row r="638" spans="1:3" x14ac:dyDescent="0.25">
      <c r="A638" s="1" t="s">
        <v>700</v>
      </c>
      <c r="B638" s="1" t="s">
        <v>712</v>
      </c>
      <c r="C638" s="1" t="s">
        <v>715</v>
      </c>
    </row>
    <row r="639" spans="1:3" x14ac:dyDescent="0.25">
      <c r="A639" s="1" t="s">
        <v>700</v>
      </c>
      <c r="B639" s="1" t="s">
        <v>716</v>
      </c>
      <c r="C639" s="1" t="s">
        <v>717</v>
      </c>
    </row>
    <row r="640" spans="1:3" x14ac:dyDescent="0.25">
      <c r="A640" s="1" t="s">
        <v>700</v>
      </c>
      <c r="B640" s="1" t="s">
        <v>718</v>
      </c>
      <c r="C640" s="1" t="s">
        <v>719</v>
      </c>
    </row>
    <row r="641" spans="1:3" x14ac:dyDescent="0.25">
      <c r="A641" s="1" t="s">
        <v>700</v>
      </c>
      <c r="B641" s="1" t="s">
        <v>718</v>
      </c>
      <c r="C641" s="1" t="s">
        <v>720</v>
      </c>
    </row>
    <row r="642" spans="1:3" x14ac:dyDescent="0.25">
      <c r="A642" s="1" t="s">
        <v>700</v>
      </c>
      <c r="B642" s="1" t="s">
        <v>718</v>
      </c>
      <c r="C642" s="1" t="s">
        <v>721</v>
      </c>
    </row>
    <row r="643" spans="1:3" x14ac:dyDescent="0.25">
      <c r="A643" s="1" t="s">
        <v>700</v>
      </c>
      <c r="B643" s="1" t="s">
        <v>718</v>
      </c>
      <c r="C643" s="1" t="s">
        <v>722</v>
      </c>
    </row>
    <row r="644" spans="1:3" x14ac:dyDescent="0.25">
      <c r="A644" s="1" t="s">
        <v>700</v>
      </c>
      <c r="B644" s="1" t="s">
        <v>718</v>
      </c>
      <c r="C644" s="1" t="s">
        <v>723</v>
      </c>
    </row>
    <row r="645" spans="1:3" x14ac:dyDescent="0.25">
      <c r="A645" s="1" t="s">
        <v>700</v>
      </c>
      <c r="B645" s="1" t="s">
        <v>724</v>
      </c>
      <c r="C645" s="1" t="s">
        <v>725</v>
      </c>
    </row>
    <row r="646" spans="1:3" x14ac:dyDescent="0.25">
      <c r="A646" s="1" t="s">
        <v>700</v>
      </c>
      <c r="B646" s="1" t="s">
        <v>724</v>
      </c>
      <c r="C646" s="1" t="s">
        <v>726</v>
      </c>
    </row>
    <row r="647" spans="1:3" x14ac:dyDescent="0.25">
      <c r="A647" s="1" t="s">
        <v>700</v>
      </c>
      <c r="B647" s="1" t="s">
        <v>727</v>
      </c>
      <c r="C647" s="1" t="s">
        <v>728</v>
      </c>
    </row>
    <row r="648" spans="1:3" x14ac:dyDescent="0.25">
      <c r="A648" s="1" t="s">
        <v>700</v>
      </c>
      <c r="B648" s="1" t="s">
        <v>727</v>
      </c>
      <c r="C648" s="1" t="s">
        <v>729</v>
      </c>
    </row>
    <row r="649" spans="1:3" x14ac:dyDescent="0.25">
      <c r="A649" s="1" t="s">
        <v>700</v>
      </c>
      <c r="B649" s="1" t="s">
        <v>727</v>
      </c>
      <c r="C649" s="1" t="s">
        <v>730</v>
      </c>
    </row>
    <row r="650" spans="1:3" x14ac:dyDescent="0.25">
      <c r="A650" s="1" t="s">
        <v>700</v>
      </c>
      <c r="B650" s="1" t="s">
        <v>727</v>
      </c>
      <c r="C650" s="1" t="s">
        <v>731</v>
      </c>
    </row>
    <row r="651" spans="1:3" x14ac:dyDescent="0.25">
      <c r="A651" s="1" t="s">
        <v>700</v>
      </c>
      <c r="B651" s="1" t="s">
        <v>727</v>
      </c>
      <c r="C651" s="1" t="s">
        <v>732</v>
      </c>
    </row>
    <row r="652" spans="1:3" x14ac:dyDescent="0.25">
      <c r="A652" s="1" t="s">
        <v>733</v>
      </c>
      <c r="B652" s="1" t="s">
        <v>733</v>
      </c>
      <c r="C652" s="1" t="s">
        <v>734</v>
      </c>
    </row>
    <row r="653" spans="1:3" x14ac:dyDescent="0.25">
      <c r="A653" s="1" t="s">
        <v>733</v>
      </c>
      <c r="B653" s="1" t="s">
        <v>733</v>
      </c>
      <c r="C653" s="1" t="s">
        <v>735</v>
      </c>
    </row>
    <row r="654" spans="1:3" x14ac:dyDescent="0.25">
      <c r="A654" s="1" t="s">
        <v>733</v>
      </c>
      <c r="B654" s="1" t="s">
        <v>733</v>
      </c>
      <c r="C654" s="1" t="s">
        <v>736</v>
      </c>
    </row>
    <row r="655" spans="1:3" x14ac:dyDescent="0.25">
      <c r="A655" s="1" t="s">
        <v>733</v>
      </c>
      <c r="B655" s="1" t="s">
        <v>737</v>
      </c>
      <c r="C655" s="1" t="s">
        <v>738</v>
      </c>
    </row>
    <row r="656" spans="1:3" x14ac:dyDescent="0.25">
      <c r="A656" s="1" t="s">
        <v>733</v>
      </c>
      <c r="B656" s="1" t="s">
        <v>737</v>
      </c>
      <c r="C656" s="1" t="s">
        <v>739</v>
      </c>
    </row>
    <row r="657" spans="1:3" x14ac:dyDescent="0.25">
      <c r="A657" s="1" t="s">
        <v>733</v>
      </c>
      <c r="B657" s="1" t="s">
        <v>740</v>
      </c>
      <c r="C657" s="1" t="s">
        <v>741</v>
      </c>
    </row>
    <row r="658" spans="1:3" x14ac:dyDescent="0.25">
      <c r="A658" s="1" t="s">
        <v>733</v>
      </c>
      <c r="B658" s="1" t="s">
        <v>740</v>
      </c>
      <c r="C658" s="1" t="s">
        <v>742</v>
      </c>
    </row>
    <row r="659" spans="1:3" x14ac:dyDescent="0.25">
      <c r="A659" s="1" t="s">
        <v>733</v>
      </c>
      <c r="B659" s="1" t="s">
        <v>743</v>
      </c>
      <c r="C659" s="1" t="s">
        <v>744</v>
      </c>
    </row>
    <row r="660" spans="1:3" x14ac:dyDescent="0.25">
      <c r="A660" s="1" t="s">
        <v>733</v>
      </c>
      <c r="B660" s="1" t="s">
        <v>743</v>
      </c>
      <c r="C660" s="1" t="s">
        <v>745</v>
      </c>
    </row>
    <row r="661" spans="1:3" x14ac:dyDescent="0.25">
      <c r="A661" s="1" t="s">
        <v>733</v>
      </c>
      <c r="B661" s="1" t="s">
        <v>743</v>
      </c>
      <c r="C661" s="1" t="s">
        <v>746</v>
      </c>
    </row>
    <row r="662" spans="1:3" x14ac:dyDescent="0.25">
      <c r="A662" s="1" t="s">
        <v>733</v>
      </c>
      <c r="B662" s="1" t="s">
        <v>743</v>
      </c>
      <c r="C662" s="1" t="s">
        <v>747</v>
      </c>
    </row>
    <row r="663" spans="1:3" x14ac:dyDescent="0.25">
      <c r="A663" s="1" t="s">
        <v>733</v>
      </c>
      <c r="B663" s="1" t="s">
        <v>743</v>
      </c>
      <c r="C663" s="1" t="s">
        <v>748</v>
      </c>
    </row>
    <row r="664" spans="1:3" x14ac:dyDescent="0.25">
      <c r="A664" s="1" t="s">
        <v>733</v>
      </c>
      <c r="B664" s="1" t="s">
        <v>749</v>
      </c>
      <c r="C664" s="1" t="s">
        <v>750</v>
      </c>
    </row>
    <row r="665" spans="1:3" x14ac:dyDescent="0.25">
      <c r="A665" s="1" t="s">
        <v>733</v>
      </c>
      <c r="B665" s="1" t="s">
        <v>749</v>
      </c>
      <c r="C665" s="1" t="s">
        <v>751</v>
      </c>
    </row>
    <row r="666" spans="1:3" x14ac:dyDescent="0.25">
      <c r="A666" s="1" t="s">
        <v>752</v>
      </c>
      <c r="B666" s="1" t="s">
        <v>753</v>
      </c>
      <c r="C666" s="1" t="s">
        <v>754</v>
      </c>
    </row>
    <row r="667" spans="1:3" x14ac:dyDescent="0.25">
      <c r="A667" s="1" t="s">
        <v>752</v>
      </c>
      <c r="B667" s="1" t="s">
        <v>753</v>
      </c>
      <c r="C667" s="1" t="s">
        <v>755</v>
      </c>
    </row>
    <row r="668" spans="1:3" x14ac:dyDescent="0.25">
      <c r="A668" s="1" t="s">
        <v>752</v>
      </c>
      <c r="B668" s="1" t="s">
        <v>752</v>
      </c>
      <c r="C668" s="1" t="s">
        <v>756</v>
      </c>
    </row>
    <row r="669" spans="1:3" x14ac:dyDescent="0.25">
      <c r="A669" s="1" t="s">
        <v>752</v>
      </c>
      <c r="B669" s="1" t="s">
        <v>752</v>
      </c>
      <c r="C669" s="1" t="s">
        <v>757</v>
      </c>
    </row>
    <row r="670" spans="1:3" x14ac:dyDescent="0.25">
      <c r="A670" s="1" t="s">
        <v>752</v>
      </c>
      <c r="B670" s="1" t="s">
        <v>752</v>
      </c>
      <c r="C670" s="1" t="s">
        <v>758</v>
      </c>
    </row>
    <row r="671" spans="1:3" x14ac:dyDescent="0.25">
      <c r="A671" s="1" t="s">
        <v>752</v>
      </c>
      <c r="B671" s="1" t="s">
        <v>752</v>
      </c>
      <c r="C671" s="1" t="s">
        <v>759</v>
      </c>
    </row>
    <row r="672" spans="1:3" x14ac:dyDescent="0.25">
      <c r="A672" s="1" t="s">
        <v>752</v>
      </c>
      <c r="B672" s="1" t="s">
        <v>752</v>
      </c>
      <c r="C672" s="1" t="s">
        <v>760</v>
      </c>
    </row>
    <row r="673" spans="1:3" x14ac:dyDescent="0.25">
      <c r="A673" s="1" t="s">
        <v>752</v>
      </c>
      <c r="B673" s="1" t="s">
        <v>752</v>
      </c>
      <c r="C673" s="1" t="s">
        <v>761</v>
      </c>
    </row>
    <row r="674" spans="1:3" x14ac:dyDescent="0.25">
      <c r="A674" s="1" t="s">
        <v>752</v>
      </c>
      <c r="B674" s="1" t="s">
        <v>752</v>
      </c>
      <c r="C674" s="1" t="s">
        <v>762</v>
      </c>
    </row>
    <row r="675" spans="1:3" x14ac:dyDescent="0.25">
      <c r="A675" s="1" t="s">
        <v>752</v>
      </c>
      <c r="B675" s="1" t="s">
        <v>752</v>
      </c>
      <c r="C675" s="1" t="s">
        <v>763</v>
      </c>
    </row>
    <row r="676" spans="1:3" x14ac:dyDescent="0.25">
      <c r="A676" s="1" t="s">
        <v>752</v>
      </c>
      <c r="B676" s="1" t="s">
        <v>752</v>
      </c>
      <c r="C676" s="1" t="s">
        <v>764</v>
      </c>
    </row>
    <row r="677" spans="1:3" x14ac:dyDescent="0.25">
      <c r="A677" s="1" t="s">
        <v>752</v>
      </c>
      <c r="B677" s="1" t="s">
        <v>752</v>
      </c>
      <c r="C677" s="1" t="s">
        <v>765</v>
      </c>
    </row>
    <row r="678" spans="1:3" x14ac:dyDescent="0.25">
      <c r="A678" s="1" t="s">
        <v>752</v>
      </c>
      <c r="B678" s="1" t="s">
        <v>752</v>
      </c>
      <c r="C678" s="1" t="s">
        <v>766</v>
      </c>
    </row>
    <row r="679" spans="1:3" x14ac:dyDescent="0.25">
      <c r="A679" s="1" t="s">
        <v>752</v>
      </c>
      <c r="B679" s="1" t="s">
        <v>752</v>
      </c>
      <c r="C679" s="1" t="s">
        <v>767</v>
      </c>
    </row>
    <row r="680" spans="1:3" x14ac:dyDescent="0.25">
      <c r="A680" s="1" t="s">
        <v>752</v>
      </c>
      <c r="B680" s="1" t="s">
        <v>768</v>
      </c>
      <c r="C680" s="1" t="s">
        <v>769</v>
      </c>
    </row>
    <row r="681" spans="1:3" x14ac:dyDescent="0.25">
      <c r="A681" s="1" t="s">
        <v>752</v>
      </c>
      <c r="B681" s="1" t="s">
        <v>768</v>
      </c>
      <c r="C681" s="1" t="s">
        <v>770</v>
      </c>
    </row>
    <row r="682" spans="1:3" x14ac:dyDescent="0.25">
      <c r="A682" s="1" t="s">
        <v>752</v>
      </c>
      <c r="B682" s="1" t="s">
        <v>771</v>
      </c>
      <c r="C682" s="1" t="s">
        <v>772</v>
      </c>
    </row>
    <row r="683" spans="1:3" x14ac:dyDescent="0.25">
      <c r="A683" s="1" t="s">
        <v>752</v>
      </c>
      <c r="B683" s="1" t="s">
        <v>771</v>
      </c>
      <c r="C683" s="1" t="s">
        <v>773</v>
      </c>
    </row>
    <row r="684" spans="1:3" x14ac:dyDescent="0.25">
      <c r="A684" s="1" t="s">
        <v>752</v>
      </c>
      <c r="B684" s="1" t="s">
        <v>774</v>
      </c>
      <c r="C684" s="1" t="s">
        <v>775</v>
      </c>
    </row>
    <row r="685" spans="1:3" x14ac:dyDescent="0.25">
      <c r="A685" s="1" t="s">
        <v>752</v>
      </c>
      <c r="B685" s="1" t="s">
        <v>774</v>
      </c>
      <c r="C685" s="1" t="s">
        <v>776</v>
      </c>
    </row>
    <row r="686" spans="1:3" x14ac:dyDescent="0.25">
      <c r="A686" s="1" t="s">
        <v>752</v>
      </c>
      <c r="B686" s="1" t="s">
        <v>777</v>
      </c>
      <c r="C686" s="1" t="s">
        <v>778</v>
      </c>
    </row>
    <row r="687" spans="1:3" x14ac:dyDescent="0.25">
      <c r="A687" s="1" t="s">
        <v>752</v>
      </c>
      <c r="B687" s="1" t="s">
        <v>777</v>
      </c>
      <c r="C687" s="1" t="s">
        <v>779</v>
      </c>
    </row>
    <row r="688" spans="1:3" x14ac:dyDescent="0.25">
      <c r="A688" s="1" t="s">
        <v>752</v>
      </c>
      <c r="B688" s="1" t="s">
        <v>780</v>
      </c>
      <c r="C688" s="1" t="s">
        <v>781</v>
      </c>
    </row>
    <row r="689" spans="1:3" x14ac:dyDescent="0.25">
      <c r="A689" s="1" t="s">
        <v>752</v>
      </c>
      <c r="B689" s="1" t="s">
        <v>780</v>
      </c>
      <c r="C689" s="1" t="s">
        <v>782</v>
      </c>
    </row>
    <row r="690" spans="1:3" x14ac:dyDescent="0.25">
      <c r="A690" s="1" t="s">
        <v>752</v>
      </c>
      <c r="B690" s="1" t="s">
        <v>780</v>
      </c>
      <c r="C690" s="1" t="s">
        <v>783</v>
      </c>
    </row>
    <row r="691" spans="1:3" x14ac:dyDescent="0.25">
      <c r="A691" s="1" t="s">
        <v>784</v>
      </c>
      <c r="B691" s="1" t="s">
        <v>785</v>
      </c>
      <c r="C691" s="1" t="s">
        <v>786</v>
      </c>
    </row>
    <row r="692" spans="1:3" x14ac:dyDescent="0.25">
      <c r="A692" s="1" t="s">
        <v>784</v>
      </c>
      <c r="B692" s="1" t="s">
        <v>785</v>
      </c>
      <c r="C692" s="1" t="s">
        <v>787</v>
      </c>
    </row>
    <row r="693" spans="1:3" x14ac:dyDescent="0.25">
      <c r="A693" s="1" t="s">
        <v>784</v>
      </c>
      <c r="B693" s="1" t="s">
        <v>785</v>
      </c>
      <c r="C693" s="1" t="s">
        <v>788</v>
      </c>
    </row>
    <row r="694" spans="1:3" x14ac:dyDescent="0.25">
      <c r="A694" s="1" t="s">
        <v>784</v>
      </c>
      <c r="B694" s="1" t="s">
        <v>785</v>
      </c>
      <c r="C694" s="1" t="s">
        <v>789</v>
      </c>
    </row>
    <row r="695" spans="1:3" x14ac:dyDescent="0.25">
      <c r="A695" s="1" t="s">
        <v>784</v>
      </c>
      <c r="B695" s="1" t="s">
        <v>790</v>
      </c>
      <c r="C695" s="1" t="s">
        <v>791</v>
      </c>
    </row>
    <row r="696" spans="1:3" x14ac:dyDescent="0.25">
      <c r="A696" s="1" t="s">
        <v>784</v>
      </c>
      <c r="B696" s="1" t="s">
        <v>790</v>
      </c>
      <c r="C696" s="1" t="s">
        <v>792</v>
      </c>
    </row>
    <row r="697" spans="1:3" x14ac:dyDescent="0.25">
      <c r="A697" s="1" t="s">
        <v>784</v>
      </c>
      <c r="B697" s="1" t="s">
        <v>790</v>
      </c>
      <c r="C697" s="1" t="s">
        <v>793</v>
      </c>
    </row>
    <row r="698" spans="1:3" x14ac:dyDescent="0.25">
      <c r="A698" s="1" t="s">
        <v>784</v>
      </c>
      <c r="B698" s="1" t="s">
        <v>790</v>
      </c>
      <c r="C698" s="1" t="s">
        <v>794</v>
      </c>
    </row>
    <row r="699" spans="1:3" x14ac:dyDescent="0.25">
      <c r="A699" s="1" t="s">
        <v>784</v>
      </c>
      <c r="B699" s="1" t="s">
        <v>795</v>
      </c>
      <c r="C699" s="1" t="s">
        <v>796</v>
      </c>
    </row>
    <row r="700" spans="1:3" x14ac:dyDescent="0.25">
      <c r="A700" s="1" t="s">
        <v>784</v>
      </c>
      <c r="B700" s="1" t="s">
        <v>795</v>
      </c>
      <c r="C700" s="1" t="s">
        <v>797</v>
      </c>
    </row>
    <row r="701" spans="1:3" x14ac:dyDescent="0.25">
      <c r="A701" s="1" t="s">
        <v>784</v>
      </c>
      <c r="B701" s="1" t="s">
        <v>798</v>
      </c>
      <c r="C701" s="1" t="s">
        <v>799</v>
      </c>
    </row>
    <row r="702" spans="1:3" x14ac:dyDescent="0.25">
      <c r="A702" s="1" t="s">
        <v>784</v>
      </c>
      <c r="B702" s="1" t="s">
        <v>798</v>
      </c>
      <c r="C702" s="1" t="s">
        <v>800</v>
      </c>
    </row>
    <row r="703" spans="1:3" x14ac:dyDescent="0.25">
      <c r="A703" s="1" t="s">
        <v>784</v>
      </c>
      <c r="B703" s="1" t="s">
        <v>798</v>
      </c>
      <c r="C703" s="1" t="s">
        <v>801</v>
      </c>
    </row>
    <row r="704" spans="1:3" x14ac:dyDescent="0.25">
      <c r="A704" s="1" t="s">
        <v>784</v>
      </c>
      <c r="B704" s="1" t="s">
        <v>798</v>
      </c>
      <c r="C704" s="1" t="s">
        <v>802</v>
      </c>
    </row>
    <row r="705" spans="1:3" x14ac:dyDescent="0.25">
      <c r="A705" s="1" t="s">
        <v>784</v>
      </c>
      <c r="B705" s="1" t="s">
        <v>798</v>
      </c>
      <c r="C705" s="1" t="s">
        <v>803</v>
      </c>
    </row>
    <row r="706" spans="1:3" x14ac:dyDescent="0.25">
      <c r="A706" s="1" t="s">
        <v>784</v>
      </c>
      <c r="B706" s="1" t="s">
        <v>798</v>
      </c>
      <c r="C706" s="1" t="s">
        <v>804</v>
      </c>
    </row>
    <row r="707" spans="1:3" x14ac:dyDescent="0.25">
      <c r="A707" s="1" t="s">
        <v>784</v>
      </c>
      <c r="B707" s="1" t="s">
        <v>798</v>
      </c>
      <c r="C707" s="1" t="s">
        <v>805</v>
      </c>
    </row>
    <row r="708" spans="1:3" x14ac:dyDescent="0.25">
      <c r="A708" s="1" t="s">
        <v>784</v>
      </c>
      <c r="B708" s="1" t="s">
        <v>798</v>
      </c>
      <c r="C708" s="1" t="s">
        <v>806</v>
      </c>
    </row>
    <row r="709" spans="1:3" x14ac:dyDescent="0.25">
      <c r="A709" s="1" t="s">
        <v>784</v>
      </c>
      <c r="B709" s="1" t="s">
        <v>798</v>
      </c>
      <c r="C709" s="1" t="s">
        <v>807</v>
      </c>
    </row>
    <row r="710" spans="1:3" x14ac:dyDescent="0.25">
      <c r="A710" s="1" t="s">
        <v>784</v>
      </c>
      <c r="B710" s="1" t="s">
        <v>798</v>
      </c>
      <c r="C710" s="1" t="s">
        <v>808</v>
      </c>
    </row>
    <row r="711" spans="1:3" x14ac:dyDescent="0.25">
      <c r="A711" s="1" t="s">
        <v>784</v>
      </c>
      <c r="B711" s="1" t="s">
        <v>784</v>
      </c>
      <c r="C711" s="1" t="s">
        <v>809</v>
      </c>
    </row>
    <row r="712" spans="1:3" x14ac:dyDescent="0.25">
      <c r="A712" s="1" t="s">
        <v>784</v>
      </c>
      <c r="B712" s="1" t="s">
        <v>784</v>
      </c>
      <c r="C712" s="1" t="s">
        <v>810</v>
      </c>
    </row>
    <row r="713" spans="1:3" x14ac:dyDescent="0.25">
      <c r="A713" s="1" t="s">
        <v>784</v>
      </c>
      <c r="B713" s="1" t="s">
        <v>784</v>
      </c>
      <c r="C713" s="1" t="s">
        <v>811</v>
      </c>
    </row>
    <row r="714" spans="1:3" x14ac:dyDescent="0.25">
      <c r="A714" s="1" t="s">
        <v>784</v>
      </c>
      <c r="B714" s="1" t="s">
        <v>812</v>
      </c>
      <c r="C714" s="1" t="s">
        <v>813</v>
      </c>
    </row>
    <row r="715" spans="1:3" x14ac:dyDescent="0.25">
      <c r="A715" s="1" t="s">
        <v>784</v>
      </c>
      <c r="B715" s="1" t="s">
        <v>812</v>
      </c>
      <c r="C715" s="1" t="s">
        <v>814</v>
      </c>
    </row>
    <row r="716" spans="1:3" x14ac:dyDescent="0.25">
      <c r="A716" s="1" t="s">
        <v>784</v>
      </c>
      <c r="B716" s="1" t="s">
        <v>812</v>
      </c>
      <c r="C716" s="1" t="s">
        <v>815</v>
      </c>
    </row>
    <row r="717" spans="1:3" x14ac:dyDescent="0.25">
      <c r="A717" s="1" t="s">
        <v>784</v>
      </c>
      <c r="B717" s="1" t="s">
        <v>812</v>
      </c>
      <c r="C717" s="1" t="s">
        <v>816</v>
      </c>
    </row>
    <row r="718" spans="1:3" x14ac:dyDescent="0.25">
      <c r="A718" s="1" t="s">
        <v>784</v>
      </c>
      <c r="B718" s="1" t="s">
        <v>812</v>
      </c>
      <c r="C718" s="1" t="s">
        <v>817</v>
      </c>
    </row>
    <row r="719" spans="1:3" x14ac:dyDescent="0.25">
      <c r="A719" s="1" t="s">
        <v>784</v>
      </c>
      <c r="B719" s="1" t="s">
        <v>812</v>
      </c>
      <c r="C719" s="1" t="s">
        <v>818</v>
      </c>
    </row>
    <row r="720" spans="1:3" x14ac:dyDescent="0.25">
      <c r="A720" s="1" t="s">
        <v>784</v>
      </c>
      <c r="B720" s="1" t="s">
        <v>819</v>
      </c>
      <c r="C720" s="1" t="s">
        <v>820</v>
      </c>
    </row>
    <row r="721" spans="1:3" x14ac:dyDescent="0.25">
      <c r="A721" s="1" t="s">
        <v>784</v>
      </c>
      <c r="B721" s="1" t="s">
        <v>819</v>
      </c>
      <c r="C721" s="1" t="s">
        <v>821</v>
      </c>
    </row>
    <row r="722" spans="1:3" x14ac:dyDescent="0.25">
      <c r="A722" s="1" t="s">
        <v>822</v>
      </c>
      <c r="B722" s="1" t="s">
        <v>823</v>
      </c>
      <c r="C722" s="1" t="s">
        <v>824</v>
      </c>
    </row>
    <row r="723" spans="1:3" x14ac:dyDescent="0.25">
      <c r="A723" s="1" t="s">
        <v>822</v>
      </c>
      <c r="B723" s="1" t="s">
        <v>825</v>
      </c>
      <c r="C723" s="1" t="s">
        <v>826</v>
      </c>
    </row>
    <row r="724" spans="1:3" x14ac:dyDescent="0.25">
      <c r="A724" s="1" t="s">
        <v>822</v>
      </c>
      <c r="B724" s="1" t="s">
        <v>825</v>
      </c>
      <c r="C724" s="1" t="s">
        <v>827</v>
      </c>
    </row>
    <row r="725" spans="1:3" x14ac:dyDescent="0.25">
      <c r="A725" s="1" t="s">
        <v>822</v>
      </c>
      <c r="B725" s="1" t="s">
        <v>825</v>
      </c>
      <c r="C725" s="1" t="s">
        <v>828</v>
      </c>
    </row>
    <row r="726" spans="1:3" x14ac:dyDescent="0.25">
      <c r="A726" s="1" t="s">
        <v>822</v>
      </c>
      <c r="B726" s="1" t="s">
        <v>825</v>
      </c>
      <c r="C726" s="1" t="s">
        <v>829</v>
      </c>
    </row>
    <row r="727" spans="1:3" x14ac:dyDescent="0.25">
      <c r="A727" s="1" t="s">
        <v>822</v>
      </c>
      <c r="B727" s="1" t="s">
        <v>825</v>
      </c>
      <c r="C727" s="1" t="s">
        <v>830</v>
      </c>
    </row>
    <row r="728" spans="1:3" x14ac:dyDescent="0.25">
      <c r="A728" s="1" t="s">
        <v>822</v>
      </c>
      <c r="B728" s="1" t="s">
        <v>825</v>
      </c>
      <c r="C728" s="1" t="s">
        <v>831</v>
      </c>
    </row>
    <row r="729" spans="1:3" x14ac:dyDescent="0.25">
      <c r="A729" s="1" t="s">
        <v>822</v>
      </c>
      <c r="B729" s="1" t="s">
        <v>825</v>
      </c>
      <c r="C729" s="1" t="s">
        <v>832</v>
      </c>
    </row>
    <row r="730" spans="1:3" x14ac:dyDescent="0.25">
      <c r="A730" s="1" t="s">
        <v>822</v>
      </c>
      <c r="B730" s="1" t="s">
        <v>825</v>
      </c>
      <c r="C730" s="1" t="s">
        <v>833</v>
      </c>
    </row>
    <row r="731" spans="1:3" x14ac:dyDescent="0.25">
      <c r="A731" s="1" t="s">
        <v>822</v>
      </c>
      <c r="B731" s="1" t="s">
        <v>825</v>
      </c>
      <c r="C731" s="1" t="s">
        <v>834</v>
      </c>
    </row>
    <row r="732" spans="1:3" x14ac:dyDescent="0.25">
      <c r="A732" s="1" t="s">
        <v>822</v>
      </c>
      <c r="B732" s="1" t="s">
        <v>825</v>
      </c>
      <c r="C732" s="1" t="s">
        <v>835</v>
      </c>
    </row>
    <row r="733" spans="1:3" x14ac:dyDescent="0.25">
      <c r="A733" s="1" t="s">
        <v>822</v>
      </c>
      <c r="B733" s="1" t="s">
        <v>825</v>
      </c>
      <c r="C733" s="1" t="s">
        <v>836</v>
      </c>
    </row>
    <row r="734" spans="1:3" x14ac:dyDescent="0.25">
      <c r="A734" s="1" t="s">
        <v>822</v>
      </c>
      <c r="B734" s="1" t="s">
        <v>825</v>
      </c>
      <c r="C734" s="1" t="s">
        <v>837</v>
      </c>
    </row>
    <row r="735" spans="1:3" x14ac:dyDescent="0.25">
      <c r="A735" s="1" t="s">
        <v>822</v>
      </c>
      <c r="B735" s="1" t="s">
        <v>825</v>
      </c>
      <c r="C735" s="1" t="s">
        <v>838</v>
      </c>
    </row>
    <row r="736" spans="1:3" x14ac:dyDescent="0.25">
      <c r="A736" s="1" t="s">
        <v>822</v>
      </c>
      <c r="B736" s="1" t="s">
        <v>825</v>
      </c>
      <c r="C736" s="1" t="s">
        <v>839</v>
      </c>
    </row>
    <row r="737" spans="1:3" x14ac:dyDescent="0.25">
      <c r="A737" s="1" t="s">
        <v>822</v>
      </c>
      <c r="B737" s="1" t="s">
        <v>840</v>
      </c>
      <c r="C737" s="1" t="s">
        <v>841</v>
      </c>
    </row>
    <row r="738" spans="1:3" x14ac:dyDescent="0.25">
      <c r="A738" s="1" t="s">
        <v>822</v>
      </c>
      <c r="B738" s="1" t="s">
        <v>840</v>
      </c>
      <c r="C738" s="1" t="s">
        <v>842</v>
      </c>
    </row>
    <row r="739" spans="1:3" x14ac:dyDescent="0.25">
      <c r="A739" s="1" t="s">
        <v>822</v>
      </c>
      <c r="B739" s="1" t="s">
        <v>843</v>
      </c>
      <c r="C739" s="1" t="s">
        <v>844</v>
      </c>
    </row>
    <row r="740" spans="1:3" x14ac:dyDescent="0.25">
      <c r="A740" s="1" t="s">
        <v>822</v>
      </c>
      <c r="B740" s="1" t="s">
        <v>843</v>
      </c>
      <c r="C740" s="1" t="s">
        <v>845</v>
      </c>
    </row>
    <row r="741" spans="1:3" x14ac:dyDescent="0.25">
      <c r="A741" s="1" t="s">
        <v>822</v>
      </c>
      <c r="B741" s="1" t="s">
        <v>843</v>
      </c>
      <c r="C741" s="1" t="s">
        <v>846</v>
      </c>
    </row>
    <row r="742" spans="1:3" x14ac:dyDescent="0.25">
      <c r="A742" s="1" t="s">
        <v>822</v>
      </c>
      <c r="B742" s="1" t="s">
        <v>843</v>
      </c>
      <c r="C742" s="1" t="s">
        <v>847</v>
      </c>
    </row>
    <row r="743" spans="1:3" x14ac:dyDescent="0.25">
      <c r="A743" s="1" t="s">
        <v>822</v>
      </c>
      <c r="B743" s="1" t="s">
        <v>843</v>
      </c>
      <c r="C743" s="1" t="s">
        <v>848</v>
      </c>
    </row>
    <row r="744" spans="1:3" x14ac:dyDescent="0.25">
      <c r="A744" s="1" t="s">
        <v>822</v>
      </c>
      <c r="B744" s="1" t="s">
        <v>849</v>
      </c>
      <c r="C744" s="1" t="s">
        <v>850</v>
      </c>
    </row>
    <row r="745" spans="1:3" x14ac:dyDescent="0.25">
      <c r="A745" s="1" t="s">
        <v>822</v>
      </c>
      <c r="B745" s="1" t="s">
        <v>849</v>
      </c>
      <c r="C745" s="1" t="s">
        <v>851</v>
      </c>
    </row>
    <row r="746" spans="1:3" x14ac:dyDescent="0.25">
      <c r="A746" s="1" t="s">
        <v>822</v>
      </c>
      <c r="B746" s="1" t="s">
        <v>849</v>
      </c>
      <c r="C746" s="1" t="s">
        <v>852</v>
      </c>
    </row>
    <row r="747" spans="1:3" x14ac:dyDescent="0.25">
      <c r="A747" s="1" t="s">
        <v>822</v>
      </c>
      <c r="B747" s="1" t="s">
        <v>822</v>
      </c>
      <c r="C747" s="1" t="s">
        <v>853</v>
      </c>
    </row>
    <row r="748" spans="1:3" x14ac:dyDescent="0.25">
      <c r="A748" s="1" t="s">
        <v>822</v>
      </c>
      <c r="B748" s="1" t="s">
        <v>822</v>
      </c>
      <c r="C748" s="1" t="s">
        <v>854</v>
      </c>
    </row>
    <row r="749" spans="1:3" x14ac:dyDescent="0.25">
      <c r="A749" s="1" t="s">
        <v>822</v>
      </c>
      <c r="B749" s="1" t="s">
        <v>822</v>
      </c>
      <c r="C749" s="1" t="s">
        <v>855</v>
      </c>
    </row>
    <row r="750" spans="1:3" x14ac:dyDescent="0.25">
      <c r="A750" s="1" t="s">
        <v>822</v>
      </c>
      <c r="B750" s="1" t="s">
        <v>822</v>
      </c>
      <c r="C750" s="1" t="s">
        <v>856</v>
      </c>
    </row>
    <row r="751" spans="1:3" x14ac:dyDescent="0.25">
      <c r="A751" s="1" t="s">
        <v>822</v>
      </c>
      <c r="B751" s="1" t="s">
        <v>822</v>
      </c>
      <c r="C751" s="1" t="s">
        <v>857</v>
      </c>
    </row>
    <row r="752" spans="1:3" x14ac:dyDescent="0.25">
      <c r="A752" s="1" t="s">
        <v>822</v>
      </c>
      <c r="B752" s="1" t="s">
        <v>822</v>
      </c>
      <c r="C752" s="1" t="s">
        <v>858</v>
      </c>
    </row>
    <row r="753" spans="1:3" x14ac:dyDescent="0.25">
      <c r="A753" s="1" t="s">
        <v>822</v>
      </c>
      <c r="B753" s="1" t="s">
        <v>822</v>
      </c>
      <c r="C753" s="1" t="s">
        <v>859</v>
      </c>
    </row>
    <row r="754" spans="1:3" x14ac:dyDescent="0.25">
      <c r="A754" s="1" t="s">
        <v>822</v>
      </c>
      <c r="B754" s="1" t="s">
        <v>822</v>
      </c>
      <c r="C754" s="1" t="s">
        <v>860</v>
      </c>
    </row>
    <row r="755" spans="1:3" x14ac:dyDescent="0.25">
      <c r="A755" s="1" t="s">
        <v>822</v>
      </c>
      <c r="B755" s="1" t="s">
        <v>822</v>
      </c>
      <c r="C755" s="1" t="s">
        <v>861</v>
      </c>
    </row>
    <row r="756" spans="1:3" x14ac:dyDescent="0.25">
      <c r="A756" s="1" t="s">
        <v>822</v>
      </c>
      <c r="B756" s="1" t="s">
        <v>822</v>
      </c>
      <c r="C756" s="1" t="s">
        <v>862</v>
      </c>
    </row>
    <row r="757" spans="1:3" x14ac:dyDescent="0.25">
      <c r="A757" s="1" t="s">
        <v>822</v>
      </c>
      <c r="B757" s="1" t="s">
        <v>822</v>
      </c>
      <c r="C757" s="1" t="s">
        <v>863</v>
      </c>
    </row>
    <row r="758" spans="1:3" x14ac:dyDescent="0.25">
      <c r="A758" s="1" t="s">
        <v>822</v>
      </c>
      <c r="B758" s="1" t="s">
        <v>822</v>
      </c>
      <c r="C758" s="1" t="s">
        <v>864</v>
      </c>
    </row>
    <row r="759" spans="1:3" x14ac:dyDescent="0.25">
      <c r="A759" s="1" t="s">
        <v>822</v>
      </c>
      <c r="B759" s="1" t="s">
        <v>822</v>
      </c>
      <c r="C759" s="1" t="s">
        <v>865</v>
      </c>
    </row>
    <row r="760" spans="1:3" x14ac:dyDescent="0.25">
      <c r="A760" s="1" t="s">
        <v>822</v>
      </c>
      <c r="B760" s="1" t="s">
        <v>822</v>
      </c>
      <c r="C760" s="1" t="s">
        <v>866</v>
      </c>
    </row>
    <row r="761" spans="1:3" x14ac:dyDescent="0.25">
      <c r="A761" s="1" t="s">
        <v>822</v>
      </c>
      <c r="B761" s="1" t="s">
        <v>822</v>
      </c>
      <c r="C761" s="1" t="s">
        <v>867</v>
      </c>
    </row>
    <row r="762" spans="1:3" x14ac:dyDescent="0.25">
      <c r="A762" s="1" t="s">
        <v>822</v>
      </c>
      <c r="B762" s="1" t="s">
        <v>822</v>
      </c>
      <c r="C762" s="1" t="s">
        <v>868</v>
      </c>
    </row>
    <row r="763" spans="1:3" x14ac:dyDescent="0.25">
      <c r="A763" s="1" t="s">
        <v>822</v>
      </c>
      <c r="B763" s="1" t="s">
        <v>822</v>
      </c>
      <c r="C763" s="1" t="s">
        <v>869</v>
      </c>
    </row>
    <row r="764" spans="1:3" x14ac:dyDescent="0.25">
      <c r="A764" s="1" t="s">
        <v>822</v>
      </c>
      <c r="B764" s="1" t="s">
        <v>822</v>
      </c>
      <c r="C764" s="1" t="s">
        <v>870</v>
      </c>
    </row>
    <row r="765" spans="1:3" x14ac:dyDescent="0.25">
      <c r="A765" s="1" t="s">
        <v>822</v>
      </c>
      <c r="B765" s="1" t="s">
        <v>822</v>
      </c>
      <c r="C765" s="1" t="s">
        <v>871</v>
      </c>
    </row>
    <row r="766" spans="1:3" x14ac:dyDescent="0.25">
      <c r="A766" s="1" t="s">
        <v>822</v>
      </c>
      <c r="B766" s="1" t="s">
        <v>822</v>
      </c>
      <c r="C766" s="1" t="s">
        <v>872</v>
      </c>
    </row>
    <row r="767" spans="1:3" x14ac:dyDescent="0.25">
      <c r="A767" s="1" t="s">
        <v>822</v>
      </c>
      <c r="B767" s="1" t="s">
        <v>822</v>
      </c>
      <c r="C767" s="1" t="s">
        <v>873</v>
      </c>
    </row>
    <row r="768" spans="1:3" x14ac:dyDescent="0.25">
      <c r="A768" s="1" t="s">
        <v>822</v>
      </c>
      <c r="B768" s="1" t="s">
        <v>822</v>
      </c>
      <c r="C768" s="1" t="s">
        <v>874</v>
      </c>
    </row>
    <row r="769" spans="1:3" x14ac:dyDescent="0.25">
      <c r="A769" s="1" t="s">
        <v>822</v>
      </c>
      <c r="B769" s="1" t="s">
        <v>822</v>
      </c>
      <c r="C769" s="1" t="s">
        <v>875</v>
      </c>
    </row>
    <row r="770" spans="1:3" x14ac:dyDescent="0.25">
      <c r="A770" s="1" t="s">
        <v>822</v>
      </c>
      <c r="B770" s="1" t="s">
        <v>822</v>
      </c>
      <c r="C770" s="1" t="s">
        <v>876</v>
      </c>
    </row>
    <row r="771" spans="1:3" x14ac:dyDescent="0.25">
      <c r="A771" s="1" t="s">
        <v>822</v>
      </c>
      <c r="B771" s="1" t="s">
        <v>822</v>
      </c>
      <c r="C771" s="1" t="s">
        <v>877</v>
      </c>
    </row>
    <row r="772" spans="1:3" x14ac:dyDescent="0.25">
      <c r="A772" s="1" t="s">
        <v>822</v>
      </c>
      <c r="B772" s="1" t="s">
        <v>822</v>
      </c>
      <c r="C772" s="1" t="s">
        <v>878</v>
      </c>
    </row>
    <row r="773" spans="1:3" x14ac:dyDescent="0.25">
      <c r="A773" s="1" t="s">
        <v>822</v>
      </c>
      <c r="B773" s="1" t="s">
        <v>879</v>
      </c>
      <c r="C773" s="1" t="s">
        <v>880</v>
      </c>
    </row>
    <row r="774" spans="1:3" x14ac:dyDescent="0.25">
      <c r="A774" s="1" t="s">
        <v>822</v>
      </c>
      <c r="B774" s="1" t="s">
        <v>879</v>
      </c>
      <c r="C774" s="1" t="s">
        <v>881</v>
      </c>
    </row>
    <row r="775" spans="1:3" x14ac:dyDescent="0.25">
      <c r="A775" s="1" t="s">
        <v>822</v>
      </c>
      <c r="B775" s="1" t="s">
        <v>882</v>
      </c>
      <c r="C775" s="1" t="s">
        <v>883</v>
      </c>
    </row>
    <row r="776" spans="1:3" x14ac:dyDescent="0.25">
      <c r="A776" s="1" t="s">
        <v>822</v>
      </c>
      <c r="B776" s="1" t="s">
        <v>882</v>
      </c>
      <c r="C776" s="1" t="s">
        <v>884</v>
      </c>
    </row>
    <row r="777" spans="1:3" x14ac:dyDescent="0.25">
      <c r="A777" s="1" t="s">
        <v>822</v>
      </c>
      <c r="B777" s="1" t="s">
        <v>885</v>
      </c>
      <c r="C777" s="1" t="s">
        <v>886</v>
      </c>
    </row>
    <row r="778" spans="1:3" x14ac:dyDescent="0.25">
      <c r="A778" s="1" t="s">
        <v>822</v>
      </c>
      <c r="B778" s="1" t="s">
        <v>885</v>
      </c>
      <c r="C778" s="1" t="s">
        <v>887</v>
      </c>
    </row>
    <row r="779" spans="1:3" x14ac:dyDescent="0.25">
      <c r="A779" s="1" t="s">
        <v>822</v>
      </c>
      <c r="B779" s="1" t="s">
        <v>888</v>
      </c>
      <c r="C779" s="1" t="s">
        <v>889</v>
      </c>
    </row>
    <row r="780" spans="1:3" x14ac:dyDescent="0.25">
      <c r="A780" s="1" t="s">
        <v>822</v>
      </c>
      <c r="B780" s="1" t="s">
        <v>890</v>
      </c>
      <c r="C780" s="1" t="s">
        <v>891</v>
      </c>
    </row>
    <row r="781" spans="1:3" x14ac:dyDescent="0.25">
      <c r="A781" s="1" t="s">
        <v>822</v>
      </c>
      <c r="B781" s="1" t="s">
        <v>890</v>
      </c>
      <c r="C781" s="1" t="s">
        <v>892</v>
      </c>
    </row>
    <row r="782" spans="1:3" x14ac:dyDescent="0.25">
      <c r="A782" s="1" t="s">
        <v>822</v>
      </c>
      <c r="B782" s="1" t="s">
        <v>893</v>
      </c>
      <c r="C782" s="1" t="s">
        <v>894</v>
      </c>
    </row>
    <row r="783" spans="1:3" x14ac:dyDescent="0.25">
      <c r="A783" s="1" t="s">
        <v>822</v>
      </c>
      <c r="B783" s="1" t="s">
        <v>893</v>
      </c>
      <c r="C783" s="1" t="s">
        <v>895</v>
      </c>
    </row>
    <row r="784" spans="1:3" x14ac:dyDescent="0.25">
      <c r="A784" s="1" t="s">
        <v>822</v>
      </c>
      <c r="B784" s="1" t="s">
        <v>893</v>
      </c>
      <c r="C784" s="1" t="s">
        <v>896</v>
      </c>
    </row>
    <row r="785" spans="1:3" x14ac:dyDescent="0.25">
      <c r="A785" s="1" t="s">
        <v>822</v>
      </c>
      <c r="B785" s="1" t="s">
        <v>893</v>
      </c>
      <c r="C785" s="1" t="s">
        <v>897</v>
      </c>
    </row>
    <row r="786" spans="1:3" x14ac:dyDescent="0.25">
      <c r="A786" s="1" t="s">
        <v>822</v>
      </c>
      <c r="B786" s="1" t="s">
        <v>893</v>
      </c>
      <c r="C786" s="1" t="s">
        <v>898</v>
      </c>
    </row>
    <row r="787" spans="1:3" x14ac:dyDescent="0.25">
      <c r="A787" s="1" t="s">
        <v>822</v>
      </c>
      <c r="B787" s="1" t="s">
        <v>899</v>
      </c>
      <c r="C787" s="1" t="s">
        <v>900</v>
      </c>
    </row>
    <row r="788" spans="1:3" x14ac:dyDescent="0.25">
      <c r="A788" s="1" t="s">
        <v>822</v>
      </c>
      <c r="B788" s="1" t="s">
        <v>899</v>
      </c>
      <c r="C788" s="1" t="s">
        <v>901</v>
      </c>
    </row>
    <row r="789" spans="1:3" x14ac:dyDescent="0.25">
      <c r="A789" s="1" t="s">
        <v>902</v>
      </c>
      <c r="B789" s="1" t="s">
        <v>903</v>
      </c>
      <c r="C789" s="1" t="s">
        <v>904</v>
      </c>
    </row>
    <row r="790" spans="1:3" x14ac:dyDescent="0.25">
      <c r="A790" s="1" t="s">
        <v>902</v>
      </c>
      <c r="B790" s="1" t="s">
        <v>903</v>
      </c>
      <c r="C790" s="1" t="s">
        <v>905</v>
      </c>
    </row>
    <row r="791" spans="1:3" x14ac:dyDescent="0.25">
      <c r="A791" s="1" t="s">
        <v>902</v>
      </c>
      <c r="B791" s="1" t="s">
        <v>903</v>
      </c>
      <c r="C791" s="1" t="s">
        <v>906</v>
      </c>
    </row>
    <row r="792" spans="1:3" x14ac:dyDescent="0.25">
      <c r="A792" s="1" t="s">
        <v>902</v>
      </c>
      <c r="B792" s="1" t="s">
        <v>903</v>
      </c>
      <c r="C792" s="1" t="s">
        <v>907</v>
      </c>
    </row>
    <row r="793" spans="1:3" x14ac:dyDescent="0.25">
      <c r="A793" s="1" t="s">
        <v>902</v>
      </c>
      <c r="B793" s="1" t="s">
        <v>903</v>
      </c>
      <c r="C793" s="1" t="s">
        <v>908</v>
      </c>
    </row>
    <row r="794" spans="1:3" x14ac:dyDescent="0.25">
      <c r="A794" s="1" t="s">
        <v>902</v>
      </c>
      <c r="B794" s="1" t="s">
        <v>903</v>
      </c>
      <c r="C794" s="1" t="s">
        <v>909</v>
      </c>
    </row>
    <row r="795" spans="1:3" x14ac:dyDescent="0.25">
      <c r="A795" s="1" t="s">
        <v>902</v>
      </c>
      <c r="B795" s="1" t="s">
        <v>903</v>
      </c>
      <c r="C795" s="1" t="s">
        <v>910</v>
      </c>
    </row>
    <row r="796" spans="1:3" x14ac:dyDescent="0.25">
      <c r="A796" s="1" t="s">
        <v>902</v>
      </c>
      <c r="B796" s="1" t="s">
        <v>903</v>
      </c>
      <c r="C796" s="1" t="s">
        <v>911</v>
      </c>
    </row>
    <row r="797" spans="1:3" x14ac:dyDescent="0.25">
      <c r="A797" s="1" t="s">
        <v>902</v>
      </c>
      <c r="B797" s="1" t="s">
        <v>903</v>
      </c>
      <c r="C797" s="1" t="s">
        <v>912</v>
      </c>
    </row>
    <row r="798" spans="1:3" x14ac:dyDescent="0.25">
      <c r="A798" s="1" t="s">
        <v>902</v>
      </c>
      <c r="B798" s="1" t="s">
        <v>903</v>
      </c>
      <c r="C798" s="1" t="s">
        <v>913</v>
      </c>
    </row>
    <row r="799" spans="1:3" x14ac:dyDescent="0.25">
      <c r="A799" s="1" t="s">
        <v>902</v>
      </c>
      <c r="B799" s="1" t="s">
        <v>903</v>
      </c>
      <c r="C799" s="1" t="s">
        <v>914</v>
      </c>
    </row>
    <row r="800" spans="1:3" x14ac:dyDescent="0.25">
      <c r="A800" s="1" t="s">
        <v>902</v>
      </c>
      <c r="B800" s="1" t="s">
        <v>915</v>
      </c>
      <c r="C800" s="1" t="s">
        <v>916</v>
      </c>
    </row>
    <row r="801" spans="1:3" x14ac:dyDescent="0.25">
      <c r="A801" s="1" t="s">
        <v>902</v>
      </c>
      <c r="B801" s="1" t="s">
        <v>915</v>
      </c>
      <c r="C801" s="1" t="s">
        <v>917</v>
      </c>
    </row>
    <row r="802" spans="1:3" x14ac:dyDescent="0.25">
      <c r="A802" s="1" t="s">
        <v>902</v>
      </c>
      <c r="B802" s="1" t="s">
        <v>915</v>
      </c>
      <c r="C802" s="1" t="s">
        <v>918</v>
      </c>
    </row>
    <row r="803" spans="1:3" x14ac:dyDescent="0.25">
      <c r="A803" s="1" t="s">
        <v>902</v>
      </c>
      <c r="B803" s="1" t="s">
        <v>902</v>
      </c>
      <c r="C803" s="1" t="s">
        <v>919</v>
      </c>
    </row>
    <row r="804" spans="1:3" x14ac:dyDescent="0.25">
      <c r="A804" s="1" t="s">
        <v>902</v>
      </c>
      <c r="B804" s="1" t="s">
        <v>902</v>
      </c>
      <c r="C804" s="1" t="s">
        <v>920</v>
      </c>
    </row>
    <row r="805" spans="1:3" x14ac:dyDescent="0.25">
      <c r="A805" s="1" t="s">
        <v>902</v>
      </c>
      <c r="B805" s="1" t="s">
        <v>902</v>
      </c>
      <c r="C805" s="1" t="s">
        <v>921</v>
      </c>
    </row>
    <row r="806" spans="1:3" x14ac:dyDescent="0.25">
      <c r="A806" s="1" t="s">
        <v>922</v>
      </c>
      <c r="B806" s="1" t="s">
        <v>923</v>
      </c>
      <c r="C806" s="1" t="s">
        <v>924</v>
      </c>
    </row>
    <row r="807" spans="1:3" x14ac:dyDescent="0.25">
      <c r="A807" s="1" t="s">
        <v>922</v>
      </c>
      <c r="B807" s="1" t="s">
        <v>923</v>
      </c>
      <c r="C807" s="1" t="s">
        <v>925</v>
      </c>
    </row>
    <row r="808" spans="1:3" x14ac:dyDescent="0.25">
      <c r="A808" s="1" t="s">
        <v>922</v>
      </c>
      <c r="B808" s="1" t="s">
        <v>923</v>
      </c>
      <c r="C808" s="1" t="s">
        <v>926</v>
      </c>
    </row>
    <row r="809" spans="1:3" x14ac:dyDescent="0.25">
      <c r="A809" s="1" t="s">
        <v>922</v>
      </c>
      <c r="B809" s="1" t="s">
        <v>923</v>
      </c>
      <c r="C809" s="1" t="s">
        <v>927</v>
      </c>
    </row>
    <row r="810" spans="1:3" x14ac:dyDescent="0.25">
      <c r="A810" s="1" t="s">
        <v>922</v>
      </c>
      <c r="B810" s="1" t="s">
        <v>923</v>
      </c>
      <c r="C810" s="1" t="s">
        <v>928</v>
      </c>
    </row>
    <row r="811" spans="1:3" x14ac:dyDescent="0.25">
      <c r="A811" s="1" t="s">
        <v>922</v>
      </c>
      <c r="B811" s="1" t="s">
        <v>923</v>
      </c>
      <c r="C811" s="1" t="s">
        <v>929</v>
      </c>
    </row>
    <row r="812" spans="1:3" x14ac:dyDescent="0.25">
      <c r="A812" s="1" t="s">
        <v>922</v>
      </c>
      <c r="B812" s="1" t="s">
        <v>923</v>
      </c>
      <c r="C812" s="1" t="s">
        <v>930</v>
      </c>
    </row>
    <row r="813" spans="1:3" x14ac:dyDescent="0.25">
      <c r="A813" s="1" t="s">
        <v>922</v>
      </c>
      <c r="B813" s="1" t="s">
        <v>931</v>
      </c>
      <c r="C813" s="1" t="s">
        <v>932</v>
      </c>
    </row>
    <row r="814" spans="1:3" x14ac:dyDescent="0.25">
      <c r="A814" s="1" t="s">
        <v>922</v>
      </c>
      <c r="B814" s="1" t="s">
        <v>931</v>
      </c>
      <c r="C814" s="1" t="s">
        <v>933</v>
      </c>
    </row>
    <row r="815" spans="1:3" x14ac:dyDescent="0.25">
      <c r="A815" s="1" t="s">
        <v>922</v>
      </c>
      <c r="B815" s="1" t="s">
        <v>934</v>
      </c>
      <c r="C815" s="1" t="s">
        <v>935</v>
      </c>
    </row>
    <row r="816" spans="1:3" x14ac:dyDescent="0.25">
      <c r="A816" s="1" t="s">
        <v>922</v>
      </c>
      <c r="B816" s="1" t="s">
        <v>922</v>
      </c>
      <c r="C816" s="1" t="s">
        <v>936</v>
      </c>
    </row>
    <row r="817" spans="1:3" x14ac:dyDescent="0.25">
      <c r="A817" s="1" t="s">
        <v>922</v>
      </c>
      <c r="B817" s="1" t="s">
        <v>922</v>
      </c>
      <c r="C817" s="1" t="s">
        <v>937</v>
      </c>
    </row>
    <row r="818" spans="1:3" x14ac:dyDescent="0.25">
      <c r="A818" s="1" t="s">
        <v>922</v>
      </c>
      <c r="B818" s="1" t="s">
        <v>922</v>
      </c>
      <c r="C818" s="1" t="s">
        <v>938</v>
      </c>
    </row>
    <row r="819" spans="1:3" x14ac:dyDescent="0.25">
      <c r="A819" s="1" t="s">
        <v>922</v>
      </c>
      <c r="B819" s="1" t="s">
        <v>922</v>
      </c>
      <c r="C819" s="1" t="s">
        <v>939</v>
      </c>
    </row>
    <row r="820" spans="1:3" x14ac:dyDescent="0.25">
      <c r="A820" s="1" t="s">
        <v>922</v>
      </c>
      <c r="B820" s="1" t="s">
        <v>922</v>
      </c>
      <c r="C820" s="1" t="s">
        <v>940</v>
      </c>
    </row>
    <row r="821" spans="1:3" x14ac:dyDescent="0.25">
      <c r="A821" s="1" t="s">
        <v>922</v>
      </c>
      <c r="B821" s="1" t="s">
        <v>922</v>
      </c>
      <c r="C821" s="1" t="s">
        <v>941</v>
      </c>
    </row>
    <row r="822" spans="1:3" x14ac:dyDescent="0.25">
      <c r="A822" s="1" t="s">
        <v>922</v>
      </c>
      <c r="B822" s="1" t="s">
        <v>922</v>
      </c>
      <c r="C822" s="1" t="s">
        <v>942</v>
      </c>
    </row>
    <row r="823" spans="1:3" x14ac:dyDescent="0.25">
      <c r="A823" s="1" t="s">
        <v>922</v>
      </c>
      <c r="B823" s="1" t="s">
        <v>922</v>
      </c>
      <c r="C823" s="1" t="s">
        <v>943</v>
      </c>
    </row>
    <row r="824" spans="1:3" x14ac:dyDescent="0.25">
      <c r="A824" s="1" t="s">
        <v>922</v>
      </c>
      <c r="B824" s="1" t="s">
        <v>922</v>
      </c>
      <c r="C824" s="1" t="s">
        <v>944</v>
      </c>
    </row>
    <row r="825" spans="1:3" x14ac:dyDescent="0.25">
      <c r="A825" s="1" t="s">
        <v>922</v>
      </c>
      <c r="B825" s="1" t="s">
        <v>945</v>
      </c>
      <c r="C825" s="1" t="s">
        <v>946</v>
      </c>
    </row>
    <row r="826" spans="1:3" x14ac:dyDescent="0.25">
      <c r="A826" s="1" t="s">
        <v>922</v>
      </c>
      <c r="B826" s="1" t="s">
        <v>945</v>
      </c>
      <c r="C826" s="1" t="s">
        <v>947</v>
      </c>
    </row>
    <row r="827" spans="1:3" x14ac:dyDescent="0.25">
      <c r="A827" s="1" t="s">
        <v>922</v>
      </c>
      <c r="B827" s="1" t="s">
        <v>945</v>
      </c>
      <c r="C827" s="1" t="s">
        <v>948</v>
      </c>
    </row>
    <row r="828" spans="1:3" x14ac:dyDescent="0.25">
      <c r="A828" s="1" t="s">
        <v>922</v>
      </c>
      <c r="B828" s="1" t="s">
        <v>945</v>
      </c>
      <c r="C828" s="1" t="s">
        <v>949</v>
      </c>
    </row>
    <row r="829" spans="1:3" x14ac:dyDescent="0.25">
      <c r="A829" s="1" t="s">
        <v>922</v>
      </c>
      <c r="B829" s="1" t="s">
        <v>945</v>
      </c>
      <c r="C829" s="1" t="s">
        <v>949</v>
      </c>
    </row>
    <row r="830" spans="1:3" x14ac:dyDescent="0.25">
      <c r="A830" s="1" t="s">
        <v>922</v>
      </c>
      <c r="B830" s="1" t="s">
        <v>945</v>
      </c>
      <c r="C830" s="1" t="s">
        <v>950</v>
      </c>
    </row>
    <row r="831" spans="1:3" x14ac:dyDescent="0.25">
      <c r="A831" s="1" t="s">
        <v>951</v>
      </c>
      <c r="B831" s="1" t="s">
        <v>952</v>
      </c>
      <c r="C831" s="1" t="s">
        <v>953</v>
      </c>
    </row>
    <row r="832" spans="1:3" x14ac:dyDescent="0.25">
      <c r="A832" s="1" t="s">
        <v>951</v>
      </c>
      <c r="B832" s="1" t="s">
        <v>952</v>
      </c>
      <c r="C832" s="1" t="s">
        <v>954</v>
      </c>
    </row>
    <row r="833" spans="1:3" x14ac:dyDescent="0.25">
      <c r="A833" s="1" t="s">
        <v>951</v>
      </c>
      <c r="B833" s="1" t="s">
        <v>955</v>
      </c>
      <c r="C833" s="1" t="s">
        <v>956</v>
      </c>
    </row>
    <row r="834" spans="1:3" x14ac:dyDescent="0.25">
      <c r="A834" s="1" t="s">
        <v>951</v>
      </c>
      <c r="B834" s="1" t="s">
        <v>955</v>
      </c>
      <c r="C834" s="1" t="s">
        <v>957</v>
      </c>
    </row>
    <row r="835" spans="1:3" x14ac:dyDescent="0.25">
      <c r="A835" s="1" t="s">
        <v>951</v>
      </c>
      <c r="B835" s="1" t="s">
        <v>955</v>
      </c>
      <c r="C835" s="1" t="s">
        <v>958</v>
      </c>
    </row>
    <row r="836" spans="1:3" x14ac:dyDescent="0.25">
      <c r="A836" s="1" t="s">
        <v>951</v>
      </c>
      <c r="B836" s="1" t="s">
        <v>955</v>
      </c>
      <c r="C836" s="1" t="s">
        <v>959</v>
      </c>
    </row>
    <row r="837" spans="1:3" x14ac:dyDescent="0.25">
      <c r="A837" s="1" t="s">
        <v>951</v>
      </c>
      <c r="B837" s="1" t="s">
        <v>960</v>
      </c>
      <c r="C837" s="1" t="s">
        <v>961</v>
      </c>
    </row>
    <row r="838" spans="1:3" x14ac:dyDescent="0.25">
      <c r="A838" s="1" t="s">
        <v>951</v>
      </c>
      <c r="B838" s="1" t="s">
        <v>960</v>
      </c>
      <c r="C838" s="1" t="s">
        <v>962</v>
      </c>
    </row>
    <row r="839" spans="1:3" x14ac:dyDescent="0.25">
      <c r="A839" s="1" t="s">
        <v>951</v>
      </c>
      <c r="B839" s="1" t="s">
        <v>960</v>
      </c>
      <c r="C839" s="1" t="s">
        <v>963</v>
      </c>
    </row>
    <row r="840" spans="1:3" x14ac:dyDescent="0.25">
      <c r="A840" s="1" t="s">
        <v>951</v>
      </c>
      <c r="B840" s="1" t="s">
        <v>960</v>
      </c>
      <c r="C840" s="1" t="s">
        <v>964</v>
      </c>
    </row>
    <row r="841" spans="1:3" x14ac:dyDescent="0.25">
      <c r="A841" s="1" t="s">
        <v>951</v>
      </c>
      <c r="B841" s="1" t="s">
        <v>960</v>
      </c>
      <c r="C841" s="1" t="s">
        <v>965</v>
      </c>
    </row>
    <row r="842" spans="1:3" x14ac:dyDescent="0.25">
      <c r="A842" s="1" t="s">
        <v>951</v>
      </c>
      <c r="B842" s="1" t="s">
        <v>960</v>
      </c>
      <c r="C842" s="1" t="s">
        <v>966</v>
      </c>
    </row>
    <row r="843" spans="1:3" x14ac:dyDescent="0.25">
      <c r="A843" s="1" t="s">
        <v>951</v>
      </c>
      <c r="B843" s="1" t="s">
        <v>951</v>
      </c>
      <c r="C843" s="1" t="s">
        <v>958</v>
      </c>
    </row>
    <row r="844" spans="1:3" x14ac:dyDescent="0.25">
      <c r="A844" s="1" t="s">
        <v>951</v>
      </c>
      <c r="B844" s="1" t="s">
        <v>951</v>
      </c>
      <c r="C844" s="1" t="s">
        <v>967</v>
      </c>
    </row>
    <row r="845" spans="1:3" x14ac:dyDescent="0.25">
      <c r="A845" s="1" t="s">
        <v>951</v>
      </c>
      <c r="B845" s="1" t="s">
        <v>951</v>
      </c>
      <c r="C845" s="1" t="s">
        <v>968</v>
      </c>
    </row>
    <row r="846" spans="1:3" x14ac:dyDescent="0.25">
      <c r="A846" s="1" t="s">
        <v>951</v>
      </c>
      <c r="B846" s="1" t="s">
        <v>951</v>
      </c>
      <c r="C846" s="1" t="s">
        <v>969</v>
      </c>
    </row>
    <row r="847" spans="1:3" x14ac:dyDescent="0.25">
      <c r="A847" s="1" t="s">
        <v>951</v>
      </c>
      <c r="B847" s="1" t="s">
        <v>970</v>
      </c>
      <c r="C847" s="1" t="s">
        <v>971</v>
      </c>
    </row>
    <row r="848" spans="1:3" x14ac:dyDescent="0.25">
      <c r="A848" s="1" t="s">
        <v>951</v>
      </c>
      <c r="B848" s="1" t="s">
        <v>970</v>
      </c>
      <c r="C848" s="1" t="s">
        <v>972</v>
      </c>
    </row>
    <row r="849" spans="1:3" x14ac:dyDescent="0.25">
      <c r="A849" s="1" t="s">
        <v>951</v>
      </c>
      <c r="B849" s="1" t="s">
        <v>970</v>
      </c>
      <c r="C849" s="1" t="s">
        <v>973</v>
      </c>
    </row>
    <row r="850" spans="1:3" x14ac:dyDescent="0.25">
      <c r="A850" s="1" t="s">
        <v>951</v>
      </c>
      <c r="B850" s="1" t="s">
        <v>970</v>
      </c>
      <c r="C850" s="1" t="s">
        <v>974</v>
      </c>
    </row>
    <row r="851" spans="1:3" x14ac:dyDescent="0.25">
      <c r="A851" s="1" t="s">
        <v>951</v>
      </c>
      <c r="B851" s="1" t="s">
        <v>975</v>
      </c>
      <c r="C851" s="1" t="s">
        <v>976</v>
      </c>
    </row>
    <row r="852" spans="1:3" x14ac:dyDescent="0.25">
      <c r="A852" s="1" t="s">
        <v>977</v>
      </c>
      <c r="B852" s="1" t="s">
        <v>978</v>
      </c>
      <c r="C852" s="1" t="s">
        <v>979</v>
      </c>
    </row>
    <row r="853" spans="1:3" x14ac:dyDescent="0.25">
      <c r="A853" s="1" t="s">
        <v>977</v>
      </c>
      <c r="B853" s="1" t="s">
        <v>978</v>
      </c>
      <c r="C853" s="1" t="s">
        <v>980</v>
      </c>
    </row>
    <row r="854" spans="1:3" x14ac:dyDescent="0.25">
      <c r="A854" s="1" t="s">
        <v>977</v>
      </c>
      <c r="B854" s="1" t="s">
        <v>978</v>
      </c>
      <c r="C854" s="1" t="s">
        <v>981</v>
      </c>
    </row>
    <row r="855" spans="1:3" x14ac:dyDescent="0.25">
      <c r="A855" s="1" t="s">
        <v>977</v>
      </c>
      <c r="B855" s="1" t="s">
        <v>982</v>
      </c>
      <c r="C855" s="1" t="s">
        <v>983</v>
      </c>
    </row>
    <row r="856" spans="1:3" x14ac:dyDescent="0.25">
      <c r="A856" s="1" t="s">
        <v>977</v>
      </c>
      <c r="B856" s="1" t="s">
        <v>982</v>
      </c>
      <c r="C856" s="1" t="s">
        <v>984</v>
      </c>
    </row>
    <row r="857" spans="1:3" x14ac:dyDescent="0.25">
      <c r="A857" s="1" t="s">
        <v>977</v>
      </c>
      <c r="B857" s="1" t="s">
        <v>982</v>
      </c>
      <c r="C857" s="1" t="s">
        <v>985</v>
      </c>
    </row>
    <row r="858" spans="1:3" x14ac:dyDescent="0.25">
      <c r="A858" s="1" t="s">
        <v>977</v>
      </c>
      <c r="B858" s="1" t="s">
        <v>986</v>
      </c>
      <c r="C858" s="1" t="s">
        <v>987</v>
      </c>
    </row>
    <row r="859" spans="1:3" x14ac:dyDescent="0.25">
      <c r="A859" s="1" t="s">
        <v>977</v>
      </c>
      <c r="B859" s="1" t="s">
        <v>986</v>
      </c>
      <c r="C859" s="1" t="s">
        <v>988</v>
      </c>
    </row>
    <row r="860" spans="1:3" x14ac:dyDescent="0.25">
      <c r="A860" s="1" t="s">
        <v>977</v>
      </c>
      <c r="B860" s="1" t="s">
        <v>986</v>
      </c>
      <c r="C860" s="1" t="s">
        <v>989</v>
      </c>
    </row>
    <row r="861" spans="1:3" x14ac:dyDescent="0.25">
      <c r="A861" s="1" t="s">
        <v>977</v>
      </c>
      <c r="B861" s="1" t="s">
        <v>977</v>
      </c>
      <c r="C861" s="1" t="s">
        <v>990</v>
      </c>
    </row>
    <row r="862" spans="1:3" x14ac:dyDescent="0.25">
      <c r="A862" s="1" t="s">
        <v>977</v>
      </c>
      <c r="B862" s="1" t="s">
        <v>977</v>
      </c>
      <c r="C862" s="1" t="s">
        <v>991</v>
      </c>
    </row>
    <row r="863" spans="1:3" x14ac:dyDescent="0.25">
      <c r="A863" s="1" t="s">
        <v>977</v>
      </c>
      <c r="B863" s="1" t="s">
        <v>977</v>
      </c>
      <c r="C863" s="1" t="s">
        <v>992</v>
      </c>
    </row>
    <row r="864" spans="1:3" x14ac:dyDescent="0.25">
      <c r="A864" s="1" t="s">
        <v>977</v>
      </c>
      <c r="B864" s="1" t="s">
        <v>977</v>
      </c>
      <c r="C864" s="1" t="s">
        <v>993</v>
      </c>
    </row>
    <row r="865" spans="1:3" x14ac:dyDescent="0.25">
      <c r="A865" s="1" t="s">
        <v>977</v>
      </c>
      <c r="B865" s="1" t="s">
        <v>977</v>
      </c>
      <c r="C865" s="1" t="s">
        <v>994</v>
      </c>
    </row>
    <row r="866" spans="1:3" x14ac:dyDescent="0.25">
      <c r="A866" s="1" t="s">
        <v>977</v>
      </c>
      <c r="B866" s="1" t="s">
        <v>977</v>
      </c>
      <c r="C866" s="1" t="s">
        <v>995</v>
      </c>
    </row>
    <row r="867" spans="1:3" x14ac:dyDescent="0.25">
      <c r="A867" s="1" t="s">
        <v>977</v>
      </c>
      <c r="B867" s="1" t="s">
        <v>977</v>
      </c>
      <c r="C867" s="1" t="s">
        <v>996</v>
      </c>
    </row>
    <row r="868" spans="1:3" x14ac:dyDescent="0.25">
      <c r="A868" s="1" t="s">
        <v>977</v>
      </c>
      <c r="B868" s="1" t="s">
        <v>977</v>
      </c>
      <c r="C868" s="1" t="s">
        <v>997</v>
      </c>
    </row>
    <row r="869" spans="1:3" x14ac:dyDescent="0.25">
      <c r="A869" s="1" t="s">
        <v>977</v>
      </c>
      <c r="B869" s="1" t="s">
        <v>977</v>
      </c>
      <c r="C869" s="1" t="s">
        <v>998</v>
      </c>
    </row>
    <row r="870" spans="1:3" x14ac:dyDescent="0.25">
      <c r="A870" s="1" t="s">
        <v>977</v>
      </c>
      <c r="B870" s="1" t="s">
        <v>977</v>
      </c>
      <c r="C870" s="1" t="s">
        <v>999</v>
      </c>
    </row>
    <row r="871" spans="1:3" x14ac:dyDescent="0.25">
      <c r="A871" s="1" t="s">
        <v>977</v>
      </c>
      <c r="B871" s="1" t="s">
        <v>977</v>
      </c>
      <c r="C871" s="1" t="s">
        <v>1000</v>
      </c>
    </row>
    <row r="872" spans="1:3" x14ac:dyDescent="0.25">
      <c r="A872" s="1" t="s">
        <v>977</v>
      </c>
      <c r="B872" s="1" t="s">
        <v>977</v>
      </c>
      <c r="C872" s="1" t="s">
        <v>1001</v>
      </c>
    </row>
    <row r="873" spans="1:3" x14ac:dyDescent="0.25">
      <c r="A873" s="1" t="s">
        <v>977</v>
      </c>
      <c r="B873" s="1" t="s">
        <v>977</v>
      </c>
      <c r="C873" s="1" t="s">
        <v>1002</v>
      </c>
    </row>
    <row r="874" spans="1:3" x14ac:dyDescent="0.25">
      <c r="A874" s="1" t="s">
        <v>977</v>
      </c>
      <c r="B874" s="1" t="s">
        <v>977</v>
      </c>
      <c r="C874" s="1" t="s">
        <v>1003</v>
      </c>
    </row>
    <row r="875" spans="1:3" x14ac:dyDescent="0.25">
      <c r="A875" s="1" t="s">
        <v>977</v>
      </c>
      <c r="B875" s="1" t="s">
        <v>977</v>
      </c>
      <c r="C875" s="1" t="s">
        <v>1004</v>
      </c>
    </row>
    <row r="876" spans="1:3" x14ac:dyDescent="0.25">
      <c r="A876" s="1" t="s">
        <v>977</v>
      </c>
      <c r="B876" s="1" t="s">
        <v>977</v>
      </c>
      <c r="C876" s="1" t="s">
        <v>1005</v>
      </c>
    </row>
    <row r="877" spans="1:3" x14ac:dyDescent="0.25">
      <c r="A877" s="1" t="s">
        <v>977</v>
      </c>
      <c r="B877" s="1" t="s">
        <v>977</v>
      </c>
      <c r="C877" s="1" t="s">
        <v>1006</v>
      </c>
    </row>
    <row r="878" spans="1:3" x14ac:dyDescent="0.25">
      <c r="A878" s="1" t="s">
        <v>1007</v>
      </c>
      <c r="B878" s="1" t="s">
        <v>147</v>
      </c>
      <c r="C878" s="1" t="s">
        <v>1008</v>
      </c>
    </row>
    <row r="879" spans="1:3" x14ac:dyDescent="0.25">
      <c r="A879" s="1" t="s">
        <v>1007</v>
      </c>
      <c r="B879" s="1" t="s">
        <v>1009</v>
      </c>
      <c r="C879" s="1" t="s">
        <v>1010</v>
      </c>
    </row>
    <row r="880" spans="1:3" x14ac:dyDescent="0.25">
      <c r="A880" s="1" t="s">
        <v>1007</v>
      </c>
      <c r="B880" s="1" t="s">
        <v>1009</v>
      </c>
      <c r="C880" s="1" t="s">
        <v>1011</v>
      </c>
    </row>
    <row r="881" spans="1:3" x14ac:dyDescent="0.25">
      <c r="A881" s="1" t="s">
        <v>1007</v>
      </c>
      <c r="B881" s="1" t="s">
        <v>1009</v>
      </c>
      <c r="C881" s="1" t="s">
        <v>1012</v>
      </c>
    </row>
    <row r="882" spans="1:3" x14ac:dyDescent="0.25">
      <c r="A882" s="1" t="s">
        <v>1007</v>
      </c>
      <c r="B882" s="1" t="s">
        <v>1009</v>
      </c>
      <c r="C882" s="1" t="s">
        <v>1013</v>
      </c>
    </row>
    <row r="883" spans="1:3" x14ac:dyDescent="0.25">
      <c r="A883" s="1" t="s">
        <v>1007</v>
      </c>
      <c r="B883" s="1" t="s">
        <v>1009</v>
      </c>
      <c r="C883" s="1" t="s">
        <v>1014</v>
      </c>
    </row>
    <row r="884" spans="1:3" x14ac:dyDescent="0.25">
      <c r="A884" s="1" t="s">
        <v>1007</v>
      </c>
      <c r="B884" s="1" t="s">
        <v>1009</v>
      </c>
      <c r="C884" s="1" t="s">
        <v>1015</v>
      </c>
    </row>
    <row r="885" spans="1:3" x14ac:dyDescent="0.25">
      <c r="A885" s="1" t="s">
        <v>1007</v>
      </c>
      <c r="B885" s="1" t="s">
        <v>1009</v>
      </c>
      <c r="C885" s="1" t="s">
        <v>1016</v>
      </c>
    </row>
    <row r="886" spans="1:3" x14ac:dyDescent="0.25">
      <c r="A886" s="1" t="s">
        <v>1007</v>
      </c>
      <c r="B886" s="1" t="s">
        <v>1017</v>
      </c>
      <c r="C886" s="1" t="s">
        <v>1018</v>
      </c>
    </row>
    <row r="887" spans="1:3" x14ac:dyDescent="0.25">
      <c r="A887" s="1" t="s">
        <v>1007</v>
      </c>
      <c r="B887" s="1" t="s">
        <v>1017</v>
      </c>
      <c r="C887" s="1" t="s">
        <v>1019</v>
      </c>
    </row>
    <row r="888" spans="1:3" x14ac:dyDescent="0.25">
      <c r="A888" s="1" t="s">
        <v>1007</v>
      </c>
      <c r="B888" s="1" t="s">
        <v>1017</v>
      </c>
      <c r="C888" s="1" t="s">
        <v>1020</v>
      </c>
    </row>
    <row r="889" spans="1:3" x14ac:dyDescent="0.25">
      <c r="A889" s="1" t="s">
        <v>1007</v>
      </c>
      <c r="B889" s="1" t="s">
        <v>1017</v>
      </c>
      <c r="C889" s="1" t="s">
        <v>1021</v>
      </c>
    </row>
    <row r="890" spans="1:3" x14ac:dyDescent="0.25">
      <c r="A890" s="1" t="s">
        <v>1007</v>
      </c>
      <c r="B890" s="1" t="s">
        <v>1017</v>
      </c>
      <c r="C890" s="1" t="s">
        <v>1022</v>
      </c>
    </row>
    <row r="891" spans="1:3" x14ac:dyDescent="0.25">
      <c r="A891" s="1" t="s">
        <v>1023</v>
      </c>
      <c r="B891" s="1" t="s">
        <v>1024</v>
      </c>
      <c r="C891" s="1" t="s">
        <v>1025</v>
      </c>
    </row>
    <row r="892" spans="1:3" x14ac:dyDescent="0.25">
      <c r="A892" s="1" t="s">
        <v>1023</v>
      </c>
      <c r="B892" s="1" t="s">
        <v>1024</v>
      </c>
      <c r="C892" s="1" t="s">
        <v>1026</v>
      </c>
    </row>
    <row r="893" spans="1:3" x14ac:dyDescent="0.25">
      <c r="A893" s="1" t="s">
        <v>1023</v>
      </c>
      <c r="B893" s="1" t="s">
        <v>1024</v>
      </c>
      <c r="C893" s="1" t="s">
        <v>1027</v>
      </c>
    </row>
    <row r="894" spans="1:3" x14ac:dyDescent="0.25">
      <c r="A894" s="1" t="s">
        <v>1023</v>
      </c>
      <c r="B894" s="1" t="s">
        <v>1028</v>
      </c>
      <c r="C894" s="1" t="s">
        <v>1029</v>
      </c>
    </row>
    <row r="895" spans="1:3" x14ac:dyDescent="0.25">
      <c r="A895" s="1" t="s">
        <v>1023</v>
      </c>
      <c r="B895" s="1" t="s">
        <v>1028</v>
      </c>
      <c r="C895" s="1" t="s">
        <v>1030</v>
      </c>
    </row>
    <row r="896" spans="1:3" x14ac:dyDescent="0.25">
      <c r="A896" s="1" t="s">
        <v>1023</v>
      </c>
      <c r="B896" s="1" t="s">
        <v>1028</v>
      </c>
      <c r="C896" s="1" t="s">
        <v>1031</v>
      </c>
    </row>
    <row r="897" spans="1:3" x14ac:dyDescent="0.25">
      <c r="A897" s="1" t="s">
        <v>1023</v>
      </c>
      <c r="B897" s="1" t="s">
        <v>1028</v>
      </c>
      <c r="C897" s="1" t="s">
        <v>544</v>
      </c>
    </row>
    <row r="898" spans="1:3" x14ac:dyDescent="0.25">
      <c r="A898" s="1" t="s">
        <v>1023</v>
      </c>
      <c r="B898" s="1" t="s">
        <v>1028</v>
      </c>
      <c r="C898" s="1" t="s">
        <v>1032</v>
      </c>
    </row>
    <row r="899" spans="1:3" x14ac:dyDescent="0.25">
      <c r="A899" s="1" t="s">
        <v>1023</v>
      </c>
      <c r="B899" s="1" t="s">
        <v>1028</v>
      </c>
      <c r="C899" s="1" t="s">
        <v>1033</v>
      </c>
    </row>
    <row r="900" spans="1:3" x14ac:dyDescent="0.25">
      <c r="A900" s="1" t="s">
        <v>1023</v>
      </c>
      <c r="B900" s="1" t="s">
        <v>1034</v>
      </c>
      <c r="C900" s="1" t="s">
        <v>1035</v>
      </c>
    </row>
    <row r="901" spans="1:3" x14ac:dyDescent="0.25">
      <c r="A901" s="1" t="s">
        <v>1023</v>
      </c>
      <c r="B901" s="1" t="s">
        <v>1034</v>
      </c>
      <c r="C901" s="1" t="s">
        <v>1036</v>
      </c>
    </row>
    <row r="902" spans="1:3" x14ac:dyDescent="0.25">
      <c r="A902" s="1" t="s">
        <v>1023</v>
      </c>
      <c r="B902" s="1" t="s">
        <v>1034</v>
      </c>
      <c r="C902" s="1" t="s">
        <v>1037</v>
      </c>
    </row>
    <row r="903" spans="1:3" x14ac:dyDescent="0.25">
      <c r="A903" s="1" t="s">
        <v>1023</v>
      </c>
      <c r="B903" s="1" t="s">
        <v>1023</v>
      </c>
      <c r="C903" s="1" t="s">
        <v>544</v>
      </c>
    </row>
    <row r="904" spans="1:3" x14ac:dyDescent="0.25">
      <c r="A904" s="1" t="s">
        <v>1023</v>
      </c>
      <c r="B904" s="1" t="s">
        <v>1023</v>
      </c>
      <c r="C904" s="1" t="s">
        <v>1038</v>
      </c>
    </row>
    <row r="905" spans="1:3" x14ac:dyDescent="0.25">
      <c r="A905" s="1" t="s">
        <v>1023</v>
      </c>
      <c r="B905" s="1" t="s">
        <v>1023</v>
      </c>
      <c r="C905" s="1" t="s">
        <v>1039</v>
      </c>
    </row>
    <row r="906" spans="1:3" x14ac:dyDescent="0.25">
      <c r="A906" s="1" t="s">
        <v>1023</v>
      </c>
      <c r="B906" s="1" t="s">
        <v>1023</v>
      </c>
      <c r="C906" s="1" t="s">
        <v>1040</v>
      </c>
    </row>
    <row r="907" spans="1:3" x14ac:dyDescent="0.25">
      <c r="A907" s="1" t="s">
        <v>1023</v>
      </c>
      <c r="B907" s="1" t="s">
        <v>1023</v>
      </c>
      <c r="C907" s="1" t="s">
        <v>1041</v>
      </c>
    </row>
    <row r="908" spans="1:3" x14ac:dyDescent="0.25">
      <c r="A908" s="1" t="s">
        <v>1023</v>
      </c>
      <c r="B908" s="1" t="s">
        <v>1023</v>
      </c>
      <c r="C908" s="1" t="s">
        <v>1042</v>
      </c>
    </row>
    <row r="909" spans="1:3" x14ac:dyDescent="0.25">
      <c r="A909" s="1" t="s">
        <v>1023</v>
      </c>
      <c r="B909" s="1" t="s">
        <v>1023</v>
      </c>
      <c r="C909" s="1" t="s">
        <v>1043</v>
      </c>
    </row>
    <row r="910" spans="1:3" x14ac:dyDescent="0.25">
      <c r="A910" s="1" t="s">
        <v>1023</v>
      </c>
      <c r="B910" s="1" t="s">
        <v>1044</v>
      </c>
      <c r="C910" s="1" t="s">
        <v>1045</v>
      </c>
    </row>
    <row r="911" spans="1:3" x14ac:dyDescent="0.25">
      <c r="A911" s="1" t="s">
        <v>1023</v>
      </c>
      <c r="B911" s="1" t="s">
        <v>1044</v>
      </c>
      <c r="C911" s="1" t="s">
        <v>1046</v>
      </c>
    </row>
    <row r="912" spans="1:3" x14ac:dyDescent="0.25">
      <c r="A912" s="1" t="s">
        <v>1023</v>
      </c>
      <c r="B912" s="1" t="s">
        <v>1044</v>
      </c>
      <c r="C912" s="1" t="s">
        <v>1047</v>
      </c>
    </row>
    <row r="913" spans="1:3" x14ac:dyDescent="0.25">
      <c r="A913" s="1" t="s">
        <v>1023</v>
      </c>
      <c r="B913" s="1" t="s">
        <v>1044</v>
      </c>
      <c r="C913" s="1" t="s">
        <v>1048</v>
      </c>
    </row>
    <row r="914" spans="1:3" x14ac:dyDescent="0.25">
      <c r="A914" s="1" t="s">
        <v>1023</v>
      </c>
      <c r="B914" s="1" t="s">
        <v>1049</v>
      </c>
      <c r="C914" s="1" t="s">
        <v>1050</v>
      </c>
    </row>
    <row r="915" spans="1:3" x14ac:dyDescent="0.25">
      <c r="A915" s="1" t="s">
        <v>1023</v>
      </c>
      <c r="B915" s="1" t="s">
        <v>1049</v>
      </c>
      <c r="C915" s="1" t="s">
        <v>1051</v>
      </c>
    </row>
    <row r="916" spans="1:3" x14ac:dyDescent="0.25">
      <c r="A916" s="1" t="s">
        <v>1023</v>
      </c>
      <c r="B916" s="1" t="s">
        <v>1052</v>
      </c>
      <c r="C916" s="1" t="s">
        <v>1053</v>
      </c>
    </row>
    <row r="917" spans="1:3" x14ac:dyDescent="0.25">
      <c r="A917" s="1" t="s">
        <v>1023</v>
      </c>
      <c r="B917" s="1" t="s">
        <v>1052</v>
      </c>
      <c r="C917" s="1" t="s">
        <v>1054</v>
      </c>
    </row>
    <row r="918" spans="1:3" x14ac:dyDescent="0.25">
      <c r="A918" s="1" t="s">
        <v>1023</v>
      </c>
      <c r="B918" s="1" t="s">
        <v>1052</v>
      </c>
      <c r="C918" s="1" t="s">
        <v>1055</v>
      </c>
    </row>
    <row r="919" spans="1:3" x14ac:dyDescent="0.25">
      <c r="A919" s="1" t="s">
        <v>1023</v>
      </c>
      <c r="B919" s="1" t="s">
        <v>1052</v>
      </c>
      <c r="C919" s="1" t="s">
        <v>1056</v>
      </c>
    </row>
    <row r="920" spans="1:3" x14ac:dyDescent="0.25">
      <c r="A920" s="1" t="s">
        <v>1023</v>
      </c>
      <c r="B920" s="1" t="s">
        <v>1057</v>
      </c>
      <c r="C920" s="1" t="s">
        <v>1058</v>
      </c>
    </row>
    <row r="921" spans="1:3" x14ac:dyDescent="0.25">
      <c r="A921" s="1" t="s">
        <v>1023</v>
      </c>
      <c r="B921" s="1" t="s">
        <v>1057</v>
      </c>
      <c r="C921" s="1" t="s">
        <v>1059</v>
      </c>
    </row>
    <row r="922" spans="1:3" x14ac:dyDescent="0.25">
      <c r="A922" s="1" t="s">
        <v>1023</v>
      </c>
      <c r="B922" s="1" t="s">
        <v>1057</v>
      </c>
      <c r="C922" s="1" t="s">
        <v>1060</v>
      </c>
    </row>
    <row r="923" spans="1:3" x14ac:dyDescent="0.25">
      <c r="A923" s="1" t="s">
        <v>1023</v>
      </c>
      <c r="B923" s="1" t="s">
        <v>1057</v>
      </c>
      <c r="C923" s="1" t="s">
        <v>1061</v>
      </c>
    </row>
    <row r="924" spans="1:3" x14ac:dyDescent="0.25">
      <c r="A924" s="1" t="s">
        <v>1023</v>
      </c>
      <c r="B924" s="1" t="s">
        <v>1057</v>
      </c>
      <c r="C924" s="1" t="s">
        <v>1062</v>
      </c>
    </row>
    <row r="925" spans="1:3" x14ac:dyDescent="0.25">
      <c r="A925" s="1" t="s">
        <v>1023</v>
      </c>
      <c r="B925" s="1" t="s">
        <v>1057</v>
      </c>
      <c r="C925" s="1" t="s">
        <v>1063</v>
      </c>
    </row>
    <row r="926" spans="1:3" x14ac:dyDescent="0.25">
      <c r="A926" s="1" t="s">
        <v>1023</v>
      </c>
      <c r="B926" s="1" t="s">
        <v>1057</v>
      </c>
      <c r="C926" s="1" t="s">
        <v>1033</v>
      </c>
    </row>
    <row r="927" spans="1:3" x14ac:dyDescent="0.25">
      <c r="A927" s="1" t="s">
        <v>1023</v>
      </c>
      <c r="B927" s="1" t="s">
        <v>1057</v>
      </c>
      <c r="C927" s="1" t="s">
        <v>1064</v>
      </c>
    </row>
    <row r="928" spans="1:3" x14ac:dyDescent="0.25">
      <c r="A928" s="1" t="s">
        <v>1023</v>
      </c>
      <c r="B928" s="1" t="s">
        <v>1057</v>
      </c>
      <c r="C928" s="1" t="s">
        <v>1065</v>
      </c>
    </row>
    <row r="929" spans="1:3" x14ac:dyDescent="0.25">
      <c r="A929" s="1" t="s">
        <v>1023</v>
      </c>
      <c r="B929" s="1" t="s">
        <v>1057</v>
      </c>
      <c r="C929" s="1" t="s">
        <v>1066</v>
      </c>
    </row>
    <row r="930" spans="1:3" x14ac:dyDescent="0.25">
      <c r="A930" s="1" t="s">
        <v>1067</v>
      </c>
      <c r="B930" s="1" t="s">
        <v>1068</v>
      </c>
      <c r="C930" s="1" t="s">
        <v>1069</v>
      </c>
    </row>
    <row r="931" spans="1:3" x14ac:dyDescent="0.25">
      <c r="A931" s="1" t="s">
        <v>1067</v>
      </c>
      <c r="B931" s="1" t="s">
        <v>1068</v>
      </c>
      <c r="C931" s="1" t="s">
        <v>1070</v>
      </c>
    </row>
    <row r="932" spans="1:3" x14ac:dyDescent="0.25">
      <c r="A932" s="1" t="s">
        <v>1067</v>
      </c>
      <c r="B932" s="1" t="s">
        <v>1071</v>
      </c>
      <c r="C932" s="1" t="s">
        <v>1072</v>
      </c>
    </row>
    <row r="933" spans="1:3" x14ac:dyDescent="0.25">
      <c r="A933" s="1" t="s">
        <v>1067</v>
      </c>
      <c r="B933" s="1" t="s">
        <v>1071</v>
      </c>
      <c r="C933" s="1" t="s">
        <v>1073</v>
      </c>
    </row>
    <row r="934" spans="1:3" x14ac:dyDescent="0.25">
      <c r="A934" s="1" t="s">
        <v>1067</v>
      </c>
      <c r="B934" s="1" t="s">
        <v>1067</v>
      </c>
      <c r="C934" s="1" t="s">
        <v>1074</v>
      </c>
    </row>
    <row r="935" spans="1:3" x14ac:dyDescent="0.25">
      <c r="A935" s="1" t="s">
        <v>1067</v>
      </c>
      <c r="B935" s="1" t="s">
        <v>1067</v>
      </c>
      <c r="C935" s="1" t="s">
        <v>1075</v>
      </c>
    </row>
    <row r="936" spans="1:3" x14ac:dyDescent="0.25">
      <c r="A936" s="1" t="s">
        <v>1067</v>
      </c>
      <c r="B936" s="1" t="s">
        <v>1067</v>
      </c>
      <c r="C936" s="1" t="s">
        <v>1076</v>
      </c>
    </row>
    <row r="937" spans="1:3" x14ac:dyDescent="0.25">
      <c r="A937" s="1" t="s">
        <v>1067</v>
      </c>
      <c r="B937" s="1" t="s">
        <v>1067</v>
      </c>
      <c r="C937" s="1" t="s">
        <v>1077</v>
      </c>
    </row>
    <row r="938" spans="1:3" x14ac:dyDescent="0.25">
      <c r="A938" s="1" t="s">
        <v>1067</v>
      </c>
      <c r="B938" s="1" t="s">
        <v>1067</v>
      </c>
      <c r="C938" s="1" t="s">
        <v>1078</v>
      </c>
    </row>
    <row r="939" spans="1:3" x14ac:dyDescent="0.25">
      <c r="A939" s="1" t="s">
        <v>1067</v>
      </c>
      <c r="B939" s="1" t="s">
        <v>1067</v>
      </c>
      <c r="C939" s="1" t="s">
        <v>1079</v>
      </c>
    </row>
    <row r="940" spans="1:3" x14ac:dyDescent="0.25">
      <c r="A940" s="1" t="s">
        <v>1067</v>
      </c>
      <c r="B940" s="1" t="s">
        <v>1067</v>
      </c>
      <c r="C940" s="1" t="s">
        <v>1080</v>
      </c>
    </row>
    <row r="941" spans="1:3" x14ac:dyDescent="0.25">
      <c r="A941" s="1" t="s">
        <v>1067</v>
      </c>
      <c r="B941" s="1" t="s">
        <v>1067</v>
      </c>
      <c r="C941" s="1" t="s">
        <v>1081</v>
      </c>
    </row>
    <row r="942" spans="1:3" x14ac:dyDescent="0.25">
      <c r="A942" s="1" t="s">
        <v>1067</v>
      </c>
      <c r="B942" s="1" t="s">
        <v>1067</v>
      </c>
      <c r="C942" s="1" t="s">
        <v>1082</v>
      </c>
    </row>
    <row r="943" spans="1:3" x14ac:dyDescent="0.25">
      <c r="A943" s="1" t="s">
        <v>1067</v>
      </c>
      <c r="B943" s="1" t="s">
        <v>1067</v>
      </c>
      <c r="C943" s="1" t="s">
        <v>1083</v>
      </c>
    </row>
    <row r="944" spans="1:3" x14ac:dyDescent="0.25">
      <c r="A944" s="1" t="s">
        <v>1067</v>
      </c>
      <c r="B944" s="1" t="s">
        <v>1067</v>
      </c>
      <c r="C944" s="1" t="s">
        <v>1084</v>
      </c>
    </row>
    <row r="945" spans="1:3" x14ac:dyDescent="0.25">
      <c r="A945" s="1" t="s">
        <v>1067</v>
      </c>
      <c r="B945" s="1" t="s">
        <v>1067</v>
      </c>
      <c r="C945" s="1" t="s">
        <v>1085</v>
      </c>
    </row>
    <row r="946" spans="1:3" x14ac:dyDescent="0.25">
      <c r="A946" s="1" t="s">
        <v>1067</v>
      </c>
      <c r="B946" s="1" t="s">
        <v>1067</v>
      </c>
      <c r="C946" s="1" t="s">
        <v>1086</v>
      </c>
    </row>
    <row r="947" spans="1:3" x14ac:dyDescent="0.25">
      <c r="A947" s="1" t="s">
        <v>1067</v>
      </c>
      <c r="B947" s="1" t="s">
        <v>1067</v>
      </c>
      <c r="C947" s="1" t="s">
        <v>1087</v>
      </c>
    </row>
    <row r="948" spans="1:3" x14ac:dyDescent="0.25">
      <c r="A948" s="1" t="s">
        <v>1067</v>
      </c>
      <c r="B948" s="1" t="s">
        <v>1067</v>
      </c>
      <c r="C948" s="1" t="s">
        <v>1088</v>
      </c>
    </row>
    <row r="949" spans="1:3" x14ac:dyDescent="0.25">
      <c r="A949" s="1" t="s">
        <v>1067</v>
      </c>
      <c r="B949" s="1" t="s">
        <v>1067</v>
      </c>
      <c r="C949" s="1" t="s">
        <v>1089</v>
      </c>
    </row>
    <row r="950" spans="1:3" x14ac:dyDescent="0.25">
      <c r="A950" s="1" t="s">
        <v>1067</v>
      </c>
      <c r="B950" s="1" t="s">
        <v>1067</v>
      </c>
      <c r="C950" s="1" t="s">
        <v>1090</v>
      </c>
    </row>
    <row r="951" spans="1:3" x14ac:dyDescent="0.25">
      <c r="A951" s="1" t="s">
        <v>1067</v>
      </c>
      <c r="B951" s="1" t="s">
        <v>1067</v>
      </c>
      <c r="C951" s="1" t="s">
        <v>1091</v>
      </c>
    </row>
    <row r="952" spans="1:3" x14ac:dyDescent="0.25">
      <c r="A952" s="1" t="s">
        <v>1067</v>
      </c>
      <c r="B952" s="1" t="s">
        <v>1067</v>
      </c>
      <c r="C952" s="1" t="s">
        <v>1092</v>
      </c>
    </row>
    <row r="953" spans="1:3" x14ac:dyDescent="0.25">
      <c r="A953" s="1" t="s">
        <v>1067</v>
      </c>
      <c r="B953" s="1" t="s">
        <v>1067</v>
      </c>
      <c r="C953" s="1" t="s">
        <v>1093</v>
      </c>
    </row>
    <row r="954" spans="1:3" x14ac:dyDescent="0.25">
      <c r="A954" s="1" t="s">
        <v>1067</v>
      </c>
      <c r="B954" s="1" t="s">
        <v>1067</v>
      </c>
      <c r="C954" s="1" t="s">
        <v>1094</v>
      </c>
    </row>
    <row r="955" spans="1:3" x14ac:dyDescent="0.25">
      <c r="A955" s="1" t="s">
        <v>1067</v>
      </c>
      <c r="B955" s="1" t="s">
        <v>1067</v>
      </c>
      <c r="C955" s="1" t="s">
        <v>1095</v>
      </c>
    </row>
    <row r="956" spans="1:3" x14ac:dyDescent="0.25">
      <c r="A956" s="1" t="s">
        <v>1067</v>
      </c>
      <c r="B956" s="1" t="s">
        <v>1067</v>
      </c>
      <c r="C956" s="1" t="s">
        <v>1096</v>
      </c>
    </row>
    <row r="957" spans="1:3" x14ac:dyDescent="0.25">
      <c r="A957" s="1" t="s">
        <v>1067</v>
      </c>
      <c r="B957" s="1" t="s">
        <v>1067</v>
      </c>
      <c r="C957" s="1" t="s">
        <v>1097</v>
      </c>
    </row>
    <row r="958" spans="1:3" x14ac:dyDescent="0.25">
      <c r="A958" s="1" t="s">
        <v>1067</v>
      </c>
      <c r="B958" s="1" t="s">
        <v>1067</v>
      </c>
      <c r="C958" s="1" t="s">
        <v>1098</v>
      </c>
    </row>
    <row r="959" spans="1:3" x14ac:dyDescent="0.25">
      <c r="A959" s="1" t="s">
        <v>1067</v>
      </c>
      <c r="B959" s="1" t="s">
        <v>1067</v>
      </c>
      <c r="C959" s="1" t="s">
        <v>1099</v>
      </c>
    </row>
    <row r="960" spans="1:3" x14ac:dyDescent="0.25">
      <c r="A960" s="1" t="s">
        <v>1067</v>
      </c>
      <c r="B960" s="1" t="s">
        <v>1067</v>
      </c>
      <c r="C960" s="1" t="s">
        <v>1100</v>
      </c>
    </row>
    <row r="961" spans="1:3" x14ac:dyDescent="0.25">
      <c r="A961" s="1" t="s">
        <v>1067</v>
      </c>
      <c r="B961" s="1" t="s">
        <v>1067</v>
      </c>
      <c r="C961" s="1" t="s">
        <v>1101</v>
      </c>
    </row>
    <row r="962" spans="1:3" x14ac:dyDescent="0.25">
      <c r="A962" s="1" t="s">
        <v>1067</v>
      </c>
      <c r="B962" s="1" t="s">
        <v>1067</v>
      </c>
      <c r="C962" s="1" t="s">
        <v>1102</v>
      </c>
    </row>
    <row r="963" spans="1:3" x14ac:dyDescent="0.25">
      <c r="A963" s="1" t="s">
        <v>1067</v>
      </c>
      <c r="B963" s="1" t="s">
        <v>1067</v>
      </c>
      <c r="C963" s="1" t="s">
        <v>1103</v>
      </c>
    </row>
    <row r="964" spans="1:3" x14ac:dyDescent="0.25">
      <c r="A964" s="1" t="s">
        <v>1067</v>
      </c>
      <c r="B964" s="1" t="s">
        <v>1067</v>
      </c>
      <c r="C964" s="1" t="s">
        <v>1104</v>
      </c>
    </row>
    <row r="965" spans="1:3" x14ac:dyDescent="0.25">
      <c r="A965" s="1" t="s">
        <v>1067</v>
      </c>
      <c r="B965" s="1" t="s">
        <v>1067</v>
      </c>
      <c r="C965" s="1" t="s">
        <v>1105</v>
      </c>
    </row>
    <row r="966" spans="1:3" x14ac:dyDescent="0.25">
      <c r="A966" s="1" t="s">
        <v>1067</v>
      </c>
      <c r="B966" s="1" t="s">
        <v>1067</v>
      </c>
      <c r="C966" s="1" t="s">
        <v>1106</v>
      </c>
    </row>
    <row r="967" spans="1:3" x14ac:dyDescent="0.25">
      <c r="A967" s="1" t="s">
        <v>1067</v>
      </c>
      <c r="B967" s="1" t="s">
        <v>1067</v>
      </c>
      <c r="C967" s="1" t="s">
        <v>1107</v>
      </c>
    </row>
    <row r="968" spans="1:3" x14ac:dyDescent="0.25">
      <c r="A968" s="1" t="s">
        <v>1067</v>
      </c>
      <c r="B968" s="1" t="s">
        <v>1067</v>
      </c>
      <c r="C968" s="1" t="s">
        <v>1108</v>
      </c>
    </row>
    <row r="969" spans="1:3" x14ac:dyDescent="0.25">
      <c r="A969" s="1" t="s">
        <v>1067</v>
      </c>
      <c r="B969" s="1" t="s">
        <v>1067</v>
      </c>
      <c r="C969" s="1" t="s">
        <v>1109</v>
      </c>
    </row>
    <row r="970" spans="1:3" x14ac:dyDescent="0.25">
      <c r="A970" s="1" t="s">
        <v>1067</v>
      </c>
      <c r="B970" s="1" t="s">
        <v>1067</v>
      </c>
      <c r="C970" s="1" t="s">
        <v>1110</v>
      </c>
    </row>
    <row r="971" spans="1:3" x14ac:dyDescent="0.25">
      <c r="A971" s="1" t="s">
        <v>1067</v>
      </c>
      <c r="B971" s="1" t="s">
        <v>1067</v>
      </c>
      <c r="C971" s="1" t="s">
        <v>1111</v>
      </c>
    </row>
    <row r="972" spans="1:3" x14ac:dyDescent="0.25">
      <c r="A972" s="1" t="s">
        <v>1067</v>
      </c>
      <c r="B972" s="1" t="s">
        <v>1067</v>
      </c>
      <c r="C972" s="1" t="s">
        <v>1112</v>
      </c>
    </row>
    <row r="973" spans="1:3" x14ac:dyDescent="0.25">
      <c r="A973" s="1" t="s">
        <v>1067</v>
      </c>
      <c r="B973" s="1" t="s">
        <v>1067</v>
      </c>
      <c r="C973" s="1" t="s">
        <v>1113</v>
      </c>
    </row>
    <row r="974" spans="1:3" x14ac:dyDescent="0.25">
      <c r="A974" s="1" t="s">
        <v>1067</v>
      </c>
      <c r="B974" s="1" t="s">
        <v>1067</v>
      </c>
      <c r="C974" s="1" t="s">
        <v>1114</v>
      </c>
    </row>
    <row r="975" spans="1:3" x14ac:dyDescent="0.25">
      <c r="A975" s="1" t="s">
        <v>1067</v>
      </c>
      <c r="B975" s="1" t="s">
        <v>1067</v>
      </c>
      <c r="C975" s="1" t="s">
        <v>1115</v>
      </c>
    </row>
    <row r="976" spans="1:3" x14ac:dyDescent="0.25">
      <c r="A976" s="1" t="s">
        <v>1067</v>
      </c>
      <c r="B976" s="1" t="s">
        <v>1067</v>
      </c>
      <c r="C976" s="1" t="s">
        <v>1116</v>
      </c>
    </row>
    <row r="977" spans="1:3" x14ac:dyDescent="0.25">
      <c r="A977" s="1" t="s">
        <v>1067</v>
      </c>
      <c r="B977" s="1" t="s">
        <v>1067</v>
      </c>
      <c r="C977" s="1" t="s">
        <v>1117</v>
      </c>
    </row>
    <row r="978" spans="1:3" x14ac:dyDescent="0.25">
      <c r="A978" s="1" t="s">
        <v>1067</v>
      </c>
      <c r="B978" s="1" t="s">
        <v>1067</v>
      </c>
      <c r="C978" s="1" t="s">
        <v>1118</v>
      </c>
    </row>
    <row r="979" spans="1:3" x14ac:dyDescent="0.25">
      <c r="A979" s="1" t="s">
        <v>1119</v>
      </c>
      <c r="B979" s="1" t="s">
        <v>1120</v>
      </c>
      <c r="C979" s="1" t="s">
        <v>1121</v>
      </c>
    </row>
    <row r="980" spans="1:3" x14ac:dyDescent="0.25">
      <c r="A980" s="1" t="s">
        <v>1119</v>
      </c>
      <c r="B980" s="1" t="s">
        <v>1120</v>
      </c>
      <c r="C980" s="1" t="s">
        <v>1122</v>
      </c>
    </row>
    <row r="981" spans="1:3" x14ac:dyDescent="0.25">
      <c r="A981" s="1" t="s">
        <v>1119</v>
      </c>
      <c r="B981" s="1" t="s">
        <v>1120</v>
      </c>
      <c r="C981" s="1" t="s">
        <v>1123</v>
      </c>
    </row>
    <row r="982" spans="1:3" x14ac:dyDescent="0.25">
      <c r="A982" s="1" t="s">
        <v>1119</v>
      </c>
      <c r="B982" s="1" t="s">
        <v>1120</v>
      </c>
      <c r="C982" s="1" t="s">
        <v>1124</v>
      </c>
    </row>
    <row r="983" spans="1:3" x14ac:dyDescent="0.25">
      <c r="A983" s="1" t="s">
        <v>1119</v>
      </c>
      <c r="B983" s="1" t="s">
        <v>1125</v>
      </c>
      <c r="C983" s="1" t="s">
        <v>1126</v>
      </c>
    </row>
    <row r="984" spans="1:3" x14ac:dyDescent="0.25">
      <c r="A984" s="1" t="s">
        <v>1119</v>
      </c>
      <c r="B984" s="1" t="s">
        <v>1125</v>
      </c>
      <c r="C984" s="1" t="s">
        <v>1127</v>
      </c>
    </row>
    <row r="985" spans="1:3" x14ac:dyDescent="0.25">
      <c r="A985" s="1" t="s">
        <v>1119</v>
      </c>
      <c r="B985" s="1" t="s">
        <v>1125</v>
      </c>
      <c r="C985" s="1" t="s">
        <v>1128</v>
      </c>
    </row>
    <row r="986" spans="1:3" x14ac:dyDescent="0.25">
      <c r="A986" s="1" t="s">
        <v>1119</v>
      </c>
      <c r="B986" s="1" t="s">
        <v>1129</v>
      </c>
      <c r="C986" s="1" t="s">
        <v>1130</v>
      </c>
    </row>
    <row r="987" spans="1:3" x14ac:dyDescent="0.25">
      <c r="A987" s="1" t="s">
        <v>1119</v>
      </c>
      <c r="B987" s="1" t="s">
        <v>1129</v>
      </c>
      <c r="C987" s="1" t="s">
        <v>1131</v>
      </c>
    </row>
    <row r="988" spans="1:3" x14ac:dyDescent="0.25">
      <c r="A988" s="1" t="s">
        <v>1119</v>
      </c>
      <c r="B988" s="1" t="s">
        <v>1129</v>
      </c>
      <c r="C988" s="1" t="s">
        <v>1132</v>
      </c>
    </row>
    <row r="989" spans="1:3" x14ac:dyDescent="0.25">
      <c r="A989" s="1" t="s">
        <v>1119</v>
      </c>
      <c r="B989" s="1" t="s">
        <v>1129</v>
      </c>
      <c r="C989" s="1" t="s">
        <v>1133</v>
      </c>
    </row>
    <row r="990" spans="1:3" x14ac:dyDescent="0.25">
      <c r="A990" s="1" t="s">
        <v>1119</v>
      </c>
      <c r="B990" s="1" t="s">
        <v>1134</v>
      </c>
      <c r="C990" s="1" t="s">
        <v>1135</v>
      </c>
    </row>
    <row r="991" spans="1:3" x14ac:dyDescent="0.25">
      <c r="A991" s="1" t="s">
        <v>1119</v>
      </c>
      <c r="B991" s="1" t="s">
        <v>1134</v>
      </c>
      <c r="C991" s="1" t="s">
        <v>1136</v>
      </c>
    </row>
    <row r="992" spans="1:3" x14ac:dyDescent="0.25">
      <c r="A992" s="1" t="s">
        <v>1119</v>
      </c>
      <c r="B992" s="1" t="s">
        <v>1134</v>
      </c>
      <c r="C992" s="1" t="s">
        <v>1137</v>
      </c>
    </row>
    <row r="993" spans="1:3" x14ac:dyDescent="0.25">
      <c r="A993" s="1" t="s">
        <v>1119</v>
      </c>
      <c r="B993" s="1" t="s">
        <v>1119</v>
      </c>
      <c r="C993" s="1" t="s">
        <v>1138</v>
      </c>
    </row>
    <row r="994" spans="1:3" x14ac:dyDescent="0.25">
      <c r="A994" s="1" t="s">
        <v>1119</v>
      </c>
      <c r="B994" s="1" t="s">
        <v>1119</v>
      </c>
      <c r="C994" s="1" t="s">
        <v>1139</v>
      </c>
    </row>
    <row r="995" spans="1:3" x14ac:dyDescent="0.25">
      <c r="A995" s="1" t="s">
        <v>1119</v>
      </c>
      <c r="B995" s="1" t="s">
        <v>1119</v>
      </c>
      <c r="C995" s="1" t="s">
        <v>1140</v>
      </c>
    </row>
    <row r="996" spans="1:3" x14ac:dyDescent="0.25">
      <c r="A996" s="1" t="s">
        <v>1119</v>
      </c>
      <c r="B996" s="1" t="s">
        <v>1119</v>
      </c>
      <c r="C996" s="1" t="s">
        <v>1141</v>
      </c>
    </row>
    <row r="997" spans="1:3" x14ac:dyDescent="0.25">
      <c r="A997" s="1" t="s">
        <v>1119</v>
      </c>
      <c r="B997" s="1" t="s">
        <v>1119</v>
      </c>
      <c r="C997" s="1" t="s">
        <v>1142</v>
      </c>
    </row>
    <row r="998" spans="1:3" x14ac:dyDescent="0.25">
      <c r="A998" s="1" t="s">
        <v>1143</v>
      </c>
      <c r="B998" s="1" t="s">
        <v>1144</v>
      </c>
      <c r="C998" s="1" t="s">
        <v>1145</v>
      </c>
    </row>
    <row r="999" spans="1:3" x14ac:dyDescent="0.25">
      <c r="A999" s="1" t="s">
        <v>1143</v>
      </c>
      <c r="B999" s="1" t="s">
        <v>1144</v>
      </c>
      <c r="C999" s="1" t="s">
        <v>1146</v>
      </c>
    </row>
    <row r="1000" spans="1:3" x14ac:dyDescent="0.25">
      <c r="A1000" s="1" t="s">
        <v>1143</v>
      </c>
      <c r="B1000" s="1" t="s">
        <v>1144</v>
      </c>
      <c r="C1000" s="1" t="s">
        <v>1147</v>
      </c>
    </row>
    <row r="1001" spans="1:3" x14ac:dyDescent="0.25">
      <c r="A1001" s="1" t="s">
        <v>1143</v>
      </c>
      <c r="B1001" s="1" t="s">
        <v>1148</v>
      </c>
      <c r="C1001" s="1" t="s">
        <v>1149</v>
      </c>
    </row>
    <row r="1002" spans="1:3" x14ac:dyDescent="0.25">
      <c r="A1002" s="1" t="s">
        <v>1143</v>
      </c>
      <c r="B1002" s="1" t="s">
        <v>1148</v>
      </c>
      <c r="C1002" s="1" t="s">
        <v>1150</v>
      </c>
    </row>
    <row r="1003" spans="1:3" x14ac:dyDescent="0.25">
      <c r="A1003" s="1" t="s">
        <v>1143</v>
      </c>
      <c r="B1003" s="1" t="s">
        <v>1151</v>
      </c>
      <c r="C1003" s="1" t="s">
        <v>1152</v>
      </c>
    </row>
    <row r="1004" spans="1:3" x14ac:dyDescent="0.25">
      <c r="A1004" s="1" t="s">
        <v>1143</v>
      </c>
      <c r="B1004" s="1" t="s">
        <v>1151</v>
      </c>
      <c r="C1004" s="1" t="s">
        <v>1153</v>
      </c>
    </row>
    <row r="1005" spans="1:3" x14ac:dyDescent="0.25">
      <c r="A1005" s="1" t="s">
        <v>1143</v>
      </c>
      <c r="B1005" s="1" t="s">
        <v>1154</v>
      </c>
      <c r="C1005" s="1" t="s">
        <v>1155</v>
      </c>
    </row>
    <row r="1006" spans="1:3" x14ac:dyDescent="0.25">
      <c r="A1006" s="1" t="s">
        <v>1143</v>
      </c>
      <c r="B1006" s="1" t="s">
        <v>1154</v>
      </c>
      <c r="C1006" s="1" t="s">
        <v>1156</v>
      </c>
    </row>
    <row r="1007" spans="1:3" x14ac:dyDescent="0.25">
      <c r="A1007" s="1" t="s">
        <v>1143</v>
      </c>
      <c r="B1007" s="1" t="s">
        <v>1157</v>
      </c>
      <c r="C1007" s="1" t="s">
        <v>1158</v>
      </c>
    </row>
    <row r="1008" spans="1:3" x14ac:dyDescent="0.25">
      <c r="A1008" s="1" t="s">
        <v>1143</v>
      </c>
      <c r="B1008" s="1" t="s">
        <v>1157</v>
      </c>
      <c r="C1008" s="1" t="s">
        <v>1159</v>
      </c>
    </row>
    <row r="1009" spans="1:3" x14ac:dyDescent="0.25">
      <c r="A1009" s="1" t="s">
        <v>1143</v>
      </c>
      <c r="B1009" s="1" t="s">
        <v>1157</v>
      </c>
      <c r="C1009" s="1" t="s">
        <v>1160</v>
      </c>
    </row>
    <row r="1010" spans="1:3" x14ac:dyDescent="0.25">
      <c r="A1010" s="1" t="s">
        <v>1143</v>
      </c>
      <c r="B1010" s="1" t="s">
        <v>1157</v>
      </c>
      <c r="C1010" s="1" t="s">
        <v>1161</v>
      </c>
    </row>
    <row r="1011" spans="1:3" x14ac:dyDescent="0.25">
      <c r="A1011" s="1" t="s">
        <v>1143</v>
      </c>
      <c r="B1011" s="1" t="s">
        <v>1162</v>
      </c>
      <c r="C1011" s="1" t="s">
        <v>1003</v>
      </c>
    </row>
    <row r="1012" spans="1:3" x14ac:dyDescent="0.25">
      <c r="A1012" s="1" t="s">
        <v>1143</v>
      </c>
      <c r="B1012" s="1" t="s">
        <v>1163</v>
      </c>
      <c r="C1012" s="1" t="s">
        <v>1164</v>
      </c>
    </row>
    <row r="1013" spans="1:3" x14ac:dyDescent="0.25">
      <c r="A1013" s="1" t="s">
        <v>1143</v>
      </c>
      <c r="B1013" s="1" t="s">
        <v>1163</v>
      </c>
      <c r="C1013" s="1" t="s">
        <v>1165</v>
      </c>
    </row>
    <row r="1014" spans="1:3" x14ac:dyDescent="0.25">
      <c r="A1014" s="1" t="s">
        <v>1143</v>
      </c>
      <c r="B1014" s="1" t="s">
        <v>1163</v>
      </c>
      <c r="C1014" s="1" t="s">
        <v>1166</v>
      </c>
    </row>
    <row r="1015" spans="1:3" x14ac:dyDescent="0.25">
      <c r="A1015" s="1" t="s">
        <v>1143</v>
      </c>
      <c r="B1015" s="1" t="s">
        <v>1143</v>
      </c>
      <c r="C1015" s="1" t="s">
        <v>1167</v>
      </c>
    </row>
    <row r="1016" spans="1:3" x14ac:dyDescent="0.25">
      <c r="A1016" s="1" t="s">
        <v>1143</v>
      </c>
      <c r="B1016" s="1" t="s">
        <v>1143</v>
      </c>
      <c r="C1016" s="1" t="s">
        <v>1168</v>
      </c>
    </row>
    <row r="1017" spans="1:3" x14ac:dyDescent="0.25">
      <c r="A1017" s="1" t="s">
        <v>1143</v>
      </c>
      <c r="B1017" s="1" t="s">
        <v>1143</v>
      </c>
      <c r="C1017" s="1" t="s">
        <v>1169</v>
      </c>
    </row>
    <row r="1018" spans="1:3" x14ac:dyDescent="0.25">
      <c r="A1018" s="1" t="s">
        <v>1143</v>
      </c>
      <c r="B1018" s="1" t="s">
        <v>1143</v>
      </c>
      <c r="C1018" s="1" t="s">
        <v>1170</v>
      </c>
    </row>
    <row r="1019" spans="1:3" x14ac:dyDescent="0.25">
      <c r="A1019" s="1" t="s">
        <v>1143</v>
      </c>
      <c r="B1019" s="1" t="s">
        <v>1143</v>
      </c>
      <c r="C1019" s="1" t="s">
        <v>1171</v>
      </c>
    </row>
    <row r="1020" spans="1:3" x14ac:dyDescent="0.25">
      <c r="A1020" s="1" t="s">
        <v>1143</v>
      </c>
      <c r="B1020" s="1" t="s">
        <v>1143</v>
      </c>
      <c r="C1020" s="1" t="s">
        <v>1172</v>
      </c>
    </row>
    <row r="1021" spans="1:3" x14ac:dyDescent="0.25">
      <c r="A1021" s="1" t="s">
        <v>1143</v>
      </c>
      <c r="B1021" s="1" t="s">
        <v>1143</v>
      </c>
      <c r="C1021" s="1" t="s">
        <v>1173</v>
      </c>
    </row>
    <row r="1022" spans="1:3" ht="15.75" customHeight="1" x14ac:dyDescent="0.25">
      <c r="A1022" s="3" t="s">
        <v>218</v>
      </c>
      <c r="B1022" t="s">
        <v>147</v>
      </c>
      <c r="C1022" t="s">
        <v>2224</v>
      </c>
    </row>
  </sheetData>
  <autoFilter ref="A1:C1021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1704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31.33203125" customWidth="1"/>
    <col min="2" max="2" width="27.109375" customWidth="1"/>
    <col min="3" max="3" width="28.109375" customWidth="1"/>
    <col min="4" max="4" width="29.6640625" customWidth="1"/>
    <col min="5" max="5" width="34.21875" customWidth="1"/>
    <col min="6" max="6" width="26.21875" customWidth="1"/>
    <col min="7" max="7" width="27.109375" customWidth="1"/>
    <col min="8" max="8" width="31.44140625" customWidth="1"/>
    <col min="9" max="9" width="30.33203125" customWidth="1"/>
    <col min="10" max="10" width="26.33203125" customWidth="1"/>
    <col min="11" max="11" width="12.33203125" customWidth="1"/>
    <col min="12" max="12" width="15.6640625" customWidth="1"/>
    <col min="13" max="13" width="13.44140625" customWidth="1"/>
    <col min="14" max="14" width="95.88671875" customWidth="1"/>
    <col min="15" max="15" width="19.44140625" customWidth="1"/>
    <col min="16" max="16" width="32.21875" customWidth="1"/>
    <col min="17" max="17" width="23.6640625" customWidth="1"/>
  </cols>
  <sheetData>
    <row r="1" spans="1:17" x14ac:dyDescent="0.25">
      <c r="A1" s="2" t="str">
        <f ca="1">IFERROR(__xludf.DUMMYFUNCTION("IMPORTRANGE(""https://docs.google.com/spreadsheets/d/1D0IyT2ZoGuNxKbP9WqhenRJ7j1j_7T1J1tlU-TPQ74E"",""'BASE DE DRE - 2026'!A:P"")"),"REGIAO_INTEGRACAO")</f>
        <v>REGIAO_INTEGRACAO</v>
      </c>
      <c r="B1" s="1" t="str">
        <f ca="1">IFERROR(__xludf.DUMMYFUNCTION("""COMPUTED_VALUE"""),"NOVA NOMENCLATURA DRE")</f>
        <v>NOVA NOMENCLATURA DRE</v>
      </c>
      <c r="C1" s="1" t="str">
        <f ca="1">IFERROR(__xludf.DUMMYFUNCTION("""COMPUTED_VALUE"""),"NOMENCLATURA DRE - SIGEP")</f>
        <v>NOMENCLATURA DRE - SIGEP</v>
      </c>
      <c r="D1" s="2" t="str">
        <f ca="1">IFERROR(__xludf.DUMMYFUNCTION("""COMPUTED_VALUE"""),"NOMENCLATURA DRE RMB - SIGEP")</f>
        <v>NOMENCLATURA DRE RMB - SIGEP</v>
      </c>
      <c r="E1" s="2" t="str">
        <f ca="1">IFERROR(__xludf.DUMMYFUNCTION("""COMPUTED_VALUE"""),"CHAVE_SIGEP_PARA_ERGON_DRE")</f>
        <v>CHAVE_SIGEP_PARA_ERGON_DRE</v>
      </c>
      <c r="F1" s="1" t="str">
        <f ca="1">IFERROR(__xludf.DUMMYFUNCTION("""COMPUTED_VALUE"""),"GRAU DE COMPLEXIDADE DRE")</f>
        <v>GRAU DE COMPLEXIDADE DRE</v>
      </c>
      <c r="G1" s="1" t="str">
        <f ca="1">IFERROR(__xludf.DUMMYFUNCTION("""COMPUTED_VALUE"""),"DRE ANTIGA_REVOGADA")</f>
        <v>DRE ANTIGA_REVOGADA</v>
      </c>
      <c r="H1" s="1" t="str">
        <f ca="1">IFERROR(__xludf.DUMMYFUNCTION("""COMPUTED_VALUE"""),"NOME_URE (REVOGADA)")</f>
        <v>NOME_URE (REVOGADA)</v>
      </c>
      <c r="I1" s="2" t="str">
        <f ca="1">IFERROR(__xludf.DUMMYFUNCTION("""COMPUTED_VALUE"""),"NOME_USE (REVOGADA)")</f>
        <v>NOME_USE (REVOGADA)</v>
      </c>
      <c r="J1" s="1" t="str">
        <f ca="1">IFERROR(__xludf.DUMMYFUNCTION("""COMPUTED_VALUE"""),"NOME_MUNICIPIO")</f>
        <v>NOME_MUNICIPIO</v>
      </c>
      <c r="K1" s="1" t="str">
        <f ca="1">IFERROR(__xludf.DUMMYFUNCTION("""COMPUTED_VALUE"""),"CODIGO_MEC")</f>
        <v>CODIGO_MEC</v>
      </c>
      <c r="L1" s="2" t="str">
        <f ca="1">IFERROR(__xludf.DUMMYFUNCTION("""COMPUTED_VALUE"""),"SETOR_ORIGINAL")</f>
        <v>SETOR_ORIGINAL</v>
      </c>
      <c r="M1" s="2" t="str">
        <f ca="1">IFERROR(__xludf.DUMMYFUNCTION("""COMPUTED_VALUE"""),"SETOR_CURTO")</f>
        <v>SETOR_CURTO</v>
      </c>
      <c r="N1" s="1" t="str">
        <f ca="1">IFERROR(__xludf.DUMMYFUNCTION("""COMPUTED_VALUE"""),"NOME_ESCOLA_ANTIGO")</f>
        <v>NOME_ESCOLA_ANTIGO</v>
      </c>
      <c r="O1" s="1" t="str">
        <f ca="1">IFERROR(__xludf.DUMMYFUNCTION("""COMPUTED_VALUE"""),"NOME_ESCOLA_NOVO")</f>
        <v>NOME_ESCOLA_NOVO</v>
      </c>
      <c r="P1" s="1" t="str">
        <f ca="1">IFERROR(__xludf.DUMMYFUNCTION("""COMPUTED_VALUE"""),"GRAU DE COMPLEXIDADE DA ESCOLA")</f>
        <v>GRAU DE COMPLEXIDADE DA ESCOLA</v>
      </c>
      <c r="Q1" s="1" t="s">
        <v>0</v>
      </c>
    </row>
    <row r="2" spans="1:17" x14ac:dyDescent="0.25">
      <c r="A2" s="2" t="str">
        <f ca="1">IFERROR(__xludf.DUMMYFUNCTION("""COMPUTED_VALUE"""),"REG DE INTEGRA DO TOCANTINS")</f>
        <v>REG DE INTEGRA DO TOCANTINS</v>
      </c>
      <c r="B2" s="1" t="str">
        <f ca="1">IFERROR(__xludf.DUMMYFUNCTION("""COMPUTED_VALUE"""),"DRE ABAETETUBA")</f>
        <v>DRE ABAETETUBA</v>
      </c>
      <c r="C2" s="2" t="str">
        <f ca="1">IFERROR(__xludf.DUMMYFUNCTION("""COMPUTED_VALUE"""),"DRE - ABAETETUBA")</f>
        <v>DRE - ABAETETUBA</v>
      </c>
      <c r="D2" s="1"/>
      <c r="E2" s="2" t="str">
        <f ca="1">IFERROR(__xludf.DUMMYFUNCTION("""COMPUTED_VALUE"""),"DRE - ABAETETUBA")</f>
        <v>DRE - ABAETETUBA</v>
      </c>
      <c r="F2" s="1">
        <f ca="1">IFERROR(__xludf.DUMMYFUNCTION("""COMPUTED_VALUE"""),3)</f>
        <v>3</v>
      </c>
      <c r="G2" s="1" t="str">
        <f ca="1">IFERROR(__xludf.DUMMYFUNCTION("""COMPUTED_VALUE"""),"DRE ABAETETUBA")</f>
        <v>DRE ABAETETUBA</v>
      </c>
      <c r="H2" s="1" t="str">
        <f ca="1">IFERROR(__xludf.DUMMYFUNCTION("""COMPUTED_VALUE"""),"03A URE - ABAETETUBA")</f>
        <v>03A URE - ABAETETUBA</v>
      </c>
      <c r="I2" s="1"/>
      <c r="J2" s="1" t="str">
        <f ca="1">IFERROR(__xludf.DUMMYFUNCTION("""COMPUTED_VALUE"""),"ABAETETUBA")</f>
        <v>ABAETETUBA</v>
      </c>
      <c r="K2" s="1"/>
      <c r="L2" s="2" t="str">
        <f ca="1">IFERROR(__xludf.DUMMYFUNCTION("""COMPUTED_VALUE"""),"001920900030000")</f>
        <v>001920900030000</v>
      </c>
      <c r="M2" s="2" t="str">
        <f ca="1">IFERROR(__xludf.DUMMYFUNCTION("""COMPUTED_VALUE"""),"1920900030000")</f>
        <v>1920900030000</v>
      </c>
      <c r="N2" s="1" t="str">
        <f ca="1">IFERROR(__xludf.DUMMYFUNCTION("""COMPUTED_VALUE"""),"3 URE")</f>
        <v>3 URE</v>
      </c>
      <c r="O2" s="1"/>
      <c r="P2" s="1"/>
      <c r="Q2" s="1" t="s">
        <v>3</v>
      </c>
    </row>
    <row r="3" spans="1:17" x14ac:dyDescent="0.25">
      <c r="A3" s="2" t="str">
        <f ca="1">IFERROR(__xludf.DUMMYFUNCTION("""COMPUTED_VALUE"""),"REG DE INTEGRA DO TOCANTINS")</f>
        <v>REG DE INTEGRA DO TOCANTINS</v>
      </c>
      <c r="B3" s="1" t="str">
        <f ca="1">IFERROR(__xludf.DUMMYFUNCTION("""COMPUTED_VALUE"""),"DRE ABAETETUBA")</f>
        <v>DRE ABAETETUBA</v>
      </c>
      <c r="C3" s="2" t="str">
        <f ca="1">IFERROR(__xludf.DUMMYFUNCTION("""COMPUTED_VALUE"""),"DRE - ABAETETUBA")</f>
        <v>DRE - ABAETETUBA</v>
      </c>
      <c r="D3" s="1"/>
      <c r="E3" s="2" t="str">
        <f ca="1">IFERROR(__xludf.DUMMYFUNCTION("""COMPUTED_VALUE"""),"DRE - ABAETETUBA")</f>
        <v>DRE - ABAETETUBA</v>
      </c>
      <c r="F3" s="1">
        <f ca="1">IFERROR(__xludf.DUMMYFUNCTION("""COMPUTED_VALUE"""),3)</f>
        <v>3</v>
      </c>
      <c r="G3" s="1" t="str">
        <f ca="1">IFERROR(__xludf.DUMMYFUNCTION("""COMPUTED_VALUE"""),"DRE ABAETETUBA")</f>
        <v>DRE ABAETETUBA</v>
      </c>
      <c r="H3" s="1" t="str">
        <f ca="1">IFERROR(__xludf.DUMMYFUNCTION("""COMPUTED_VALUE"""),"03A URE - ABAETETUBA")</f>
        <v>03A URE - ABAETETUBA</v>
      </c>
      <c r="I3" s="1"/>
      <c r="J3" s="1" t="str">
        <f ca="1">IFERROR(__xludf.DUMMYFUNCTION("""COMPUTED_VALUE"""),"ABAETETUBA")</f>
        <v>ABAETETUBA</v>
      </c>
      <c r="K3" s="1">
        <f ca="1">IFERROR(__xludf.DUMMYFUNCTION("""COMPUTED_VALUE"""),15170713)</f>
        <v>15170713</v>
      </c>
      <c r="L3" s="2" t="str">
        <f ca="1">IFERROR(__xludf.DUMMYFUNCTION("""COMPUTED_VALUE"""),"001920929830001")</f>
        <v>001920929830001</v>
      </c>
      <c r="M3" s="2" t="str">
        <f ca="1">IFERROR(__xludf.DUMMYFUNCTION("""COMPUTED_VALUE"""),"1920929830001")</f>
        <v>1920929830001</v>
      </c>
      <c r="N3" s="1" t="str">
        <f ca="1">IFERROR(__xludf.DUMMYFUNCTION("""COMPUTED_VALUE"""),"ANEXO DA EEEFM  BENVINDA DE ARAUJO PONTES")</f>
        <v>ANEXO DA EEEFM  BENVINDA DE ARAUJO PONTES</v>
      </c>
      <c r="O3" s="1"/>
      <c r="P3" s="1"/>
      <c r="Q3" s="1" t="s">
        <v>3</v>
      </c>
    </row>
    <row r="4" spans="1:17" x14ac:dyDescent="0.25">
      <c r="A4" s="2" t="str">
        <f ca="1">IFERROR(__xludf.DUMMYFUNCTION("""COMPUTED_VALUE"""),"REG DE INTEGRA DO TOCANTINS")</f>
        <v>REG DE INTEGRA DO TOCANTINS</v>
      </c>
      <c r="B4" s="1" t="str">
        <f ca="1">IFERROR(__xludf.DUMMYFUNCTION("""COMPUTED_VALUE"""),"DRE ABAETETUBA")</f>
        <v>DRE ABAETETUBA</v>
      </c>
      <c r="C4" s="2" t="str">
        <f ca="1">IFERROR(__xludf.DUMMYFUNCTION("""COMPUTED_VALUE"""),"DRE - ABAETETUBA")</f>
        <v>DRE - ABAETETUBA</v>
      </c>
      <c r="D4" s="1"/>
      <c r="E4" s="2" t="str">
        <f ca="1">IFERROR(__xludf.DUMMYFUNCTION("""COMPUTED_VALUE"""),"DRE - ABAETETUBA")</f>
        <v>DRE - ABAETETUBA</v>
      </c>
      <c r="F4" s="1">
        <f ca="1">IFERROR(__xludf.DUMMYFUNCTION("""COMPUTED_VALUE"""),3)</f>
        <v>3</v>
      </c>
      <c r="G4" s="1" t="str">
        <f ca="1">IFERROR(__xludf.DUMMYFUNCTION("""COMPUTED_VALUE"""),"DRE ABAETETUBA")</f>
        <v>DRE ABAETETUBA</v>
      </c>
      <c r="H4" s="1" t="str">
        <f ca="1">IFERROR(__xludf.DUMMYFUNCTION("""COMPUTED_VALUE"""),"03A URE - ABAETETUBA")</f>
        <v>03A URE - ABAETETUBA</v>
      </c>
      <c r="I4" s="1"/>
      <c r="J4" s="1" t="str">
        <f ca="1">IFERROR(__xludf.DUMMYFUNCTION("""COMPUTED_VALUE"""),"ABAETETUBA")</f>
        <v>ABAETETUBA</v>
      </c>
      <c r="K4" s="1"/>
      <c r="L4" s="2" t="str">
        <f ca="1">IFERROR(__xludf.DUMMYFUNCTION("""COMPUTED_VALUE"""),"001920929830002")</f>
        <v>001920929830002</v>
      </c>
      <c r="M4" s="2" t="str">
        <f ca="1">IFERROR(__xludf.DUMMYFUNCTION("""COMPUTED_VALUE"""),"1920929830002")</f>
        <v>1920929830002</v>
      </c>
      <c r="N4" s="1" t="str">
        <f ca="1">IFERROR(__xludf.DUMMYFUNCTION("""COMPUTED_VALUE"""),"ANEXO II DA EEEFM  BENVINDA DE ARAUJO PONTES")</f>
        <v>ANEXO II DA EEEFM  BENVINDA DE ARAUJO PONTES</v>
      </c>
      <c r="O4" s="1"/>
      <c r="P4" s="1"/>
      <c r="Q4" s="1" t="s">
        <v>3</v>
      </c>
    </row>
    <row r="5" spans="1:17" x14ac:dyDescent="0.25">
      <c r="A5" s="2" t="str">
        <f ca="1">IFERROR(__xludf.DUMMYFUNCTION("""COMPUTED_VALUE"""),"REG DE INTEGRA DO TOCANTINS")</f>
        <v>REG DE INTEGRA DO TOCANTINS</v>
      </c>
      <c r="B5" s="1" t="str">
        <f ca="1">IFERROR(__xludf.DUMMYFUNCTION("""COMPUTED_VALUE"""),"DRE ABAETETUBA")</f>
        <v>DRE ABAETETUBA</v>
      </c>
      <c r="C5" s="2" t="str">
        <f ca="1">IFERROR(__xludf.DUMMYFUNCTION("""COMPUTED_VALUE"""),"DRE - ABAETETUBA")</f>
        <v>DRE - ABAETETUBA</v>
      </c>
      <c r="D5" s="1"/>
      <c r="E5" s="2" t="str">
        <f ca="1">IFERROR(__xludf.DUMMYFUNCTION("""COMPUTED_VALUE"""),"DRE - ABAETETUBA")</f>
        <v>DRE - ABAETETUBA</v>
      </c>
      <c r="F5" s="1">
        <f ca="1">IFERROR(__xludf.DUMMYFUNCTION("""COMPUTED_VALUE"""),3)</f>
        <v>3</v>
      </c>
      <c r="G5" s="1" t="str">
        <f ca="1">IFERROR(__xludf.DUMMYFUNCTION("""COMPUTED_VALUE"""),"DRE ABAETETUBA")</f>
        <v>DRE ABAETETUBA</v>
      </c>
      <c r="H5" s="1" t="str">
        <f ca="1">IFERROR(__xludf.DUMMYFUNCTION("""COMPUTED_VALUE"""),"03A URE - ABAETETUBA")</f>
        <v>03A URE - ABAETETUBA</v>
      </c>
      <c r="I5" s="1"/>
      <c r="J5" s="1" t="str">
        <f ca="1">IFERROR(__xludf.DUMMYFUNCTION("""COMPUTED_VALUE"""),"ABAETETUBA")</f>
        <v>ABAETETUBA</v>
      </c>
      <c r="K5" s="1">
        <f ca="1">IFERROR(__xludf.DUMMYFUNCTION("""COMPUTED_VALUE"""),15175642)</f>
        <v>15175642</v>
      </c>
      <c r="L5" s="2" t="str">
        <f ca="1">IFERROR(__xludf.DUMMYFUNCTION("""COMPUTED_VALUE"""),"001920909910002")</f>
        <v>001920909910002</v>
      </c>
      <c r="M5" s="2" t="str">
        <f ca="1">IFERROR(__xludf.DUMMYFUNCTION("""COMPUTED_VALUE"""),"1920909910002")</f>
        <v>1920909910002</v>
      </c>
      <c r="N5" s="1" t="str">
        <f ca="1">IFERROR(__xludf.DUMMYFUNCTION("""COMPUTED_VALUE"""),"ANEXO II EEEFM PEDRO TEIXEIRA")</f>
        <v>ANEXO II EEEFM PEDRO TEIXEIRA</v>
      </c>
      <c r="O5" s="1"/>
      <c r="P5" s="1"/>
      <c r="Q5" s="1" t="s">
        <v>3</v>
      </c>
    </row>
    <row r="6" spans="1:17" x14ac:dyDescent="0.25">
      <c r="A6" s="2" t="str">
        <f ca="1">IFERROR(__xludf.DUMMYFUNCTION("""COMPUTED_VALUE"""),"REG DE INTEGRA DO TOCANTINS")</f>
        <v>REG DE INTEGRA DO TOCANTINS</v>
      </c>
      <c r="B6" s="1" t="str">
        <f ca="1">IFERROR(__xludf.DUMMYFUNCTION("""COMPUTED_VALUE"""),"DRE ABAETETUBA")</f>
        <v>DRE ABAETETUBA</v>
      </c>
      <c r="C6" s="2" t="str">
        <f ca="1">IFERROR(__xludf.DUMMYFUNCTION("""COMPUTED_VALUE"""),"DRE - ABAETETUBA")</f>
        <v>DRE - ABAETETUBA</v>
      </c>
      <c r="D6" s="1"/>
      <c r="E6" s="2" t="str">
        <f ca="1">IFERROR(__xludf.DUMMYFUNCTION("""COMPUTED_VALUE"""),"DRE - ABAETETUBA")</f>
        <v>DRE - ABAETETUBA</v>
      </c>
      <c r="F6" s="1">
        <f ca="1">IFERROR(__xludf.DUMMYFUNCTION("""COMPUTED_VALUE"""),3)</f>
        <v>3</v>
      </c>
      <c r="G6" s="1" t="str">
        <f ca="1">IFERROR(__xludf.DUMMYFUNCTION("""COMPUTED_VALUE"""),"DRE ABAETETUBA")</f>
        <v>DRE ABAETETUBA</v>
      </c>
      <c r="H6" s="1" t="str">
        <f ca="1">IFERROR(__xludf.DUMMYFUNCTION("""COMPUTED_VALUE"""),"03A URE - ABAETETUBA")</f>
        <v>03A URE - ABAETETUBA</v>
      </c>
      <c r="I6" s="1"/>
      <c r="J6" s="1" t="str">
        <f ca="1">IFERROR(__xludf.DUMMYFUNCTION("""COMPUTED_VALUE"""),"ABAETETUBA")</f>
        <v>ABAETETUBA</v>
      </c>
      <c r="K6" s="1">
        <f ca="1">IFERROR(__xludf.DUMMYFUNCTION("""COMPUTED_VALUE"""),15177416)</f>
        <v>15177416</v>
      </c>
      <c r="L6" s="2" t="str">
        <f ca="1">IFERROR(__xludf.DUMMYFUNCTION("""COMPUTED_VALUE"""),"001920929830003")</f>
        <v>001920929830003</v>
      </c>
      <c r="M6" s="2" t="str">
        <f ca="1">IFERROR(__xludf.DUMMYFUNCTION("""COMPUTED_VALUE"""),"1920929830003")</f>
        <v>1920929830003</v>
      </c>
      <c r="N6" s="1" t="str">
        <f ca="1">IFERROR(__xludf.DUMMYFUNCTION("""COMPUTED_VALUE"""),"ANEXO RURAL BENVINDA DE ARAUJO PONTES")</f>
        <v>ANEXO RURAL BENVINDA DE ARAUJO PONTES</v>
      </c>
      <c r="O6" s="1"/>
      <c r="P6" s="1"/>
      <c r="Q6" s="1" t="s">
        <v>3</v>
      </c>
    </row>
    <row r="7" spans="1:17" x14ac:dyDescent="0.25">
      <c r="A7" s="2" t="str">
        <f ca="1">IFERROR(__xludf.DUMMYFUNCTION("""COMPUTED_VALUE"""),"REG DE INTEGRA DO TOCANTINS")</f>
        <v>REG DE INTEGRA DO TOCANTINS</v>
      </c>
      <c r="B7" s="1" t="str">
        <f ca="1">IFERROR(__xludf.DUMMYFUNCTION("""COMPUTED_VALUE"""),"DRE ABAETETUBA")</f>
        <v>DRE ABAETETUBA</v>
      </c>
      <c r="C7" s="2" t="str">
        <f ca="1">IFERROR(__xludf.DUMMYFUNCTION("""COMPUTED_VALUE"""),"DRE - ABAETETUBA")</f>
        <v>DRE - ABAETETUBA</v>
      </c>
      <c r="D7" s="1"/>
      <c r="E7" s="2" t="str">
        <f ca="1">IFERROR(__xludf.DUMMYFUNCTION("""COMPUTED_VALUE"""),"DRE - ABAETETUBA")</f>
        <v>DRE - ABAETETUBA</v>
      </c>
      <c r="F7" s="1">
        <f ca="1">IFERROR(__xludf.DUMMYFUNCTION("""COMPUTED_VALUE"""),3)</f>
        <v>3</v>
      </c>
      <c r="G7" s="1" t="str">
        <f ca="1">IFERROR(__xludf.DUMMYFUNCTION("""COMPUTED_VALUE"""),"DRE ABAETETUBA")</f>
        <v>DRE ABAETETUBA</v>
      </c>
      <c r="H7" s="1" t="str">
        <f ca="1">IFERROR(__xludf.DUMMYFUNCTION("""COMPUTED_VALUE"""),"03A URE - ABAETETUBA")</f>
        <v>03A URE - ABAETETUBA</v>
      </c>
      <c r="I7" s="1"/>
      <c r="J7" s="1" t="str">
        <f ca="1">IFERROR(__xludf.DUMMYFUNCTION("""COMPUTED_VALUE"""),"ABAETETUBA")</f>
        <v>ABAETETUBA</v>
      </c>
      <c r="K7" s="1">
        <f ca="1">IFERROR(__xludf.DUMMYFUNCTION("""COMPUTED_VALUE"""),15145450)</f>
        <v>15145450</v>
      </c>
      <c r="L7" s="2" t="str">
        <f ca="1">IFERROR(__xludf.DUMMYFUNCTION("""COMPUTED_VALUE"""),"001920927640000")</f>
        <v>001920927640000</v>
      </c>
      <c r="M7" s="2" t="str">
        <f ca="1">IFERROR(__xludf.DUMMYFUNCTION("""COMPUTED_VALUE"""),"1920927640000")</f>
        <v>1920927640000</v>
      </c>
      <c r="N7" s="1" t="str">
        <f ca="1">IFERROR(__xludf.DUMMYFUNCTION("""COMPUTED_VALUE"""),"CENTRO DE EDUCACAO DE JOVENS E ADULTOS PROF MARIA OSCARINA SILVA PEREIRA CEEJA EM ABAETETUBA PA")</f>
        <v>CENTRO DE EDUCACAO DE JOVENS E ADULTOS PROF MARIA OSCARINA SILVA PEREIRA CEEJA EM ABAETETUBA PA</v>
      </c>
      <c r="O7" s="1"/>
      <c r="P7" s="1"/>
      <c r="Q7" s="1" t="s">
        <v>3</v>
      </c>
    </row>
    <row r="8" spans="1:17" x14ac:dyDescent="0.25">
      <c r="A8" s="2" t="str">
        <f ca="1">IFERROR(__xludf.DUMMYFUNCTION("""COMPUTED_VALUE"""),"REG DE INTEGRA DO TOCANTINS")</f>
        <v>REG DE INTEGRA DO TOCANTINS</v>
      </c>
      <c r="B8" s="1" t="str">
        <f ca="1">IFERROR(__xludf.DUMMYFUNCTION("""COMPUTED_VALUE"""),"DRE ABAETETUBA")</f>
        <v>DRE ABAETETUBA</v>
      </c>
      <c r="C8" s="2" t="str">
        <f ca="1">IFERROR(__xludf.DUMMYFUNCTION("""COMPUTED_VALUE"""),"DRE - ABAETETUBA")</f>
        <v>DRE - ABAETETUBA</v>
      </c>
      <c r="D8" s="1"/>
      <c r="E8" s="2" t="str">
        <f ca="1">IFERROR(__xludf.DUMMYFUNCTION("""COMPUTED_VALUE"""),"DRE - ABAETETUBA")</f>
        <v>DRE - ABAETETUBA</v>
      </c>
      <c r="F8" s="1">
        <f ca="1">IFERROR(__xludf.DUMMYFUNCTION("""COMPUTED_VALUE"""),3)</f>
        <v>3</v>
      </c>
      <c r="G8" s="1" t="str">
        <f ca="1">IFERROR(__xludf.DUMMYFUNCTION("""COMPUTED_VALUE"""),"DRE ABAETETUBA")</f>
        <v>DRE ABAETETUBA</v>
      </c>
      <c r="H8" s="1" t="str">
        <f ca="1">IFERROR(__xludf.DUMMYFUNCTION("""COMPUTED_VALUE"""),"03A URE - ABAETETUBA")</f>
        <v>03A URE - ABAETETUBA</v>
      </c>
      <c r="I8" s="1"/>
      <c r="J8" s="1" t="str">
        <f ca="1">IFERROR(__xludf.DUMMYFUNCTION("""COMPUTED_VALUE"""),"ABAETETUBA")</f>
        <v>ABAETETUBA</v>
      </c>
      <c r="K8" s="1">
        <f ca="1">IFERROR(__xludf.DUMMYFUNCTION("""COMPUTED_VALUE"""),15169987)</f>
        <v>15169987</v>
      </c>
      <c r="L8" s="2" t="str">
        <f ca="1">IFERROR(__xludf.DUMMYFUNCTION("""COMPUTED_VALUE"""),"001920909840002")</f>
        <v>001920909840002</v>
      </c>
      <c r="M8" s="2" t="str">
        <f ca="1">IFERROR(__xludf.DUMMYFUNCTION("""COMPUTED_VALUE"""),"1920909840002")</f>
        <v>1920909840002</v>
      </c>
      <c r="N8" s="1" t="str">
        <f ca="1">IFERROR(__xludf.DUMMYFUNCTION("""COMPUTED_VALUE"""),"EEEF  NOSSA SENHORA DA PAZ II  - ANEXO")</f>
        <v>EEEF  NOSSA SENHORA DA PAZ II  - ANEXO</v>
      </c>
      <c r="O8" s="1"/>
      <c r="P8" s="1"/>
      <c r="Q8" s="1" t="s">
        <v>3</v>
      </c>
    </row>
    <row r="9" spans="1:17" x14ac:dyDescent="0.25">
      <c r="A9" s="2" t="str">
        <f ca="1">IFERROR(__xludf.DUMMYFUNCTION("""COMPUTED_VALUE"""),"REG DE INTEGRA DO TOCANTINS")</f>
        <v>REG DE INTEGRA DO TOCANTINS</v>
      </c>
      <c r="B9" s="1" t="str">
        <f ca="1">IFERROR(__xludf.DUMMYFUNCTION("""COMPUTED_VALUE"""),"DRE ABAETETUBA")</f>
        <v>DRE ABAETETUBA</v>
      </c>
      <c r="C9" s="2" t="str">
        <f ca="1">IFERROR(__xludf.DUMMYFUNCTION("""COMPUTED_VALUE"""),"DRE - ABAETETUBA")</f>
        <v>DRE - ABAETETUBA</v>
      </c>
      <c r="D9" s="1"/>
      <c r="E9" s="2" t="str">
        <f ca="1">IFERROR(__xludf.DUMMYFUNCTION("""COMPUTED_VALUE"""),"DRE - ABAETETUBA")</f>
        <v>DRE - ABAETETUBA</v>
      </c>
      <c r="F9" s="1">
        <f ca="1">IFERROR(__xludf.DUMMYFUNCTION("""COMPUTED_VALUE"""),3)</f>
        <v>3</v>
      </c>
      <c r="G9" s="1" t="str">
        <f ca="1">IFERROR(__xludf.DUMMYFUNCTION("""COMPUTED_VALUE"""),"DRE ABAETETUBA")</f>
        <v>DRE ABAETETUBA</v>
      </c>
      <c r="H9" s="1" t="str">
        <f ca="1">IFERROR(__xludf.DUMMYFUNCTION("""COMPUTED_VALUE"""),"03A URE - ABAETETUBA")</f>
        <v>03A URE - ABAETETUBA</v>
      </c>
      <c r="I9" s="1"/>
      <c r="J9" s="1" t="str">
        <f ca="1">IFERROR(__xludf.DUMMYFUNCTION("""COMPUTED_VALUE"""),"ABAETETUBA")</f>
        <v>ABAETETUBA</v>
      </c>
      <c r="K9" s="1">
        <f ca="1">IFERROR(__xludf.DUMMYFUNCTION("""COMPUTED_VALUE"""),15064905)</f>
        <v>15064905</v>
      </c>
      <c r="L9" s="2" t="str">
        <f ca="1">IFERROR(__xludf.DUMMYFUNCTION("""COMPUTED_VALUE"""),"001920909920000")</f>
        <v>001920909920000</v>
      </c>
      <c r="M9" s="2" t="str">
        <f ca="1">IFERROR(__xludf.DUMMYFUNCTION("""COMPUTED_VALUE"""),"1920909920000")</f>
        <v>1920909920000</v>
      </c>
      <c r="N9" s="1" t="str">
        <f ca="1">IFERROR(__xludf.DUMMYFUNCTION("""COMPUTED_VALUE"""),"EEEF ESMERINA BOU HABIB")</f>
        <v>EEEF ESMERINA BOU HABIB</v>
      </c>
      <c r="O9" s="1"/>
      <c r="P9" s="1"/>
      <c r="Q9" s="1" t="s">
        <v>3</v>
      </c>
    </row>
    <row r="10" spans="1:17" x14ac:dyDescent="0.25">
      <c r="A10" s="2" t="str">
        <f ca="1">IFERROR(__xludf.DUMMYFUNCTION("""COMPUTED_VALUE"""),"REG DE INTEGRA DO TOCANTINS")</f>
        <v>REG DE INTEGRA DO TOCANTINS</v>
      </c>
      <c r="B10" s="1" t="str">
        <f ca="1">IFERROR(__xludf.DUMMYFUNCTION("""COMPUTED_VALUE"""),"DRE ABAETETUBA")</f>
        <v>DRE ABAETETUBA</v>
      </c>
      <c r="C10" s="2" t="str">
        <f ca="1">IFERROR(__xludf.DUMMYFUNCTION("""COMPUTED_VALUE"""),"DRE - ABAETETUBA")</f>
        <v>DRE - ABAETETUBA</v>
      </c>
      <c r="D10" s="1"/>
      <c r="E10" s="2" t="str">
        <f ca="1">IFERROR(__xludf.DUMMYFUNCTION("""COMPUTED_VALUE"""),"DRE - ABAETETUBA")</f>
        <v>DRE - ABAETETUBA</v>
      </c>
      <c r="F10" s="1">
        <f ca="1">IFERROR(__xludf.DUMMYFUNCTION("""COMPUTED_VALUE"""),3)</f>
        <v>3</v>
      </c>
      <c r="G10" s="1" t="str">
        <f ca="1">IFERROR(__xludf.DUMMYFUNCTION("""COMPUTED_VALUE"""),"DRE ABAETETUBA")</f>
        <v>DRE ABAETETUBA</v>
      </c>
      <c r="H10" s="1" t="str">
        <f ca="1">IFERROR(__xludf.DUMMYFUNCTION("""COMPUTED_VALUE"""),"03A URE - ABAETETUBA")</f>
        <v>03A URE - ABAETETUBA</v>
      </c>
      <c r="I10" s="1"/>
      <c r="J10" s="1" t="str">
        <f ca="1">IFERROR(__xludf.DUMMYFUNCTION("""COMPUTED_VALUE"""),"ABAETETUBA")</f>
        <v>ABAETETUBA</v>
      </c>
      <c r="K10" s="1">
        <f ca="1">IFERROR(__xludf.DUMMYFUNCTION("""COMPUTED_VALUE"""),15066878)</f>
        <v>15066878</v>
      </c>
      <c r="L10" s="2" t="str">
        <f ca="1">IFERROR(__xludf.DUMMYFUNCTION("""COMPUTED_VALUE"""),"001920932170000")</f>
        <v>001920932170000</v>
      </c>
      <c r="M10" s="2" t="str">
        <f ca="1">IFERROR(__xludf.DUMMYFUNCTION("""COMPUTED_VALUE"""),"1920932170000")</f>
        <v>1920932170000</v>
      </c>
      <c r="N10" s="1" t="str">
        <f ca="1">IFERROR(__xludf.DUMMYFUNCTION("""COMPUTED_VALUE"""),"EEEFM CRISTO REDENTOR")</f>
        <v>EEEFM CRISTO REDENTOR</v>
      </c>
      <c r="O10" s="1"/>
      <c r="P10" s="1"/>
      <c r="Q10" s="1" t="s">
        <v>3</v>
      </c>
    </row>
    <row r="11" spans="1:17" x14ac:dyDescent="0.25">
      <c r="A11" s="2" t="str">
        <f ca="1">IFERROR(__xludf.DUMMYFUNCTION("""COMPUTED_VALUE"""),"REG DE INTEGRA DO TOCANTINS")</f>
        <v>REG DE INTEGRA DO TOCANTINS</v>
      </c>
      <c r="B11" s="1" t="str">
        <f ca="1">IFERROR(__xludf.DUMMYFUNCTION("""COMPUTED_VALUE"""),"DRE ABAETETUBA")</f>
        <v>DRE ABAETETUBA</v>
      </c>
      <c r="C11" s="2" t="str">
        <f ca="1">IFERROR(__xludf.DUMMYFUNCTION("""COMPUTED_VALUE"""),"DRE - ABAETETUBA")</f>
        <v>DRE - ABAETETUBA</v>
      </c>
      <c r="D11" s="1"/>
      <c r="E11" s="2" t="str">
        <f ca="1">IFERROR(__xludf.DUMMYFUNCTION("""COMPUTED_VALUE"""),"DRE - ABAETETUBA")</f>
        <v>DRE - ABAETETUBA</v>
      </c>
      <c r="F11" s="1">
        <f ca="1">IFERROR(__xludf.DUMMYFUNCTION("""COMPUTED_VALUE"""),3)</f>
        <v>3</v>
      </c>
      <c r="G11" s="1" t="str">
        <f ca="1">IFERROR(__xludf.DUMMYFUNCTION("""COMPUTED_VALUE"""),"DRE ABAETETUBA")</f>
        <v>DRE ABAETETUBA</v>
      </c>
      <c r="H11" s="1" t="str">
        <f ca="1">IFERROR(__xludf.DUMMYFUNCTION("""COMPUTED_VALUE"""),"03A URE - ABAETETUBA")</f>
        <v>03A URE - ABAETETUBA</v>
      </c>
      <c r="I11" s="1"/>
      <c r="J11" s="1" t="str">
        <f ca="1">IFERROR(__xludf.DUMMYFUNCTION("""COMPUTED_VALUE"""),"ABAETETUBA")</f>
        <v>ABAETETUBA</v>
      </c>
      <c r="K11" s="1">
        <f ca="1">IFERROR(__xludf.DUMMYFUNCTION("""COMPUTED_VALUE"""),15096700)</f>
        <v>15096700</v>
      </c>
      <c r="L11" s="2" t="str">
        <f ca="1">IFERROR(__xludf.DUMMYFUNCTION("""COMPUTED_VALUE"""),"001920937350000")</f>
        <v>001920937350000</v>
      </c>
      <c r="M11" s="2" t="str">
        <f ca="1">IFERROR(__xludf.DUMMYFUNCTION("""COMPUTED_VALUE"""),"1920937350000")</f>
        <v>1920937350000</v>
      </c>
      <c r="N11" s="1" t="str">
        <f ca="1">IFERROR(__xludf.DUMMYFUNCTION("""COMPUTED_VALUE"""),"EEEFM CRISTO TRABALHADOR")</f>
        <v>EEEFM CRISTO TRABALHADOR</v>
      </c>
      <c r="O11" s="1"/>
      <c r="P11" s="1"/>
      <c r="Q11" s="1" t="s">
        <v>3</v>
      </c>
    </row>
    <row r="12" spans="1:17" x14ac:dyDescent="0.25">
      <c r="A12" s="2" t="str">
        <f ca="1">IFERROR(__xludf.DUMMYFUNCTION("""COMPUTED_VALUE"""),"REG DE INTEGRA DO TOCANTINS")</f>
        <v>REG DE INTEGRA DO TOCANTINS</v>
      </c>
      <c r="B12" s="1" t="str">
        <f ca="1">IFERROR(__xludf.DUMMYFUNCTION("""COMPUTED_VALUE"""),"DRE ABAETETUBA")</f>
        <v>DRE ABAETETUBA</v>
      </c>
      <c r="C12" s="2" t="str">
        <f ca="1">IFERROR(__xludf.DUMMYFUNCTION("""COMPUTED_VALUE"""),"DRE - ABAETETUBA")</f>
        <v>DRE - ABAETETUBA</v>
      </c>
      <c r="D12" s="1"/>
      <c r="E12" s="2" t="str">
        <f ca="1">IFERROR(__xludf.DUMMYFUNCTION("""COMPUTED_VALUE"""),"DRE - ABAETETUBA")</f>
        <v>DRE - ABAETETUBA</v>
      </c>
      <c r="F12" s="1">
        <f ca="1">IFERROR(__xludf.DUMMYFUNCTION("""COMPUTED_VALUE"""),3)</f>
        <v>3</v>
      </c>
      <c r="G12" s="1" t="str">
        <f ca="1">IFERROR(__xludf.DUMMYFUNCTION("""COMPUTED_VALUE"""),"DRE ABAETETUBA")</f>
        <v>DRE ABAETETUBA</v>
      </c>
      <c r="H12" s="1" t="str">
        <f ca="1">IFERROR(__xludf.DUMMYFUNCTION("""COMPUTED_VALUE"""),"03A URE - ABAETETUBA")</f>
        <v>03A URE - ABAETETUBA</v>
      </c>
      <c r="I12" s="1"/>
      <c r="J12" s="1" t="str">
        <f ca="1">IFERROR(__xludf.DUMMYFUNCTION("""COMPUTED_VALUE"""),"ABAETETUBA")</f>
        <v>ABAETETUBA</v>
      </c>
      <c r="K12" s="1">
        <f ca="1">IFERROR(__xludf.DUMMYFUNCTION("""COMPUTED_VALUE"""),15163768)</f>
        <v>15163768</v>
      </c>
      <c r="L12" s="2" t="str">
        <f ca="1">IFERROR(__xludf.DUMMYFUNCTION("""COMPUTED_VALUE"""),"001920937770000")</f>
        <v>001920937770000</v>
      </c>
      <c r="M12" s="2" t="str">
        <f ca="1">IFERROR(__xludf.DUMMYFUNCTION("""COMPUTED_VALUE"""),"1920937770000")</f>
        <v>1920937770000</v>
      </c>
      <c r="N12" s="1" t="str">
        <f ca="1">IFERROR(__xludf.DUMMYFUNCTION("""COMPUTED_VALUE"""),"EEEFM DO CAMPO PROFESSORA BENEDITA LIMA ARAUJO")</f>
        <v>EEEFM DO CAMPO PROFESSORA BENEDITA LIMA ARAUJO</v>
      </c>
      <c r="O12" s="1"/>
      <c r="P12" s="1"/>
      <c r="Q12" s="1" t="s">
        <v>3</v>
      </c>
    </row>
    <row r="13" spans="1:17" x14ac:dyDescent="0.25">
      <c r="A13" s="2" t="str">
        <f ca="1">IFERROR(__xludf.DUMMYFUNCTION("""COMPUTED_VALUE"""),"REG DE INTEGRA DO TOCANTINS")</f>
        <v>REG DE INTEGRA DO TOCANTINS</v>
      </c>
      <c r="B13" s="1" t="str">
        <f ca="1">IFERROR(__xludf.DUMMYFUNCTION("""COMPUTED_VALUE"""),"DRE ABAETETUBA")</f>
        <v>DRE ABAETETUBA</v>
      </c>
      <c r="C13" s="2" t="str">
        <f ca="1">IFERROR(__xludf.DUMMYFUNCTION("""COMPUTED_VALUE"""),"DRE - ABAETETUBA")</f>
        <v>DRE - ABAETETUBA</v>
      </c>
      <c r="D13" s="1"/>
      <c r="E13" s="2" t="str">
        <f ca="1">IFERROR(__xludf.DUMMYFUNCTION("""COMPUTED_VALUE"""),"DRE - ABAETETUBA")</f>
        <v>DRE - ABAETETUBA</v>
      </c>
      <c r="F13" s="1">
        <f ca="1">IFERROR(__xludf.DUMMYFUNCTION("""COMPUTED_VALUE"""),3)</f>
        <v>3</v>
      </c>
      <c r="G13" s="1" t="str">
        <f ca="1">IFERROR(__xludf.DUMMYFUNCTION("""COMPUTED_VALUE"""),"DRE ABAETETUBA")</f>
        <v>DRE ABAETETUBA</v>
      </c>
      <c r="H13" s="1" t="str">
        <f ca="1">IFERROR(__xludf.DUMMYFUNCTION("""COMPUTED_VALUE"""),"03A URE - ABAETETUBA")</f>
        <v>03A URE - ABAETETUBA</v>
      </c>
      <c r="I13" s="1"/>
      <c r="J13" s="1" t="str">
        <f ca="1">IFERROR(__xludf.DUMMYFUNCTION("""COMPUTED_VALUE"""),"ABAETETUBA")</f>
        <v>ABAETETUBA</v>
      </c>
      <c r="K13" s="1">
        <f ca="1">IFERROR(__xludf.DUMMYFUNCTION("""COMPUTED_VALUE"""),15576396)</f>
        <v>15576396</v>
      </c>
      <c r="L13" s="2" t="str">
        <f ca="1">IFERROR(__xludf.DUMMYFUNCTION("""COMPUTED_VALUE"""),"001920936230000")</f>
        <v>001920936230000</v>
      </c>
      <c r="M13" s="2" t="str">
        <f ca="1">IFERROR(__xludf.DUMMYFUNCTION("""COMPUTED_VALUE"""),"1920936230000")</f>
        <v>1920936230000</v>
      </c>
      <c r="N13" s="1" t="str">
        <f ca="1">IFERROR(__xludf.DUMMYFUNCTION("""COMPUTED_VALUE"""),"EEEFM IRMA STELLA MARIA")</f>
        <v>EEEFM IRMA STELLA MARIA</v>
      </c>
      <c r="O13" s="1"/>
      <c r="P13" s="1"/>
      <c r="Q13" s="1" t="s">
        <v>3</v>
      </c>
    </row>
    <row r="14" spans="1:17" x14ac:dyDescent="0.25">
      <c r="A14" s="2" t="str">
        <f ca="1">IFERROR(__xludf.DUMMYFUNCTION("""COMPUTED_VALUE"""),"REG DE INTEGRA DO TOCANTINS")</f>
        <v>REG DE INTEGRA DO TOCANTINS</v>
      </c>
      <c r="B14" s="1" t="str">
        <f ca="1">IFERROR(__xludf.DUMMYFUNCTION("""COMPUTED_VALUE"""),"DRE ABAETETUBA")</f>
        <v>DRE ABAETETUBA</v>
      </c>
      <c r="C14" s="2" t="str">
        <f ca="1">IFERROR(__xludf.DUMMYFUNCTION("""COMPUTED_VALUE"""),"DRE - ABAETETUBA")</f>
        <v>DRE - ABAETETUBA</v>
      </c>
      <c r="D14" s="1"/>
      <c r="E14" s="2" t="str">
        <f ca="1">IFERROR(__xludf.DUMMYFUNCTION("""COMPUTED_VALUE"""),"DRE - ABAETETUBA")</f>
        <v>DRE - ABAETETUBA</v>
      </c>
      <c r="F14" s="1">
        <f ca="1">IFERROR(__xludf.DUMMYFUNCTION("""COMPUTED_VALUE"""),3)</f>
        <v>3</v>
      </c>
      <c r="G14" s="1" t="str">
        <f ca="1">IFERROR(__xludf.DUMMYFUNCTION("""COMPUTED_VALUE"""),"DRE ABAETETUBA")</f>
        <v>DRE ABAETETUBA</v>
      </c>
      <c r="H14" s="1" t="str">
        <f ca="1">IFERROR(__xludf.DUMMYFUNCTION("""COMPUTED_VALUE"""),"03A URE - ABAETETUBA")</f>
        <v>03A URE - ABAETETUBA</v>
      </c>
      <c r="I14" s="1"/>
      <c r="J14" s="1" t="str">
        <f ca="1">IFERROR(__xludf.DUMMYFUNCTION("""COMPUTED_VALUE"""),"ABAETETUBA")</f>
        <v>ABAETETUBA</v>
      </c>
      <c r="K14" s="1">
        <f ca="1">IFERROR(__xludf.DUMMYFUNCTION("""COMPUTED_VALUE"""),15064646)</f>
        <v>15064646</v>
      </c>
      <c r="L14" s="2" t="str">
        <f ca="1">IFERROR(__xludf.DUMMYFUNCTION("""COMPUTED_VALUE"""),"001920909910000")</f>
        <v>001920909910000</v>
      </c>
      <c r="M14" s="2" t="str">
        <f ca="1">IFERROR(__xludf.DUMMYFUNCTION("""COMPUTED_VALUE"""),"1920909910000")</f>
        <v>1920909910000</v>
      </c>
      <c r="N14" s="1" t="str">
        <f ca="1">IFERROR(__xludf.DUMMYFUNCTION("""COMPUTED_VALUE"""),"EEEFM PEDRO TEIXEIRA")</f>
        <v>EEEFM PEDRO TEIXEIRA</v>
      </c>
      <c r="O14" s="1"/>
      <c r="P14" s="1"/>
      <c r="Q14" s="1" t="s">
        <v>3</v>
      </c>
    </row>
    <row r="15" spans="1:17" x14ac:dyDescent="0.25">
      <c r="A15" s="2" t="str">
        <f ca="1">IFERROR(__xludf.DUMMYFUNCTION("""COMPUTED_VALUE"""),"REG DE INTEGRA DO TOCANTINS")</f>
        <v>REG DE INTEGRA DO TOCANTINS</v>
      </c>
      <c r="B15" s="1" t="str">
        <f ca="1">IFERROR(__xludf.DUMMYFUNCTION("""COMPUTED_VALUE"""),"DRE ABAETETUBA")</f>
        <v>DRE ABAETETUBA</v>
      </c>
      <c r="C15" s="2" t="str">
        <f ca="1">IFERROR(__xludf.DUMMYFUNCTION("""COMPUTED_VALUE"""),"DRE - ABAETETUBA")</f>
        <v>DRE - ABAETETUBA</v>
      </c>
      <c r="D15" s="1"/>
      <c r="E15" s="2" t="str">
        <f ca="1">IFERROR(__xludf.DUMMYFUNCTION("""COMPUTED_VALUE"""),"DRE - ABAETETUBA")</f>
        <v>DRE - ABAETETUBA</v>
      </c>
      <c r="F15" s="1">
        <f ca="1">IFERROR(__xludf.DUMMYFUNCTION("""COMPUTED_VALUE"""),3)</f>
        <v>3</v>
      </c>
      <c r="G15" s="1" t="str">
        <f ca="1">IFERROR(__xludf.DUMMYFUNCTION("""COMPUTED_VALUE"""),"DRE ABAETETUBA")</f>
        <v>DRE ABAETETUBA</v>
      </c>
      <c r="H15" s="1" t="str">
        <f ca="1">IFERROR(__xludf.DUMMYFUNCTION("""COMPUTED_VALUE"""),"03A URE - ABAETETUBA")</f>
        <v>03A URE - ABAETETUBA</v>
      </c>
      <c r="I15" s="1"/>
      <c r="J15" s="1" t="str">
        <f ca="1">IFERROR(__xludf.DUMMYFUNCTION("""COMPUTED_VALUE"""),"ABAETETUBA")</f>
        <v>ABAETETUBA</v>
      </c>
      <c r="K15" s="1">
        <f ca="1">IFERROR(__xludf.DUMMYFUNCTION("""COMPUTED_VALUE"""),15169944)</f>
        <v>15169944</v>
      </c>
      <c r="L15" s="2" t="str">
        <f ca="1">IFERROR(__xludf.DUMMYFUNCTION("""COMPUTED_VALUE"""),"001920909910001")</f>
        <v>001920909910001</v>
      </c>
      <c r="M15" s="2" t="str">
        <f ca="1">IFERROR(__xludf.DUMMYFUNCTION("""COMPUTED_VALUE"""),"1920909910001")</f>
        <v>1920909910001</v>
      </c>
      <c r="N15" s="1" t="str">
        <f ca="1">IFERROR(__xludf.DUMMYFUNCTION("""COMPUTED_VALUE"""),"EEEFM PEDRO TEIXEIRA - ANEXO I")</f>
        <v>EEEFM PEDRO TEIXEIRA - ANEXO I</v>
      </c>
      <c r="O15" s="1"/>
      <c r="P15" s="1"/>
      <c r="Q15" s="1" t="s">
        <v>3</v>
      </c>
    </row>
    <row r="16" spans="1:17" x14ac:dyDescent="0.25">
      <c r="A16" s="2" t="str">
        <f ca="1">IFERROR(__xludf.DUMMYFUNCTION("""COMPUTED_VALUE"""),"REG DE INTEGRA DO TOCANTINS")</f>
        <v>REG DE INTEGRA DO TOCANTINS</v>
      </c>
      <c r="B16" s="1" t="str">
        <f ca="1">IFERROR(__xludf.DUMMYFUNCTION("""COMPUTED_VALUE"""),"DRE ABAETETUBA")</f>
        <v>DRE ABAETETUBA</v>
      </c>
      <c r="C16" s="2" t="str">
        <f ca="1">IFERROR(__xludf.DUMMYFUNCTION("""COMPUTED_VALUE"""),"DRE - ABAETETUBA")</f>
        <v>DRE - ABAETETUBA</v>
      </c>
      <c r="D16" s="1"/>
      <c r="E16" s="2" t="str">
        <f ca="1">IFERROR(__xludf.DUMMYFUNCTION("""COMPUTED_VALUE"""),"DRE - ABAETETUBA")</f>
        <v>DRE - ABAETETUBA</v>
      </c>
      <c r="F16" s="1">
        <f ca="1">IFERROR(__xludf.DUMMYFUNCTION("""COMPUTED_VALUE"""),3)</f>
        <v>3</v>
      </c>
      <c r="G16" s="1" t="str">
        <f ca="1">IFERROR(__xludf.DUMMYFUNCTION("""COMPUTED_VALUE"""),"DRE ABAETETUBA")</f>
        <v>DRE ABAETETUBA</v>
      </c>
      <c r="H16" s="1" t="str">
        <f ca="1">IFERROR(__xludf.DUMMYFUNCTION("""COMPUTED_VALUE"""),"03A URE - ABAETETUBA")</f>
        <v>03A URE - ABAETETUBA</v>
      </c>
      <c r="I16" s="1"/>
      <c r="J16" s="1" t="str">
        <f ca="1">IFERROR(__xludf.DUMMYFUNCTION("""COMPUTED_VALUE"""),"ABAETETUBA")</f>
        <v>ABAETETUBA</v>
      </c>
      <c r="K16" s="1">
        <f ca="1">IFERROR(__xludf.DUMMYFUNCTION("""COMPUTED_VALUE"""),15064450)</f>
        <v>15064450</v>
      </c>
      <c r="L16" s="2" t="str">
        <f ca="1">IFERROR(__xludf.DUMMYFUNCTION("""COMPUTED_VALUE"""),"001920909840000")</f>
        <v>001920909840000</v>
      </c>
      <c r="M16" s="2" t="str">
        <f ca="1">IFERROR(__xludf.DUMMYFUNCTION("""COMPUTED_VALUE"""),"1920909840000")</f>
        <v>1920909840000</v>
      </c>
      <c r="N16" s="1" t="str">
        <f ca="1">IFERROR(__xludf.DUMMYFUNCTION("""COMPUTED_VALUE"""),"EEEFM PROF BASILIO DE CARVALHO")</f>
        <v>EEEFM PROF BASILIO DE CARVALHO</v>
      </c>
      <c r="O16" s="1"/>
      <c r="P16" s="1"/>
      <c r="Q16" s="1" t="s">
        <v>3</v>
      </c>
    </row>
    <row r="17" spans="1:17" x14ac:dyDescent="0.25">
      <c r="A17" s="2" t="str">
        <f ca="1">IFERROR(__xludf.DUMMYFUNCTION("""COMPUTED_VALUE"""),"REG DE INTEGRA DO TOCANTINS")</f>
        <v>REG DE INTEGRA DO TOCANTINS</v>
      </c>
      <c r="B17" s="1" t="str">
        <f ca="1">IFERROR(__xludf.DUMMYFUNCTION("""COMPUTED_VALUE"""),"DRE ABAETETUBA")</f>
        <v>DRE ABAETETUBA</v>
      </c>
      <c r="C17" s="2" t="str">
        <f ca="1">IFERROR(__xludf.DUMMYFUNCTION("""COMPUTED_VALUE"""),"DRE - ABAETETUBA")</f>
        <v>DRE - ABAETETUBA</v>
      </c>
      <c r="D17" s="1"/>
      <c r="E17" s="2" t="str">
        <f ca="1">IFERROR(__xludf.DUMMYFUNCTION("""COMPUTED_VALUE"""),"DRE - ABAETETUBA")</f>
        <v>DRE - ABAETETUBA</v>
      </c>
      <c r="F17" s="1">
        <f ca="1">IFERROR(__xludf.DUMMYFUNCTION("""COMPUTED_VALUE"""),3)</f>
        <v>3</v>
      </c>
      <c r="G17" s="1" t="str">
        <f ca="1">IFERROR(__xludf.DUMMYFUNCTION("""COMPUTED_VALUE"""),"DRE ABAETETUBA")</f>
        <v>DRE ABAETETUBA</v>
      </c>
      <c r="H17" s="1" t="str">
        <f ca="1">IFERROR(__xludf.DUMMYFUNCTION("""COMPUTED_VALUE"""),"03A URE - ABAETETUBA")</f>
        <v>03A URE - ABAETETUBA</v>
      </c>
      <c r="I17" s="1"/>
      <c r="J17" s="1" t="str">
        <f ca="1">IFERROR(__xludf.DUMMYFUNCTION("""COMPUTED_VALUE"""),"ABAETETUBA")</f>
        <v>ABAETETUBA</v>
      </c>
      <c r="K17" s="1">
        <f ca="1">IFERROR(__xludf.DUMMYFUNCTION("""COMPUTED_VALUE"""),15555186)</f>
        <v>15555186</v>
      </c>
      <c r="L17" s="2" t="str">
        <f ca="1">IFERROR(__xludf.DUMMYFUNCTION("""COMPUTED_VALUE"""),"001920929830000")</f>
        <v>001920929830000</v>
      </c>
      <c r="M17" s="2" t="str">
        <f ca="1">IFERROR(__xludf.DUMMYFUNCTION("""COMPUTED_VALUE"""),"1920929830000")</f>
        <v>1920929830000</v>
      </c>
      <c r="N17" s="1" t="str">
        <f ca="1">IFERROR(__xludf.DUMMYFUNCTION("""COMPUTED_VALUE"""),"EEEFM PROF BENVINDA DE ARAUJO PONTES")</f>
        <v>EEEFM PROF BENVINDA DE ARAUJO PONTES</v>
      </c>
      <c r="O17" s="1"/>
      <c r="P17" s="1"/>
      <c r="Q17" s="1" t="s">
        <v>3</v>
      </c>
    </row>
    <row r="18" spans="1:17" x14ac:dyDescent="0.25">
      <c r="A18" s="2" t="str">
        <f ca="1">IFERROR(__xludf.DUMMYFUNCTION("""COMPUTED_VALUE"""),"REG DE INTEGRA DO TOCANTINS")</f>
        <v>REG DE INTEGRA DO TOCANTINS</v>
      </c>
      <c r="B18" s="1" t="str">
        <f ca="1">IFERROR(__xludf.DUMMYFUNCTION("""COMPUTED_VALUE"""),"DRE ABAETETUBA")</f>
        <v>DRE ABAETETUBA</v>
      </c>
      <c r="C18" s="2" t="str">
        <f ca="1">IFERROR(__xludf.DUMMYFUNCTION("""COMPUTED_VALUE"""),"DRE - ABAETETUBA")</f>
        <v>DRE - ABAETETUBA</v>
      </c>
      <c r="D18" s="1"/>
      <c r="E18" s="2" t="str">
        <f ca="1">IFERROR(__xludf.DUMMYFUNCTION("""COMPUTED_VALUE"""),"DRE - ABAETETUBA")</f>
        <v>DRE - ABAETETUBA</v>
      </c>
      <c r="F18" s="1">
        <f ca="1">IFERROR(__xludf.DUMMYFUNCTION("""COMPUTED_VALUE"""),3)</f>
        <v>3</v>
      </c>
      <c r="G18" s="1" t="str">
        <f ca="1">IFERROR(__xludf.DUMMYFUNCTION("""COMPUTED_VALUE"""),"DRE ABAETETUBA")</f>
        <v>DRE ABAETETUBA</v>
      </c>
      <c r="H18" s="1" t="str">
        <f ca="1">IFERROR(__xludf.DUMMYFUNCTION("""COMPUTED_VALUE"""),"03A URE - ABAETETUBA")</f>
        <v>03A URE - ABAETETUBA</v>
      </c>
      <c r="I18" s="1"/>
      <c r="J18" s="1" t="str">
        <f ca="1">IFERROR(__xludf.DUMMYFUNCTION("""COMPUTED_VALUE"""),"ABAETETUBA")</f>
        <v>ABAETETUBA</v>
      </c>
      <c r="K18" s="1">
        <f ca="1">IFERROR(__xludf.DUMMYFUNCTION("""COMPUTED_VALUE"""),15064360)</f>
        <v>15064360</v>
      </c>
      <c r="L18" s="2" t="str">
        <f ca="1">IFERROR(__xludf.DUMMYFUNCTION("""COMPUTED_VALUE"""),"001920909990000")</f>
        <v>001920909990000</v>
      </c>
      <c r="M18" s="2" t="str">
        <f ca="1">IFERROR(__xludf.DUMMYFUNCTION("""COMPUTED_VALUE"""),"1920909990000")</f>
        <v>1920909990000</v>
      </c>
      <c r="N18" s="1" t="str">
        <f ca="1">IFERROR(__xludf.DUMMYFUNCTION("""COMPUTED_VALUE"""),"EEEFM PROF BERNARDINO PEREIRA DE BARROS")</f>
        <v>EEEFM PROF BERNARDINO PEREIRA DE BARROS</v>
      </c>
      <c r="O18" s="1"/>
      <c r="P18" s="1"/>
      <c r="Q18" s="1" t="s">
        <v>3</v>
      </c>
    </row>
    <row r="19" spans="1:17" x14ac:dyDescent="0.25">
      <c r="A19" s="2" t="str">
        <f ca="1">IFERROR(__xludf.DUMMYFUNCTION("""COMPUTED_VALUE"""),"REG DE INTEGRA DO TOCANTINS")</f>
        <v>REG DE INTEGRA DO TOCANTINS</v>
      </c>
      <c r="B19" s="1" t="str">
        <f ca="1">IFERROR(__xludf.DUMMYFUNCTION("""COMPUTED_VALUE"""),"DRE ABAETETUBA")</f>
        <v>DRE ABAETETUBA</v>
      </c>
      <c r="C19" s="2" t="str">
        <f ca="1">IFERROR(__xludf.DUMMYFUNCTION("""COMPUTED_VALUE"""),"DRE - ABAETETUBA")</f>
        <v>DRE - ABAETETUBA</v>
      </c>
      <c r="D19" s="1"/>
      <c r="E19" s="2" t="str">
        <f ca="1">IFERROR(__xludf.DUMMYFUNCTION("""COMPUTED_VALUE"""),"DRE - ABAETETUBA")</f>
        <v>DRE - ABAETETUBA</v>
      </c>
      <c r="F19" s="1">
        <f ca="1">IFERROR(__xludf.DUMMYFUNCTION("""COMPUTED_VALUE"""),3)</f>
        <v>3</v>
      </c>
      <c r="G19" s="1" t="str">
        <f ca="1">IFERROR(__xludf.DUMMYFUNCTION("""COMPUTED_VALUE"""),"DRE ABAETETUBA")</f>
        <v>DRE ABAETETUBA</v>
      </c>
      <c r="H19" s="1" t="str">
        <f ca="1">IFERROR(__xludf.DUMMYFUNCTION("""COMPUTED_VALUE"""),"03A URE - ABAETETUBA")</f>
        <v>03A URE - ABAETETUBA</v>
      </c>
      <c r="I19" s="1"/>
      <c r="J19" s="1" t="str">
        <f ca="1">IFERROR(__xludf.DUMMYFUNCTION("""COMPUTED_VALUE"""),"ABAETETUBA")</f>
        <v>ABAETETUBA</v>
      </c>
      <c r="K19" s="1">
        <f ca="1">IFERROR(__xludf.DUMMYFUNCTION("""COMPUTED_VALUE"""),15064417)</f>
        <v>15064417</v>
      </c>
      <c r="L19" s="2" t="str">
        <f ca="1">IFERROR(__xludf.DUMMYFUNCTION("""COMPUTED_VALUE"""),"001920927630000")</f>
        <v>001920927630000</v>
      </c>
      <c r="M19" s="2" t="str">
        <f ca="1">IFERROR(__xludf.DUMMYFUNCTION("""COMPUTED_VALUE"""),"1920927630000")</f>
        <v>1920927630000</v>
      </c>
      <c r="N19" s="1" t="str">
        <f ca="1">IFERROR(__xludf.DUMMYFUNCTION("""COMPUTED_VALUE"""),"EEEFM PROF CARMEM CARDOSO FERREIRA")</f>
        <v>EEEFM PROF CARMEM CARDOSO FERREIRA</v>
      </c>
      <c r="O19" s="1"/>
      <c r="P19" s="1"/>
      <c r="Q19" s="1" t="s">
        <v>3</v>
      </c>
    </row>
    <row r="20" spans="1:17" x14ac:dyDescent="0.25">
      <c r="A20" s="2" t="str">
        <f ca="1">IFERROR(__xludf.DUMMYFUNCTION("""COMPUTED_VALUE"""),"REG DE INTEGRA DO TOCANTINS")</f>
        <v>REG DE INTEGRA DO TOCANTINS</v>
      </c>
      <c r="B20" s="1" t="str">
        <f ca="1">IFERROR(__xludf.DUMMYFUNCTION("""COMPUTED_VALUE"""),"DRE ABAETETUBA")</f>
        <v>DRE ABAETETUBA</v>
      </c>
      <c r="C20" s="2" t="str">
        <f ca="1">IFERROR(__xludf.DUMMYFUNCTION("""COMPUTED_VALUE"""),"DRE - ABAETETUBA")</f>
        <v>DRE - ABAETETUBA</v>
      </c>
      <c r="D20" s="1"/>
      <c r="E20" s="2" t="str">
        <f ca="1">IFERROR(__xludf.DUMMYFUNCTION("""COMPUTED_VALUE"""),"DRE - ABAETETUBA")</f>
        <v>DRE - ABAETETUBA</v>
      </c>
      <c r="F20" s="1">
        <f ca="1">IFERROR(__xludf.DUMMYFUNCTION("""COMPUTED_VALUE"""),3)</f>
        <v>3</v>
      </c>
      <c r="G20" s="1" t="str">
        <f ca="1">IFERROR(__xludf.DUMMYFUNCTION("""COMPUTED_VALUE"""),"DRE ABAETETUBA")</f>
        <v>DRE ABAETETUBA</v>
      </c>
      <c r="H20" s="1" t="str">
        <f ca="1">IFERROR(__xludf.DUMMYFUNCTION("""COMPUTED_VALUE"""),"03A URE - ABAETETUBA")</f>
        <v>03A URE - ABAETETUBA</v>
      </c>
      <c r="I20" s="1"/>
      <c r="J20" s="1" t="str">
        <f ca="1">IFERROR(__xludf.DUMMYFUNCTION("""COMPUTED_VALUE"""),"ABAETETUBA")</f>
        <v>ABAETETUBA</v>
      </c>
      <c r="K20" s="1">
        <f ca="1">IFERROR(__xludf.DUMMYFUNCTION("""COMPUTED_VALUE"""),15064654)</f>
        <v>15064654</v>
      </c>
      <c r="L20" s="2" t="str">
        <f ca="1">IFERROR(__xludf.DUMMYFUNCTION("""COMPUTED_VALUE"""),"001920927620000")</f>
        <v>001920927620000</v>
      </c>
      <c r="M20" s="2" t="str">
        <f ca="1">IFERROR(__xludf.DUMMYFUNCTION("""COMPUTED_VALUE"""),"1920927620000")</f>
        <v>1920927620000</v>
      </c>
      <c r="N20" s="1" t="str">
        <f ca="1">IFERROR(__xludf.DUMMYFUNCTION("""COMPUTED_VALUE"""),"EEEFM PROF LEONARDO NEGRAO DE SOUSA")</f>
        <v>EEEFM PROF LEONARDO NEGRAO DE SOUSA</v>
      </c>
      <c r="O20" s="1"/>
      <c r="P20" s="1"/>
      <c r="Q20" s="1" t="s">
        <v>3</v>
      </c>
    </row>
    <row r="21" spans="1:17" x14ac:dyDescent="0.25">
      <c r="A21" s="2" t="str">
        <f ca="1">IFERROR(__xludf.DUMMYFUNCTION("""COMPUTED_VALUE"""),"REG DE INTEGRA DO TOCANTINS")</f>
        <v>REG DE INTEGRA DO TOCANTINS</v>
      </c>
      <c r="B21" s="1" t="str">
        <f ca="1">IFERROR(__xludf.DUMMYFUNCTION("""COMPUTED_VALUE"""),"DRE ABAETETUBA")</f>
        <v>DRE ABAETETUBA</v>
      </c>
      <c r="C21" s="2" t="str">
        <f ca="1">IFERROR(__xludf.DUMMYFUNCTION("""COMPUTED_VALUE"""),"DRE - ABAETETUBA")</f>
        <v>DRE - ABAETETUBA</v>
      </c>
      <c r="D21" s="1"/>
      <c r="E21" s="2" t="str">
        <f ca="1">IFERROR(__xludf.DUMMYFUNCTION("""COMPUTED_VALUE"""),"DRE - ABAETETUBA")</f>
        <v>DRE - ABAETETUBA</v>
      </c>
      <c r="F21" s="1">
        <f ca="1">IFERROR(__xludf.DUMMYFUNCTION("""COMPUTED_VALUE"""),3)</f>
        <v>3</v>
      </c>
      <c r="G21" s="1" t="str">
        <f ca="1">IFERROR(__xludf.DUMMYFUNCTION("""COMPUTED_VALUE"""),"DRE ABAETETUBA")</f>
        <v>DRE ABAETETUBA</v>
      </c>
      <c r="H21" s="1" t="str">
        <f ca="1">IFERROR(__xludf.DUMMYFUNCTION("""COMPUTED_VALUE"""),"03A URE - ABAETETUBA")</f>
        <v>03A URE - ABAETETUBA</v>
      </c>
      <c r="I21" s="1"/>
      <c r="J21" s="1" t="str">
        <f ca="1">IFERROR(__xludf.DUMMYFUNCTION("""COMPUTED_VALUE"""),"ABAETETUBA")</f>
        <v>ABAETETUBA</v>
      </c>
      <c r="K21" s="1">
        <f ca="1">IFERROR(__xludf.DUMMYFUNCTION("""COMPUTED_VALUE"""),15170020)</f>
        <v>15170020</v>
      </c>
      <c r="L21" s="2" t="str">
        <f ca="1">IFERROR(__xludf.DUMMYFUNCTION("""COMPUTED_VALUE"""),"001920927620001")</f>
        <v>001920927620001</v>
      </c>
      <c r="M21" s="2" t="str">
        <f ca="1">IFERROR(__xludf.DUMMYFUNCTION("""COMPUTED_VALUE"""),"1920927620001")</f>
        <v>1920927620001</v>
      </c>
      <c r="N21" s="1" t="str">
        <f ca="1">IFERROR(__xludf.DUMMYFUNCTION("""COMPUTED_VALUE"""),"EEEFM PROF LEONARDO NEGRAO DE SOUSA - ANEXO")</f>
        <v>EEEFM PROF LEONARDO NEGRAO DE SOUSA - ANEXO</v>
      </c>
      <c r="O21" s="1"/>
      <c r="P21" s="1"/>
      <c r="Q21" s="1" t="s">
        <v>3</v>
      </c>
    </row>
    <row r="22" spans="1:17" x14ac:dyDescent="0.25">
      <c r="A22" s="2" t="str">
        <f ca="1">IFERROR(__xludf.DUMMYFUNCTION("""COMPUTED_VALUE"""),"REG DE INTEGRA DO TOCANTINS")</f>
        <v>REG DE INTEGRA DO TOCANTINS</v>
      </c>
      <c r="B22" s="1" t="str">
        <f ca="1">IFERROR(__xludf.DUMMYFUNCTION("""COMPUTED_VALUE"""),"DRE ABAETETUBA")</f>
        <v>DRE ABAETETUBA</v>
      </c>
      <c r="C22" s="2" t="str">
        <f ca="1">IFERROR(__xludf.DUMMYFUNCTION("""COMPUTED_VALUE"""),"DRE - ABAETETUBA")</f>
        <v>DRE - ABAETETUBA</v>
      </c>
      <c r="D22" s="1"/>
      <c r="E22" s="2" t="str">
        <f ca="1">IFERROR(__xludf.DUMMYFUNCTION("""COMPUTED_VALUE"""),"DRE - ABAETETUBA")</f>
        <v>DRE - ABAETETUBA</v>
      </c>
      <c r="F22" s="1">
        <f ca="1">IFERROR(__xludf.DUMMYFUNCTION("""COMPUTED_VALUE"""),3)</f>
        <v>3</v>
      </c>
      <c r="G22" s="1" t="str">
        <f ca="1">IFERROR(__xludf.DUMMYFUNCTION("""COMPUTED_VALUE"""),"DRE ABAETETUBA")</f>
        <v>DRE ABAETETUBA</v>
      </c>
      <c r="H22" s="1" t="str">
        <f ca="1">IFERROR(__xludf.DUMMYFUNCTION("""COMPUTED_VALUE"""),"03A URE - ABAETETUBA")</f>
        <v>03A URE - ABAETETUBA</v>
      </c>
      <c r="I22" s="1"/>
      <c r="J22" s="1" t="str">
        <f ca="1">IFERROR(__xludf.DUMMYFUNCTION("""COMPUTED_VALUE"""),"ABAETETUBA")</f>
        <v>ABAETETUBA</v>
      </c>
      <c r="K22" s="1">
        <f ca="1">IFERROR(__xludf.DUMMYFUNCTION("""COMPUTED_VALUE"""),15065006)</f>
        <v>15065006</v>
      </c>
      <c r="L22" s="2" t="str">
        <f ca="1">IFERROR(__xludf.DUMMYFUNCTION("""COMPUTED_VALUE"""),"001920909930000")</f>
        <v>001920909930000</v>
      </c>
      <c r="M22" s="2" t="str">
        <f ca="1">IFERROR(__xludf.DUMMYFUNCTION("""COMPUTED_VALUE"""),"1920909930000")</f>
        <v>1920909930000</v>
      </c>
      <c r="N22" s="1" t="str">
        <f ca="1">IFERROR(__xludf.DUMMYFUNCTION("""COMPUTED_VALUE"""),"EEEFM PROF LEONIDAS MONTE")</f>
        <v>EEEFM PROF LEONIDAS MONTE</v>
      </c>
      <c r="O22" s="1"/>
      <c r="P22" s="1"/>
      <c r="Q22" s="1" t="s">
        <v>3</v>
      </c>
    </row>
    <row r="23" spans="1:17" x14ac:dyDescent="0.25">
      <c r="A23" s="2" t="str">
        <f ca="1">IFERROR(__xludf.DUMMYFUNCTION("""COMPUTED_VALUE"""),"REG DE INTEGRA DO TOCANTINS")</f>
        <v>REG DE INTEGRA DO TOCANTINS</v>
      </c>
      <c r="B23" s="1" t="str">
        <f ca="1">IFERROR(__xludf.DUMMYFUNCTION("""COMPUTED_VALUE"""),"DRE ABAETETUBA")</f>
        <v>DRE ABAETETUBA</v>
      </c>
      <c r="C23" s="2" t="str">
        <f ca="1">IFERROR(__xludf.DUMMYFUNCTION("""COMPUTED_VALUE"""),"DRE - ABAETETUBA")</f>
        <v>DRE - ABAETETUBA</v>
      </c>
      <c r="D23" s="1"/>
      <c r="E23" s="2" t="str">
        <f ca="1">IFERROR(__xludf.DUMMYFUNCTION("""COMPUTED_VALUE"""),"DRE - ABAETETUBA")</f>
        <v>DRE - ABAETETUBA</v>
      </c>
      <c r="F23" s="1">
        <f ca="1">IFERROR(__xludf.DUMMYFUNCTION("""COMPUTED_VALUE"""),3)</f>
        <v>3</v>
      </c>
      <c r="G23" s="1" t="str">
        <f ca="1">IFERROR(__xludf.DUMMYFUNCTION("""COMPUTED_VALUE"""),"DRE ABAETETUBA")</f>
        <v>DRE ABAETETUBA</v>
      </c>
      <c r="H23" s="1" t="str">
        <f ca="1">IFERROR(__xludf.DUMMYFUNCTION("""COMPUTED_VALUE"""),"03A URE - ABAETETUBA")</f>
        <v>03A URE - ABAETETUBA</v>
      </c>
      <c r="I23" s="1"/>
      <c r="J23" s="1" t="str">
        <f ca="1">IFERROR(__xludf.DUMMYFUNCTION("""COMPUTED_VALUE"""),"ABAETETUBA")</f>
        <v>ABAETETUBA</v>
      </c>
      <c r="K23" s="1">
        <f ca="1">IFERROR(__xludf.DUMMYFUNCTION("""COMPUTED_VALUE"""),15064280)</f>
        <v>15064280</v>
      </c>
      <c r="L23" s="2" t="str">
        <f ca="1">IFERROR(__xludf.DUMMYFUNCTION("""COMPUTED_VALUE"""),"001920909940000")</f>
        <v>001920909940000</v>
      </c>
      <c r="M23" s="2" t="str">
        <f ca="1">IFERROR(__xludf.DUMMYFUNCTION("""COMPUTED_VALUE"""),"1920909940000")</f>
        <v>1920909940000</v>
      </c>
      <c r="N23" s="1" t="str">
        <f ca="1">IFERROR(__xludf.DUMMYFUNCTION("""COMPUTED_VALUE"""),"EEEFM SAO FRANCISCO XAVIER")</f>
        <v>EEEFM SAO FRANCISCO XAVIER</v>
      </c>
      <c r="O23" s="1"/>
      <c r="P23" s="1"/>
      <c r="Q23" s="1" t="s">
        <v>3</v>
      </c>
    </row>
    <row r="24" spans="1:17" x14ac:dyDescent="0.25">
      <c r="A24" s="2" t="str">
        <f ca="1">IFERROR(__xludf.DUMMYFUNCTION("""COMPUTED_VALUE"""),"REG DE INTEGRA DO TOCANTINS")</f>
        <v>REG DE INTEGRA DO TOCANTINS</v>
      </c>
      <c r="B24" s="1" t="str">
        <f ca="1">IFERROR(__xludf.DUMMYFUNCTION("""COMPUTED_VALUE"""),"DRE ABAETETUBA")</f>
        <v>DRE ABAETETUBA</v>
      </c>
      <c r="C24" s="2" t="str">
        <f ca="1">IFERROR(__xludf.DUMMYFUNCTION("""COMPUTED_VALUE"""),"DRE - ABAETETUBA")</f>
        <v>DRE - ABAETETUBA</v>
      </c>
      <c r="D24" s="1"/>
      <c r="E24" s="2" t="str">
        <f ca="1">IFERROR(__xludf.DUMMYFUNCTION("""COMPUTED_VALUE"""),"DRE - ABAETETUBA")</f>
        <v>DRE - ABAETETUBA</v>
      </c>
      <c r="F24" s="1">
        <f ca="1">IFERROR(__xludf.DUMMYFUNCTION("""COMPUTED_VALUE"""),3)</f>
        <v>3</v>
      </c>
      <c r="G24" s="1" t="str">
        <f ca="1">IFERROR(__xludf.DUMMYFUNCTION("""COMPUTED_VALUE"""),"DRE ABAETETUBA")</f>
        <v>DRE ABAETETUBA</v>
      </c>
      <c r="H24" s="1" t="str">
        <f ca="1">IFERROR(__xludf.DUMMYFUNCTION("""COMPUTED_VALUE"""),"03A URE - ABAETETUBA")</f>
        <v>03A URE - ABAETETUBA</v>
      </c>
      <c r="I24" s="1"/>
      <c r="J24" s="1" t="str">
        <f ca="1">IFERROR(__xludf.DUMMYFUNCTION("""COMPUTED_VALUE"""),"ABAETETUBA")</f>
        <v>ABAETETUBA</v>
      </c>
      <c r="K24" s="1">
        <f ca="1">IFERROR(__xludf.DUMMYFUNCTION("""COMPUTED_VALUE"""),15067157)</f>
        <v>15067157</v>
      </c>
      <c r="L24" s="2" t="str">
        <f ca="1">IFERROR(__xludf.DUMMYFUNCTION("""COMPUTED_VALUE"""),"001920909880000")</f>
        <v>001920909880000</v>
      </c>
      <c r="M24" s="2" t="str">
        <f ca="1">IFERROR(__xludf.DUMMYFUNCTION("""COMPUTED_VALUE"""),"1920909880000")</f>
        <v>1920909880000</v>
      </c>
      <c r="N24" s="1" t="str">
        <f ca="1">IFERROR(__xludf.DUMMYFUNCTION("""COMPUTED_VALUE"""),"EEEFM SAO MIGUEL DE BEJA")</f>
        <v>EEEFM SAO MIGUEL DE BEJA</v>
      </c>
      <c r="O24" s="1"/>
      <c r="P24" s="1"/>
      <c r="Q24" s="1" t="s">
        <v>3</v>
      </c>
    </row>
    <row r="25" spans="1:17" x14ac:dyDescent="0.25">
      <c r="A25" s="2" t="str">
        <f ca="1">IFERROR(__xludf.DUMMYFUNCTION("""COMPUTED_VALUE"""),"REG DE INTEGRA DO TOCANTINS")</f>
        <v>REG DE INTEGRA DO TOCANTINS</v>
      </c>
      <c r="B25" s="1" t="str">
        <f ca="1">IFERROR(__xludf.DUMMYFUNCTION("""COMPUTED_VALUE"""),"DRE ABAETETUBA")</f>
        <v>DRE ABAETETUBA</v>
      </c>
      <c r="C25" s="2" t="str">
        <f ca="1">IFERROR(__xludf.DUMMYFUNCTION("""COMPUTED_VALUE"""),"DRE - ABAETETUBA")</f>
        <v>DRE - ABAETETUBA</v>
      </c>
      <c r="D25" s="1"/>
      <c r="E25" s="2" t="str">
        <f ca="1">IFERROR(__xludf.DUMMYFUNCTION("""COMPUTED_VALUE"""),"DRE - ABAETETUBA")</f>
        <v>DRE - ABAETETUBA</v>
      </c>
      <c r="F25" s="1">
        <f ca="1">IFERROR(__xludf.DUMMYFUNCTION("""COMPUTED_VALUE"""),3)</f>
        <v>3</v>
      </c>
      <c r="G25" s="1" t="str">
        <f ca="1">IFERROR(__xludf.DUMMYFUNCTION("""COMPUTED_VALUE"""),"DRE ABAETETUBA")</f>
        <v>DRE ABAETETUBA</v>
      </c>
      <c r="H25" s="1" t="str">
        <f ca="1">IFERROR(__xludf.DUMMYFUNCTION("""COMPUTED_VALUE"""),"03A URE - ABAETETUBA")</f>
        <v>03A URE - ABAETETUBA</v>
      </c>
      <c r="I25" s="1"/>
      <c r="J25" s="1" t="str">
        <f ca="1">IFERROR(__xludf.DUMMYFUNCTION("""COMPUTED_VALUE"""),"ABAETETUBA")</f>
        <v>ABAETETUBA</v>
      </c>
      <c r="K25" s="1">
        <f ca="1">IFERROR(__xludf.DUMMYFUNCTION("""COMPUTED_VALUE"""),15064514)</f>
        <v>15064514</v>
      </c>
      <c r="L25" s="2" t="str">
        <f ca="1">IFERROR(__xludf.DUMMYFUNCTION("""COMPUTED_VALUE"""),"001920910330000")</f>
        <v>001920910330000</v>
      </c>
      <c r="M25" s="2" t="str">
        <f ca="1">IFERROR(__xludf.DUMMYFUNCTION("""COMPUTED_VALUE"""),"1920910330000")</f>
        <v>1920910330000</v>
      </c>
      <c r="N25" s="1" t="str">
        <f ca="1">IFERROR(__xludf.DUMMYFUNCTION("""COMPUTED_VALUE"""),"EEEFM TEREZINHA DE JESUS F LIMA")</f>
        <v>EEEFM TEREZINHA DE JESUS F LIMA</v>
      </c>
      <c r="O25" s="1"/>
      <c r="P25" s="1"/>
      <c r="Q25" s="1" t="s">
        <v>3</v>
      </c>
    </row>
    <row r="26" spans="1:17" x14ac:dyDescent="0.25">
      <c r="A26" s="2" t="str">
        <f ca="1">IFERROR(__xludf.DUMMYFUNCTION("""COMPUTED_VALUE"""),"REG DE INTEGRA DO TOCANTINS")</f>
        <v>REG DE INTEGRA DO TOCANTINS</v>
      </c>
      <c r="B26" s="1" t="str">
        <f ca="1">IFERROR(__xludf.DUMMYFUNCTION("""COMPUTED_VALUE"""),"DRE ABAETETUBA")</f>
        <v>DRE ABAETETUBA</v>
      </c>
      <c r="C26" s="2" t="str">
        <f ca="1">IFERROR(__xludf.DUMMYFUNCTION("""COMPUTED_VALUE"""),"DRE - ABAETETUBA")</f>
        <v>DRE - ABAETETUBA</v>
      </c>
      <c r="D26" s="1"/>
      <c r="E26" s="2" t="str">
        <f ca="1">IFERROR(__xludf.DUMMYFUNCTION("""COMPUTED_VALUE"""),"DRE - ABAETETUBA")</f>
        <v>DRE - ABAETETUBA</v>
      </c>
      <c r="F26" s="1">
        <f ca="1">IFERROR(__xludf.DUMMYFUNCTION("""COMPUTED_VALUE"""),3)</f>
        <v>3</v>
      </c>
      <c r="G26" s="1" t="str">
        <f ca="1">IFERROR(__xludf.DUMMYFUNCTION("""COMPUTED_VALUE"""),"DRE ABAETETUBA")</f>
        <v>DRE ABAETETUBA</v>
      </c>
      <c r="H26" s="1" t="str">
        <f ca="1">IFERROR(__xludf.DUMMYFUNCTION("""COMPUTED_VALUE"""),"03A URE - ABAETETUBA")</f>
        <v>03A URE - ABAETETUBA</v>
      </c>
      <c r="I26" s="1"/>
      <c r="J26" s="1" t="str">
        <f ca="1">IFERROR(__xludf.DUMMYFUNCTION("""COMPUTED_VALUE"""),"ABAETETUBA")</f>
        <v>ABAETETUBA</v>
      </c>
      <c r="K26" s="1">
        <f ca="1">IFERROR(__xludf.DUMMYFUNCTION("""COMPUTED_VALUE"""),15169057)</f>
        <v>15169057</v>
      </c>
      <c r="L26" s="2" t="str">
        <f ca="1">IFERROR(__xludf.DUMMYFUNCTION("""COMPUTED_VALUE"""),"001920909840001")</f>
        <v>001920909840001</v>
      </c>
      <c r="M26" s="2" t="str">
        <f ca="1">IFERROR(__xludf.DUMMYFUNCTION("""COMPUTED_VALUE"""),"1920909840001")</f>
        <v>1920909840001</v>
      </c>
      <c r="N26" s="1" t="str">
        <f ca="1">IFERROR(__xludf.DUMMYFUNCTION("""COMPUTED_VALUE"""),"EEFM  PROF BASILIO DE CARVALHO - ANEXO")</f>
        <v>EEFM  PROF BASILIO DE CARVALHO - ANEXO</v>
      </c>
      <c r="O26" s="1"/>
      <c r="P26" s="1"/>
      <c r="Q26" s="1" t="s">
        <v>3</v>
      </c>
    </row>
    <row r="27" spans="1:17" x14ac:dyDescent="0.25">
      <c r="A27" s="2" t="str">
        <f ca="1">IFERROR(__xludf.DUMMYFUNCTION("""COMPUTED_VALUE"""),"REG DE INTEGRA DO TOCANTINS")</f>
        <v>REG DE INTEGRA DO TOCANTINS</v>
      </c>
      <c r="B27" s="1" t="str">
        <f ca="1">IFERROR(__xludf.DUMMYFUNCTION("""COMPUTED_VALUE"""),"DRE ABAETETUBA")</f>
        <v>DRE ABAETETUBA</v>
      </c>
      <c r="C27" s="2" t="str">
        <f ca="1">IFERROR(__xludf.DUMMYFUNCTION("""COMPUTED_VALUE"""),"DRE - ABAETETUBA")</f>
        <v>DRE - ABAETETUBA</v>
      </c>
      <c r="D27" s="1"/>
      <c r="E27" s="2" t="str">
        <f ca="1">IFERROR(__xludf.DUMMYFUNCTION("""COMPUTED_VALUE"""),"DRE - ABAETETUBA")</f>
        <v>DRE - ABAETETUBA</v>
      </c>
      <c r="F27" s="1">
        <f ca="1">IFERROR(__xludf.DUMMYFUNCTION("""COMPUTED_VALUE"""),3)</f>
        <v>3</v>
      </c>
      <c r="G27" s="1" t="str">
        <f ca="1">IFERROR(__xludf.DUMMYFUNCTION("""COMPUTED_VALUE"""),"DRE ABAETETUBA")</f>
        <v>DRE ABAETETUBA</v>
      </c>
      <c r="H27" s="1" t="str">
        <f ca="1">IFERROR(__xludf.DUMMYFUNCTION("""COMPUTED_VALUE"""),"03A URE - ABAETETUBA")</f>
        <v>03A URE - ABAETETUBA</v>
      </c>
      <c r="I27" s="1"/>
      <c r="J27" s="1" t="str">
        <f ca="1">IFERROR(__xludf.DUMMYFUNCTION("""COMPUTED_VALUE"""),"ABAETETUBA")</f>
        <v>ABAETETUBA</v>
      </c>
      <c r="K27" s="1">
        <f ca="1">IFERROR(__xludf.DUMMYFUNCTION("""COMPUTED_VALUE"""),15064298)</f>
        <v>15064298</v>
      </c>
      <c r="L27" s="2" t="str">
        <f ca="1">IFERROR(__xludf.DUMMYFUNCTION("""COMPUTED_VALUE"""),"001920924360000")</f>
        <v>001920924360000</v>
      </c>
      <c r="M27" s="2" t="str">
        <f ca="1">IFERROR(__xludf.DUMMYFUNCTION("""COMPUTED_VALUE"""),"1920924360000")</f>
        <v>1920924360000</v>
      </c>
      <c r="N27" s="1" t="str">
        <f ca="1">IFERROR(__xludf.DUMMYFUNCTION("""COMPUTED_VALUE"""),"ERC COMPLEXO EDUC E TERAPEUTICO CASA BEM-TE-VI")</f>
        <v>ERC COMPLEXO EDUC E TERAPEUTICO CASA BEM-TE-VI</v>
      </c>
      <c r="O27" s="1"/>
      <c r="P27" s="1"/>
      <c r="Q27" s="1" t="s">
        <v>3</v>
      </c>
    </row>
    <row r="28" spans="1:17" x14ac:dyDescent="0.25">
      <c r="A28" s="2" t="str">
        <f ca="1">IFERROR(__xludf.DUMMYFUNCTION("""COMPUTED_VALUE"""),"REG DE INTEGRA DO TOCANTINS")</f>
        <v>REG DE INTEGRA DO TOCANTINS</v>
      </c>
      <c r="B28" s="1" t="str">
        <f ca="1">IFERROR(__xludf.DUMMYFUNCTION("""COMPUTED_VALUE"""),"DRE ABAETETUBA")</f>
        <v>DRE ABAETETUBA</v>
      </c>
      <c r="C28" s="2" t="str">
        <f ca="1">IFERROR(__xludf.DUMMYFUNCTION("""COMPUTED_VALUE"""),"DRE - ABAETETUBA")</f>
        <v>DRE - ABAETETUBA</v>
      </c>
      <c r="D28" s="1"/>
      <c r="E28" s="2" t="str">
        <f ca="1">IFERROR(__xludf.DUMMYFUNCTION("""COMPUTED_VALUE"""),"DRE - ABAETETUBA")</f>
        <v>DRE - ABAETETUBA</v>
      </c>
      <c r="F28" s="1">
        <f ca="1">IFERROR(__xludf.DUMMYFUNCTION("""COMPUTED_VALUE"""),3)</f>
        <v>3</v>
      </c>
      <c r="G28" s="1" t="str">
        <f ca="1">IFERROR(__xludf.DUMMYFUNCTION("""COMPUTED_VALUE"""),"DRE ABAETETUBA")</f>
        <v>DRE ABAETETUBA</v>
      </c>
      <c r="H28" s="1" t="str">
        <f ca="1">IFERROR(__xludf.DUMMYFUNCTION("""COMPUTED_VALUE"""),"03A URE - ABAETETUBA")</f>
        <v>03A URE - ABAETETUBA</v>
      </c>
      <c r="I28" s="1"/>
      <c r="J28" s="1" t="str">
        <f ca="1">IFERROR(__xludf.DUMMYFUNCTION("""COMPUTED_VALUE"""),"ABAETETUBA")</f>
        <v>ABAETETUBA</v>
      </c>
      <c r="K28" s="1">
        <f ca="1">IFERROR(__xludf.DUMMYFUNCTION("""COMPUTED_VALUE"""),15064557)</f>
        <v>15064557</v>
      </c>
      <c r="L28" s="2" t="str">
        <f ca="1">IFERROR(__xludf.DUMMYFUNCTION("""COMPUTED_VALUE"""),"001920909860000")</f>
        <v>001920909860000</v>
      </c>
      <c r="M28" s="2" t="str">
        <f ca="1">IFERROR(__xludf.DUMMYFUNCTION("""COMPUTED_VALUE"""),"1920909860000")</f>
        <v>1920909860000</v>
      </c>
      <c r="N28" s="1" t="str">
        <f ca="1">IFERROR(__xludf.DUMMYFUNCTION("""COMPUTED_VALUE"""),"ESCOLA ESTADUAL PROF LAURA DOS SANTOS RIBEIRO")</f>
        <v>ESCOLA ESTADUAL PROF LAURA DOS SANTOS RIBEIRO</v>
      </c>
      <c r="O28" s="1"/>
      <c r="P28" s="1"/>
      <c r="Q28" s="1" t="s">
        <v>3</v>
      </c>
    </row>
    <row r="29" spans="1:17" x14ac:dyDescent="0.25">
      <c r="A29" s="2" t="str">
        <f ca="1">IFERROR(__xludf.DUMMYFUNCTION("""COMPUTED_VALUE"""),"REG DE INTEGRA DO TOCANTINS")</f>
        <v>REG DE INTEGRA DO TOCANTINS</v>
      </c>
      <c r="B29" s="1" t="str">
        <f ca="1">IFERROR(__xludf.DUMMYFUNCTION("""COMPUTED_VALUE"""),"DRE ABAETETUBA")</f>
        <v>DRE ABAETETUBA</v>
      </c>
      <c r="C29" s="2" t="str">
        <f ca="1">IFERROR(__xludf.DUMMYFUNCTION("""COMPUTED_VALUE"""),"DRE - ABAETETUBA")</f>
        <v>DRE - ABAETETUBA</v>
      </c>
      <c r="D29" s="1"/>
      <c r="E29" s="2" t="str">
        <f ca="1">IFERROR(__xludf.DUMMYFUNCTION("""COMPUTED_VALUE"""),"DRE - ABAETETUBA")</f>
        <v>DRE - ABAETETUBA</v>
      </c>
      <c r="F29" s="1">
        <f ca="1">IFERROR(__xludf.DUMMYFUNCTION("""COMPUTED_VALUE"""),3)</f>
        <v>3</v>
      </c>
      <c r="G29" s="1" t="str">
        <f ca="1">IFERROR(__xludf.DUMMYFUNCTION("""COMPUTED_VALUE"""),"DRE ABAETETUBA")</f>
        <v>DRE ABAETETUBA</v>
      </c>
      <c r="H29" s="1" t="str">
        <f ca="1">IFERROR(__xludf.DUMMYFUNCTION("""COMPUTED_VALUE"""),"03A URE - ABAETETUBA")</f>
        <v>03A URE - ABAETETUBA</v>
      </c>
      <c r="I29" s="1"/>
      <c r="J29" s="1" t="str">
        <f ca="1">IFERROR(__xludf.DUMMYFUNCTION("""COMPUTED_VALUE"""),"ABAETETUBA")</f>
        <v>ABAETETUBA</v>
      </c>
      <c r="K29" s="1"/>
      <c r="L29" s="2" t="str">
        <f ca="1">IFERROR(__xludf.DUMMYFUNCTION("""COMPUTED_VALUE"""),"001920970000000")</f>
        <v>001920970000000</v>
      </c>
      <c r="M29" s="2" t="str">
        <f ca="1">IFERROR(__xludf.DUMMYFUNCTION("""COMPUTED_VALUE"""),"1920970000000")</f>
        <v>1920970000000</v>
      </c>
      <c r="N29" s="1" t="str">
        <f ca="1">IFERROR(__xludf.DUMMYFUNCTION("""COMPUTED_VALUE"""),"ESCOLA ESTADUAL RURAL DE ABAETETUBA")</f>
        <v>ESCOLA ESTADUAL RURAL DE ABAETETUBA</v>
      </c>
      <c r="O29" s="1"/>
      <c r="P29" s="1"/>
      <c r="Q29" s="1" t="s">
        <v>3</v>
      </c>
    </row>
    <row r="30" spans="1:17" x14ac:dyDescent="0.25">
      <c r="A30" s="2" t="str">
        <f ca="1">IFERROR(__xludf.DUMMYFUNCTION("""COMPUTED_VALUE"""),"REG DE INTEGRA DO TOCANTINS")</f>
        <v>REG DE INTEGRA DO TOCANTINS</v>
      </c>
      <c r="B30" s="1" t="str">
        <f ca="1">IFERROR(__xludf.DUMMYFUNCTION("""COMPUTED_VALUE"""),"DRE ABAETETUBA")</f>
        <v>DRE ABAETETUBA</v>
      </c>
      <c r="C30" s="2" t="str">
        <f ca="1">IFERROR(__xludf.DUMMYFUNCTION("""COMPUTED_VALUE"""),"DRE - ABAETETUBA")</f>
        <v>DRE - ABAETETUBA</v>
      </c>
      <c r="D30" s="1"/>
      <c r="E30" s="2" t="str">
        <f ca="1">IFERROR(__xludf.DUMMYFUNCTION("""COMPUTED_VALUE"""),"DRE - ABAETETUBA")</f>
        <v>DRE - ABAETETUBA</v>
      </c>
      <c r="F30" s="1">
        <f ca="1">IFERROR(__xludf.DUMMYFUNCTION("""COMPUTED_VALUE"""),3)</f>
        <v>3</v>
      </c>
      <c r="G30" s="1" t="str">
        <f ca="1">IFERROR(__xludf.DUMMYFUNCTION("""COMPUTED_VALUE"""),"DRE ABAETETUBA")</f>
        <v>DRE ABAETETUBA</v>
      </c>
      <c r="H30" s="1" t="str">
        <f ca="1">IFERROR(__xludf.DUMMYFUNCTION("""COMPUTED_VALUE"""),"03A URE - ABAETETUBA")</f>
        <v>03A URE - ABAETETUBA</v>
      </c>
      <c r="I30" s="1"/>
      <c r="J30" s="1" t="str">
        <f ca="1">IFERROR(__xludf.DUMMYFUNCTION("""COMPUTED_VALUE"""),"ABAETETUBA")</f>
        <v>ABAETETUBA</v>
      </c>
      <c r="K30" s="1">
        <f ca="1">IFERROR(__xludf.DUMMYFUNCTION("""COMPUTED_VALUE"""),15236005)</f>
        <v>15236005</v>
      </c>
      <c r="L30" s="2" t="str">
        <f ca="1">IFERROR(__xludf.DUMMYFUNCTION("""COMPUTED_VALUE"""),"001920935090000")</f>
        <v>001920935090000</v>
      </c>
      <c r="M30" s="2" t="str">
        <f ca="1">IFERROR(__xludf.DUMMYFUNCTION("""COMPUTED_VALUE"""),"1920935090000")</f>
        <v>1920935090000</v>
      </c>
      <c r="N30" s="1" t="str">
        <f ca="1">IFERROR(__xludf.DUMMYFUNCTION("""COMPUTED_VALUE"""),"UT DE EDUCACAO ESPECIAL DE ABAETETUBA")</f>
        <v>UT DE EDUCACAO ESPECIAL DE ABAETETUBA</v>
      </c>
      <c r="O30" s="1"/>
      <c r="P30" s="1"/>
      <c r="Q30" s="1" t="s">
        <v>3</v>
      </c>
    </row>
    <row r="31" spans="1:17" x14ac:dyDescent="0.25">
      <c r="A31" s="2" t="str">
        <f ca="1">IFERROR(__xludf.DUMMYFUNCTION("""COMPUTED_VALUE"""),"REG DE INTEGRA DO TOCANTINS")</f>
        <v>REG DE INTEGRA DO TOCANTINS</v>
      </c>
      <c r="B31" s="1" t="str">
        <f ca="1">IFERROR(__xludf.DUMMYFUNCTION("""COMPUTED_VALUE"""),"DRE ABAETETUBA")</f>
        <v>DRE ABAETETUBA</v>
      </c>
      <c r="C31" s="2" t="str">
        <f ca="1">IFERROR(__xludf.DUMMYFUNCTION("""COMPUTED_VALUE"""),"DRE - ABAETETUBA")</f>
        <v>DRE - ABAETETUBA</v>
      </c>
      <c r="D31" s="1"/>
      <c r="E31" s="2" t="str">
        <f ca="1">IFERROR(__xludf.DUMMYFUNCTION("""COMPUTED_VALUE"""),"DRE - ABAETETUBA")</f>
        <v>DRE - ABAETETUBA</v>
      </c>
      <c r="F31" s="1">
        <f ca="1">IFERROR(__xludf.DUMMYFUNCTION("""COMPUTED_VALUE"""),3)</f>
        <v>3</v>
      </c>
      <c r="G31" s="1" t="str">
        <f ca="1">IFERROR(__xludf.DUMMYFUNCTION("""COMPUTED_VALUE"""),"DRE ABAETETUBA")</f>
        <v>DRE ABAETETUBA</v>
      </c>
      <c r="H31" s="1" t="str">
        <f ca="1">IFERROR(__xludf.DUMMYFUNCTION("""COMPUTED_VALUE"""),"03A URE - ABAETETUBA")</f>
        <v>03A URE - ABAETETUBA</v>
      </c>
      <c r="I31" s="1"/>
      <c r="J31" s="1" t="str">
        <f ca="1">IFERROR(__xludf.DUMMYFUNCTION("""COMPUTED_VALUE"""),"ACARA")</f>
        <v>ACARA</v>
      </c>
      <c r="K31" s="1">
        <f ca="1">IFERROR(__xludf.DUMMYFUNCTION("""COMPUTED_VALUE"""),15177440)</f>
        <v>15177440</v>
      </c>
      <c r="L31" s="2" t="str">
        <f ca="1">IFERROR(__xludf.DUMMYFUNCTION("""COMPUTED_VALUE"""),"001920917580002")</f>
        <v>001920917580002</v>
      </c>
      <c r="M31" s="2" t="str">
        <f ca="1">IFERROR(__xludf.DUMMYFUNCTION("""COMPUTED_VALUE"""),"1920917580002")</f>
        <v>1920917580002</v>
      </c>
      <c r="N31" s="1" t="str">
        <f ca="1">IFERROR(__xludf.DUMMYFUNCTION("""COMPUTED_VALUE"""),"ANEXO RURAL FELIPE PATRONI")</f>
        <v>ANEXO RURAL FELIPE PATRONI</v>
      </c>
      <c r="O31" s="1"/>
      <c r="P31" s="1"/>
      <c r="Q31" s="1" t="s">
        <v>3</v>
      </c>
    </row>
    <row r="32" spans="1:17" x14ac:dyDescent="0.25">
      <c r="A32" s="2" t="str">
        <f ca="1">IFERROR(__xludf.DUMMYFUNCTION("""COMPUTED_VALUE"""),"REG DE INTEGRA DO TOCANTINS")</f>
        <v>REG DE INTEGRA DO TOCANTINS</v>
      </c>
      <c r="B32" s="1" t="str">
        <f ca="1">IFERROR(__xludf.DUMMYFUNCTION("""COMPUTED_VALUE"""),"DRE ABAETETUBA")</f>
        <v>DRE ABAETETUBA</v>
      </c>
      <c r="C32" s="2" t="str">
        <f ca="1">IFERROR(__xludf.DUMMYFUNCTION("""COMPUTED_VALUE"""),"DRE - ABAETETUBA")</f>
        <v>DRE - ABAETETUBA</v>
      </c>
      <c r="D32" s="1"/>
      <c r="E32" s="2" t="str">
        <f ca="1">IFERROR(__xludf.DUMMYFUNCTION("""COMPUTED_VALUE"""),"DRE - ABAETETUBA")</f>
        <v>DRE - ABAETETUBA</v>
      </c>
      <c r="F32" s="1">
        <f ca="1">IFERROR(__xludf.DUMMYFUNCTION("""COMPUTED_VALUE"""),3)</f>
        <v>3</v>
      </c>
      <c r="G32" s="1" t="str">
        <f ca="1">IFERROR(__xludf.DUMMYFUNCTION("""COMPUTED_VALUE"""),"DRE ABAETETUBA")</f>
        <v>DRE ABAETETUBA</v>
      </c>
      <c r="H32" s="1" t="str">
        <f ca="1">IFERROR(__xludf.DUMMYFUNCTION("""COMPUTED_VALUE"""),"03A URE - ABAETETUBA")</f>
        <v>03A URE - ABAETETUBA</v>
      </c>
      <c r="I32" s="1"/>
      <c r="J32" s="1" t="str">
        <f ca="1">IFERROR(__xludf.DUMMYFUNCTION("""COMPUTED_VALUE"""),"ACARA")</f>
        <v>ACARA</v>
      </c>
      <c r="K32" s="1">
        <f ca="1">IFERROR(__xludf.DUMMYFUNCTION("""COMPUTED_VALUE"""),15569748)</f>
        <v>15569748</v>
      </c>
      <c r="L32" s="2" t="str">
        <f ca="1">IFERROR(__xludf.DUMMYFUNCTION("""COMPUTED_VALUE"""),"001920917580000")</f>
        <v>001920917580000</v>
      </c>
      <c r="M32" s="2" t="str">
        <f ca="1">IFERROR(__xludf.DUMMYFUNCTION("""COMPUTED_VALUE"""),"1920917580000")</f>
        <v>1920917580000</v>
      </c>
      <c r="N32" s="1" t="str">
        <f ca="1">IFERROR(__xludf.DUMMYFUNCTION("""COMPUTED_VALUE"""),"EEEM FELIPE PATRONI")</f>
        <v>EEEM FELIPE PATRONI</v>
      </c>
      <c r="O32" s="1"/>
      <c r="P32" s="1"/>
      <c r="Q32" s="1" t="s">
        <v>3</v>
      </c>
    </row>
    <row r="33" spans="1:17" x14ac:dyDescent="0.25">
      <c r="A33" s="2" t="str">
        <f ca="1">IFERROR(__xludf.DUMMYFUNCTION("""COMPUTED_VALUE"""),"REG DE INTEGRA DO TOCANTINS")</f>
        <v>REG DE INTEGRA DO TOCANTINS</v>
      </c>
      <c r="B33" s="1" t="str">
        <f ca="1">IFERROR(__xludf.DUMMYFUNCTION("""COMPUTED_VALUE"""),"DRE ABAETETUBA")</f>
        <v>DRE ABAETETUBA</v>
      </c>
      <c r="C33" s="2" t="str">
        <f ca="1">IFERROR(__xludf.DUMMYFUNCTION("""COMPUTED_VALUE"""),"DRE - ABAETETUBA")</f>
        <v>DRE - ABAETETUBA</v>
      </c>
      <c r="D33" s="1"/>
      <c r="E33" s="2" t="str">
        <f ca="1">IFERROR(__xludf.DUMMYFUNCTION("""COMPUTED_VALUE"""),"DRE - ABAETETUBA")</f>
        <v>DRE - ABAETETUBA</v>
      </c>
      <c r="F33" s="1">
        <f ca="1">IFERROR(__xludf.DUMMYFUNCTION("""COMPUTED_VALUE"""),3)</f>
        <v>3</v>
      </c>
      <c r="G33" s="1" t="str">
        <f ca="1">IFERROR(__xludf.DUMMYFUNCTION("""COMPUTED_VALUE"""),"DRE ABAETETUBA")</f>
        <v>DRE ABAETETUBA</v>
      </c>
      <c r="H33" s="1" t="str">
        <f ca="1">IFERROR(__xludf.DUMMYFUNCTION("""COMPUTED_VALUE"""),"03A URE - ABAETETUBA")</f>
        <v>03A URE - ABAETETUBA</v>
      </c>
      <c r="I33" s="1"/>
      <c r="J33" s="1" t="str">
        <f ca="1">IFERROR(__xludf.DUMMYFUNCTION("""COMPUTED_VALUE"""),"ACARA")</f>
        <v>ACARA</v>
      </c>
      <c r="K33" s="1">
        <f ca="1">IFERROR(__xludf.DUMMYFUNCTION("""COMPUTED_VALUE"""),15585042)</f>
        <v>15585042</v>
      </c>
      <c r="L33" s="2" t="str">
        <f ca="1">IFERROR(__xludf.DUMMYFUNCTION("""COMPUTED_VALUE"""),"001920936820000")</f>
        <v>001920936820000</v>
      </c>
      <c r="M33" s="2" t="str">
        <f ca="1">IFERROR(__xludf.DUMMYFUNCTION("""COMPUTED_VALUE"""),"1920936820000")</f>
        <v>1920936820000</v>
      </c>
      <c r="N33" s="1" t="str">
        <f ca="1">IFERROR(__xludf.DUMMYFUNCTION("""COMPUTED_VALUE"""),"EEEM PROFA DEUSALINA DA CUNHA E SOUZA CARNEIRO")</f>
        <v>EEEM PROFA DEUSALINA DA CUNHA E SOUZA CARNEIRO</v>
      </c>
      <c r="O33" s="1"/>
      <c r="P33" s="1"/>
      <c r="Q33" s="1" t="s">
        <v>3</v>
      </c>
    </row>
    <row r="34" spans="1:17" x14ac:dyDescent="0.25">
      <c r="A34" s="2" t="str">
        <f ca="1">IFERROR(__xludf.DUMMYFUNCTION("""COMPUTED_VALUE"""),"REG DE INTEGRA DO TOCANTINS")</f>
        <v>REG DE INTEGRA DO TOCANTINS</v>
      </c>
      <c r="B34" s="1" t="str">
        <f ca="1">IFERROR(__xludf.DUMMYFUNCTION("""COMPUTED_VALUE"""),"DRE ABAETETUBA")</f>
        <v>DRE ABAETETUBA</v>
      </c>
      <c r="C34" s="2" t="str">
        <f ca="1">IFERROR(__xludf.DUMMYFUNCTION("""COMPUTED_VALUE"""),"DRE - ABAETETUBA")</f>
        <v>DRE - ABAETETUBA</v>
      </c>
      <c r="D34" s="1"/>
      <c r="E34" s="2" t="str">
        <f ca="1">IFERROR(__xludf.DUMMYFUNCTION("""COMPUTED_VALUE"""),"DRE - ABAETETUBA")</f>
        <v>DRE - ABAETETUBA</v>
      </c>
      <c r="F34" s="1">
        <f ca="1">IFERROR(__xludf.DUMMYFUNCTION("""COMPUTED_VALUE"""),3)</f>
        <v>3</v>
      </c>
      <c r="G34" s="1" t="str">
        <f ca="1">IFERROR(__xludf.DUMMYFUNCTION("""COMPUTED_VALUE"""),"DRE ABAETETUBA")</f>
        <v>DRE ABAETETUBA</v>
      </c>
      <c r="H34" s="1" t="str">
        <f ca="1">IFERROR(__xludf.DUMMYFUNCTION("""COMPUTED_VALUE"""),"03A URE - ABAETETUBA")</f>
        <v>03A URE - ABAETETUBA</v>
      </c>
      <c r="I34" s="1"/>
      <c r="J34" s="1" t="str">
        <f ca="1">IFERROR(__xludf.DUMMYFUNCTION("""COMPUTED_VALUE"""),"ACARA")</f>
        <v>ACARA</v>
      </c>
      <c r="K34" s="1"/>
      <c r="L34" s="2" t="str">
        <f ca="1">IFERROR(__xludf.DUMMYFUNCTION("""COMPUTED_VALUE"""),"001920971000000")</f>
        <v>001920971000000</v>
      </c>
      <c r="M34" s="2" t="str">
        <f ca="1">IFERROR(__xludf.DUMMYFUNCTION("""COMPUTED_VALUE"""),"1920971000000")</f>
        <v>1920971000000</v>
      </c>
      <c r="N34" s="1" t="str">
        <f ca="1">IFERROR(__xludf.DUMMYFUNCTION("""COMPUTED_VALUE"""),"ESCOLA ESTADUAL RURAL DE ACARA")</f>
        <v>ESCOLA ESTADUAL RURAL DE ACARA</v>
      </c>
      <c r="O34" s="1"/>
      <c r="P34" s="1"/>
      <c r="Q34" s="1" t="s">
        <v>3</v>
      </c>
    </row>
    <row r="35" spans="1:17" x14ac:dyDescent="0.25">
      <c r="A35" s="2" t="str">
        <f ca="1">IFERROR(__xludf.DUMMYFUNCTION("""COMPUTED_VALUE"""),"REG DE INTEGRA DO TOCANTINS")</f>
        <v>REG DE INTEGRA DO TOCANTINS</v>
      </c>
      <c r="B35" s="1" t="str">
        <f ca="1">IFERROR(__xludf.DUMMYFUNCTION("""COMPUTED_VALUE"""),"DRE ABAETETUBA")</f>
        <v>DRE ABAETETUBA</v>
      </c>
      <c r="C35" s="2" t="str">
        <f ca="1">IFERROR(__xludf.DUMMYFUNCTION("""COMPUTED_VALUE"""),"DRE - ABAETETUBA")</f>
        <v>DRE - ABAETETUBA</v>
      </c>
      <c r="D35" s="1"/>
      <c r="E35" s="2" t="str">
        <f ca="1">IFERROR(__xludf.DUMMYFUNCTION("""COMPUTED_VALUE"""),"DRE - ABAETETUBA")</f>
        <v>DRE - ABAETETUBA</v>
      </c>
      <c r="F35" s="1">
        <f ca="1">IFERROR(__xludf.DUMMYFUNCTION("""COMPUTED_VALUE"""),3)</f>
        <v>3</v>
      </c>
      <c r="G35" s="1" t="str">
        <f ca="1">IFERROR(__xludf.DUMMYFUNCTION("""COMPUTED_VALUE"""),"DRE ABAETETUBA")</f>
        <v>DRE ABAETETUBA</v>
      </c>
      <c r="H35" s="1" t="str">
        <f ca="1">IFERROR(__xludf.DUMMYFUNCTION("""COMPUTED_VALUE"""),"03A URE - ABAETETUBA")</f>
        <v>03A URE - ABAETETUBA</v>
      </c>
      <c r="I35" s="1"/>
      <c r="J35" s="1" t="str">
        <f ca="1">IFERROR(__xludf.DUMMYFUNCTION("""COMPUTED_VALUE"""),"BARCARENA")</f>
        <v>BARCARENA</v>
      </c>
      <c r="K35" s="1">
        <f ca="1">IFERROR(__xludf.DUMMYFUNCTION("""COMPUTED_VALUE"""),15576370)</f>
        <v>15576370</v>
      </c>
      <c r="L35" s="2" t="str">
        <f ca="1">IFERROR(__xludf.DUMMYFUNCTION("""COMPUTED_VALUE"""),"001920936000000")</f>
        <v>001920936000000</v>
      </c>
      <c r="M35" s="2" t="str">
        <f ca="1">IFERROR(__xludf.DUMMYFUNCTION("""COMPUTED_VALUE"""),"1920936000000")</f>
        <v>1920936000000</v>
      </c>
      <c r="N35" s="1" t="str">
        <f ca="1">IFERROR(__xludf.DUMMYFUNCTION("""COMPUTED_VALUE"""),"COLEGIO ESTADUAL DE ENSINO MEDIO PALMIRA GABRIEL")</f>
        <v>COLEGIO ESTADUAL DE ENSINO MEDIO PALMIRA GABRIEL</v>
      </c>
      <c r="O35" s="1"/>
      <c r="P35" s="1"/>
      <c r="Q35" s="1" t="s">
        <v>3</v>
      </c>
    </row>
    <row r="36" spans="1:17" x14ac:dyDescent="0.25">
      <c r="A36" s="2" t="str">
        <f ca="1">IFERROR(__xludf.DUMMYFUNCTION("""COMPUTED_VALUE"""),"REG DE INTEGRA DO TOCANTINS")</f>
        <v>REG DE INTEGRA DO TOCANTINS</v>
      </c>
      <c r="B36" s="1" t="str">
        <f ca="1">IFERROR(__xludf.DUMMYFUNCTION("""COMPUTED_VALUE"""),"DRE ABAETETUBA")</f>
        <v>DRE ABAETETUBA</v>
      </c>
      <c r="C36" s="2" t="str">
        <f ca="1">IFERROR(__xludf.DUMMYFUNCTION("""COMPUTED_VALUE"""),"DRE - ABAETETUBA")</f>
        <v>DRE - ABAETETUBA</v>
      </c>
      <c r="D36" s="1"/>
      <c r="E36" s="2" t="str">
        <f ca="1">IFERROR(__xludf.DUMMYFUNCTION("""COMPUTED_VALUE"""),"DRE - ABAETETUBA")</f>
        <v>DRE - ABAETETUBA</v>
      </c>
      <c r="F36" s="1">
        <f ca="1">IFERROR(__xludf.DUMMYFUNCTION("""COMPUTED_VALUE"""),3)</f>
        <v>3</v>
      </c>
      <c r="G36" s="1" t="str">
        <f ca="1">IFERROR(__xludf.DUMMYFUNCTION("""COMPUTED_VALUE"""),"DRE ABAETETUBA")</f>
        <v>DRE ABAETETUBA</v>
      </c>
      <c r="H36" s="1" t="str">
        <f ca="1">IFERROR(__xludf.DUMMYFUNCTION("""COMPUTED_VALUE"""),"03A URE - ABAETETUBA")</f>
        <v>03A URE - ABAETETUBA</v>
      </c>
      <c r="I36" s="1"/>
      <c r="J36" s="1" t="str">
        <f ca="1">IFERROR(__xludf.DUMMYFUNCTION("""COMPUTED_VALUE"""),"BARCARENA")</f>
        <v>BARCARENA</v>
      </c>
      <c r="K36" s="1"/>
      <c r="L36" s="2" t="str">
        <f ca="1">IFERROR(__xludf.DUMMYFUNCTION("""COMPUTED_VALUE"""),"001920937780000")</f>
        <v>001920937780000</v>
      </c>
      <c r="M36" s="2" t="str">
        <f ca="1">IFERROR(__xludf.DUMMYFUNCTION("""COMPUTED_VALUE"""),"1920937780000")</f>
        <v>1920937780000</v>
      </c>
      <c r="N36" s="1" t="str">
        <f ca="1">IFERROR(__xludf.DUMMYFUNCTION("""COMPUTED_VALUE"""),"EE DE EDUCACAO PROF E TECNOLOGICA DE BARCARENA")</f>
        <v>EE DE EDUCACAO PROF E TECNOLOGICA DE BARCARENA</v>
      </c>
      <c r="O36" s="1"/>
      <c r="P36" s="1"/>
      <c r="Q36" s="1" t="s">
        <v>3</v>
      </c>
    </row>
    <row r="37" spans="1:17" x14ac:dyDescent="0.25">
      <c r="A37" s="2" t="str">
        <f ca="1">IFERROR(__xludf.DUMMYFUNCTION("""COMPUTED_VALUE"""),"REG DE INTEGRA DO TOCANTINS")</f>
        <v>REG DE INTEGRA DO TOCANTINS</v>
      </c>
      <c r="B37" s="1" t="str">
        <f ca="1">IFERROR(__xludf.DUMMYFUNCTION("""COMPUTED_VALUE"""),"DRE ABAETETUBA")</f>
        <v>DRE ABAETETUBA</v>
      </c>
      <c r="C37" s="2" t="str">
        <f ca="1">IFERROR(__xludf.DUMMYFUNCTION("""COMPUTED_VALUE"""),"DRE - ABAETETUBA")</f>
        <v>DRE - ABAETETUBA</v>
      </c>
      <c r="D37" s="1"/>
      <c r="E37" s="2" t="str">
        <f ca="1">IFERROR(__xludf.DUMMYFUNCTION("""COMPUTED_VALUE"""),"DRE - ABAETETUBA")</f>
        <v>DRE - ABAETETUBA</v>
      </c>
      <c r="F37" s="1">
        <f ca="1">IFERROR(__xludf.DUMMYFUNCTION("""COMPUTED_VALUE"""),3)</f>
        <v>3</v>
      </c>
      <c r="G37" s="1" t="str">
        <f ca="1">IFERROR(__xludf.DUMMYFUNCTION("""COMPUTED_VALUE"""),"DRE ABAETETUBA")</f>
        <v>DRE ABAETETUBA</v>
      </c>
      <c r="H37" s="1" t="str">
        <f ca="1">IFERROR(__xludf.DUMMYFUNCTION("""COMPUTED_VALUE"""),"03A URE - ABAETETUBA")</f>
        <v>03A URE - ABAETETUBA</v>
      </c>
      <c r="I37" s="1"/>
      <c r="J37" s="1" t="str">
        <f ca="1">IFERROR(__xludf.DUMMYFUNCTION("""COMPUTED_VALUE"""),"BARCARENA")</f>
        <v>BARCARENA</v>
      </c>
      <c r="K37" s="1">
        <f ca="1">IFERROR(__xludf.DUMMYFUNCTION("""COMPUTED_VALUE"""),15035867)</f>
        <v>15035867</v>
      </c>
      <c r="L37" s="2" t="str">
        <f ca="1">IFERROR(__xludf.DUMMYFUNCTION("""COMPUTED_VALUE"""),"001920910500000")</f>
        <v>001920910500000</v>
      </c>
      <c r="M37" s="2" t="str">
        <f ca="1">IFERROR(__xludf.DUMMYFUNCTION("""COMPUTED_VALUE"""),"1920910500000")</f>
        <v>1920910500000</v>
      </c>
      <c r="N37" s="1" t="str">
        <f ca="1">IFERROR(__xludf.DUMMYFUNCTION("""COMPUTED_VALUE"""),"EEEF CONEGO BATISTA CAMPOS")</f>
        <v>EEEF CONEGO BATISTA CAMPOS</v>
      </c>
      <c r="O37" s="1"/>
      <c r="P37" s="1"/>
      <c r="Q37" s="1" t="s">
        <v>3</v>
      </c>
    </row>
    <row r="38" spans="1:17" x14ac:dyDescent="0.25">
      <c r="A38" s="2" t="str">
        <f ca="1">IFERROR(__xludf.DUMMYFUNCTION("""COMPUTED_VALUE"""),"REG DE INTEGRA DO TOCANTINS")</f>
        <v>REG DE INTEGRA DO TOCANTINS</v>
      </c>
      <c r="B38" s="1" t="str">
        <f ca="1">IFERROR(__xludf.DUMMYFUNCTION("""COMPUTED_VALUE"""),"DRE ABAETETUBA")</f>
        <v>DRE ABAETETUBA</v>
      </c>
      <c r="C38" s="2" t="str">
        <f ca="1">IFERROR(__xludf.DUMMYFUNCTION("""COMPUTED_VALUE"""),"DRE - ABAETETUBA")</f>
        <v>DRE - ABAETETUBA</v>
      </c>
      <c r="D38" s="1"/>
      <c r="E38" s="2" t="str">
        <f ca="1">IFERROR(__xludf.DUMMYFUNCTION("""COMPUTED_VALUE"""),"DRE - ABAETETUBA")</f>
        <v>DRE - ABAETETUBA</v>
      </c>
      <c r="F38" s="1">
        <f ca="1">IFERROR(__xludf.DUMMYFUNCTION("""COMPUTED_VALUE"""),3)</f>
        <v>3</v>
      </c>
      <c r="G38" s="1" t="str">
        <f ca="1">IFERROR(__xludf.DUMMYFUNCTION("""COMPUTED_VALUE"""),"DRE ABAETETUBA")</f>
        <v>DRE ABAETETUBA</v>
      </c>
      <c r="H38" s="1" t="str">
        <f ca="1">IFERROR(__xludf.DUMMYFUNCTION("""COMPUTED_VALUE"""),"03A URE - ABAETETUBA")</f>
        <v>03A URE - ABAETETUBA</v>
      </c>
      <c r="I38" s="1"/>
      <c r="J38" s="1" t="str">
        <f ca="1">IFERROR(__xludf.DUMMYFUNCTION("""COMPUTED_VALUE"""),"BARCARENA")</f>
        <v>BARCARENA</v>
      </c>
      <c r="K38" s="1">
        <f ca="1">IFERROR(__xludf.DUMMYFUNCTION("""COMPUTED_VALUE"""),15035921)</f>
        <v>15035921</v>
      </c>
      <c r="L38" s="2" t="str">
        <f ca="1">IFERROR(__xludf.DUMMYFUNCTION("""COMPUTED_VALUE"""),"001920910530000")</f>
        <v>001920910530000</v>
      </c>
      <c r="M38" s="2" t="str">
        <f ca="1">IFERROR(__xludf.DUMMYFUNCTION("""COMPUTED_VALUE"""),"1920910530000")</f>
        <v>1920910530000</v>
      </c>
      <c r="N38" s="1" t="str">
        <f ca="1">IFERROR(__xludf.DUMMYFUNCTION("""COMPUTED_VALUE"""),"EEEFM ACY DE JESUS BARROS PEREIRA - VILA SAO FRANCISCO")</f>
        <v>EEEFM ACY DE JESUS BARROS PEREIRA - VILA SAO FRANCISCO</v>
      </c>
      <c r="O38" s="1"/>
      <c r="P38" s="1"/>
      <c r="Q38" s="1" t="s">
        <v>3</v>
      </c>
    </row>
    <row r="39" spans="1:17" x14ac:dyDescent="0.25">
      <c r="A39" s="2" t="str">
        <f ca="1">IFERROR(__xludf.DUMMYFUNCTION("""COMPUTED_VALUE"""),"REG DE INTEGRA DO TOCANTINS")</f>
        <v>REG DE INTEGRA DO TOCANTINS</v>
      </c>
      <c r="B39" s="1" t="str">
        <f ca="1">IFERROR(__xludf.DUMMYFUNCTION("""COMPUTED_VALUE"""),"DRE ABAETETUBA")</f>
        <v>DRE ABAETETUBA</v>
      </c>
      <c r="C39" s="2" t="str">
        <f ca="1">IFERROR(__xludf.DUMMYFUNCTION("""COMPUTED_VALUE"""),"DRE - ABAETETUBA")</f>
        <v>DRE - ABAETETUBA</v>
      </c>
      <c r="D39" s="1"/>
      <c r="E39" s="2" t="str">
        <f ca="1">IFERROR(__xludf.DUMMYFUNCTION("""COMPUTED_VALUE"""),"DRE - ABAETETUBA")</f>
        <v>DRE - ABAETETUBA</v>
      </c>
      <c r="F39" s="1">
        <f ca="1">IFERROR(__xludf.DUMMYFUNCTION("""COMPUTED_VALUE"""),3)</f>
        <v>3</v>
      </c>
      <c r="G39" s="1" t="str">
        <f ca="1">IFERROR(__xludf.DUMMYFUNCTION("""COMPUTED_VALUE"""),"DRE ABAETETUBA")</f>
        <v>DRE ABAETETUBA</v>
      </c>
      <c r="H39" s="1" t="str">
        <f ca="1">IFERROR(__xludf.DUMMYFUNCTION("""COMPUTED_VALUE"""),"03A URE - ABAETETUBA")</f>
        <v>03A URE - ABAETETUBA</v>
      </c>
      <c r="I39" s="1"/>
      <c r="J39" s="1" t="str">
        <f ca="1">IFERROR(__xludf.DUMMYFUNCTION("""COMPUTED_VALUE"""),"BARCARENA")</f>
        <v>BARCARENA</v>
      </c>
      <c r="K39" s="1">
        <f ca="1">IFERROR(__xludf.DUMMYFUNCTION("""COMPUTED_VALUE"""),15035891)</f>
        <v>15035891</v>
      </c>
      <c r="L39" s="2" t="str">
        <f ca="1">IFERROR(__xludf.DUMMYFUNCTION("""COMPUTED_VALUE"""),"001920926870000")</f>
        <v>001920926870000</v>
      </c>
      <c r="M39" s="2" t="str">
        <f ca="1">IFERROR(__xludf.DUMMYFUNCTION("""COMPUTED_VALUE"""),"1920926870000")</f>
        <v>1920926870000</v>
      </c>
      <c r="N39" s="1" t="str">
        <f ca="1">IFERROR(__xludf.DUMMYFUNCTION("""COMPUTED_VALUE"""),"EEEFM EDUARDO ANGELIM")</f>
        <v>EEEFM EDUARDO ANGELIM</v>
      </c>
      <c r="O39" s="1"/>
      <c r="P39" s="1"/>
      <c r="Q39" s="1" t="s">
        <v>3</v>
      </c>
    </row>
    <row r="40" spans="1:17" x14ac:dyDescent="0.25">
      <c r="A40" s="2" t="str">
        <f ca="1">IFERROR(__xludf.DUMMYFUNCTION("""COMPUTED_VALUE"""),"REG DE INTEGRA DO TOCANTINS")</f>
        <v>REG DE INTEGRA DO TOCANTINS</v>
      </c>
      <c r="B40" s="1" t="str">
        <f ca="1">IFERROR(__xludf.DUMMYFUNCTION("""COMPUTED_VALUE"""),"DRE ABAETETUBA")</f>
        <v>DRE ABAETETUBA</v>
      </c>
      <c r="C40" s="2" t="str">
        <f ca="1">IFERROR(__xludf.DUMMYFUNCTION("""COMPUTED_VALUE"""),"DRE - ABAETETUBA")</f>
        <v>DRE - ABAETETUBA</v>
      </c>
      <c r="D40" s="1"/>
      <c r="E40" s="2" t="str">
        <f ca="1">IFERROR(__xludf.DUMMYFUNCTION("""COMPUTED_VALUE"""),"DRE - ABAETETUBA")</f>
        <v>DRE - ABAETETUBA</v>
      </c>
      <c r="F40" s="1">
        <f ca="1">IFERROR(__xludf.DUMMYFUNCTION("""COMPUTED_VALUE"""),3)</f>
        <v>3</v>
      </c>
      <c r="G40" s="1" t="str">
        <f ca="1">IFERROR(__xludf.DUMMYFUNCTION("""COMPUTED_VALUE"""),"DRE ABAETETUBA")</f>
        <v>DRE ABAETETUBA</v>
      </c>
      <c r="H40" s="1" t="str">
        <f ca="1">IFERROR(__xludf.DUMMYFUNCTION("""COMPUTED_VALUE"""),"03A URE - ABAETETUBA")</f>
        <v>03A URE - ABAETETUBA</v>
      </c>
      <c r="I40" s="1"/>
      <c r="J40" s="1" t="str">
        <f ca="1">IFERROR(__xludf.DUMMYFUNCTION("""COMPUTED_VALUE"""),"BARCARENA")</f>
        <v>BARCARENA</v>
      </c>
      <c r="K40" s="1">
        <f ca="1">IFERROR(__xludf.DUMMYFUNCTION("""COMPUTED_VALUE"""),15035956)</f>
        <v>15035956</v>
      </c>
      <c r="L40" s="2" t="str">
        <f ca="1">IFERROR(__xludf.DUMMYFUNCTION("""COMPUTED_VALUE"""),"001920927720000")</f>
        <v>001920927720000</v>
      </c>
      <c r="M40" s="2" t="str">
        <f ca="1">IFERROR(__xludf.DUMMYFUNCTION("""COMPUTED_VALUE"""),"1920927720000")</f>
        <v>1920927720000</v>
      </c>
      <c r="N40" s="1" t="str">
        <f ca="1">IFERROR(__xludf.DUMMYFUNCTION("""COMPUTED_VALUE"""),"EEEFM JOSE MARIA DE MORAES")</f>
        <v>EEEFM JOSE MARIA DE MORAES</v>
      </c>
      <c r="O40" s="1"/>
      <c r="P40" s="1"/>
      <c r="Q40" s="1" t="s">
        <v>3</v>
      </c>
    </row>
    <row r="41" spans="1:17" x14ac:dyDescent="0.25">
      <c r="A41" s="2" t="str">
        <f ca="1">IFERROR(__xludf.DUMMYFUNCTION("""COMPUTED_VALUE"""),"REG DE INTEGRA DO TOCANTINS")</f>
        <v>REG DE INTEGRA DO TOCANTINS</v>
      </c>
      <c r="B41" s="1" t="str">
        <f ca="1">IFERROR(__xludf.DUMMYFUNCTION("""COMPUTED_VALUE"""),"DRE ABAETETUBA")</f>
        <v>DRE ABAETETUBA</v>
      </c>
      <c r="C41" s="2" t="str">
        <f ca="1">IFERROR(__xludf.DUMMYFUNCTION("""COMPUTED_VALUE"""),"DRE - ABAETETUBA")</f>
        <v>DRE - ABAETETUBA</v>
      </c>
      <c r="D41" s="1"/>
      <c r="E41" s="2" t="str">
        <f ca="1">IFERROR(__xludf.DUMMYFUNCTION("""COMPUTED_VALUE"""),"DRE - ABAETETUBA")</f>
        <v>DRE - ABAETETUBA</v>
      </c>
      <c r="F41" s="1">
        <f ca="1">IFERROR(__xludf.DUMMYFUNCTION("""COMPUTED_VALUE"""),3)</f>
        <v>3</v>
      </c>
      <c r="G41" s="1" t="str">
        <f ca="1">IFERROR(__xludf.DUMMYFUNCTION("""COMPUTED_VALUE"""),"DRE ABAETETUBA")</f>
        <v>DRE ABAETETUBA</v>
      </c>
      <c r="H41" s="1" t="str">
        <f ca="1">IFERROR(__xludf.DUMMYFUNCTION("""COMPUTED_VALUE"""),"03A URE - ABAETETUBA")</f>
        <v>03A URE - ABAETETUBA</v>
      </c>
      <c r="I41" s="1"/>
      <c r="J41" s="1" t="str">
        <f ca="1">IFERROR(__xludf.DUMMYFUNCTION("""COMPUTED_VALUE"""),"BARCARENA")</f>
        <v>BARCARENA</v>
      </c>
      <c r="K41" s="1">
        <f ca="1">IFERROR(__xludf.DUMMYFUNCTION("""COMPUTED_VALUE"""),15035735)</f>
        <v>15035735</v>
      </c>
      <c r="L41" s="2" t="str">
        <f ca="1">IFERROR(__xludf.DUMMYFUNCTION("""COMPUTED_VALUE"""),"001920910510000")</f>
        <v>001920910510000</v>
      </c>
      <c r="M41" s="2" t="str">
        <f ca="1">IFERROR(__xludf.DUMMYFUNCTION("""COMPUTED_VALUE"""),"1920910510000")</f>
        <v>1920910510000</v>
      </c>
      <c r="N41" s="1" t="str">
        <f ca="1">IFERROR(__xludf.DUMMYFUNCTION("""COMPUTED_VALUE"""),"EEEFM PADRE JOSE DELGARDES - VILA DO CONDE")</f>
        <v>EEEFM PADRE JOSE DELGARDES - VILA DO CONDE</v>
      </c>
      <c r="O41" s="1"/>
      <c r="P41" s="1"/>
      <c r="Q41" s="1" t="s">
        <v>3</v>
      </c>
    </row>
    <row r="42" spans="1:17" x14ac:dyDescent="0.25">
      <c r="A42" s="2" t="str">
        <f ca="1">IFERROR(__xludf.DUMMYFUNCTION("""COMPUTED_VALUE"""),"REG DE INTEGRA DO TOCANTINS")</f>
        <v>REG DE INTEGRA DO TOCANTINS</v>
      </c>
      <c r="B42" s="1" t="str">
        <f ca="1">IFERROR(__xludf.DUMMYFUNCTION("""COMPUTED_VALUE"""),"DRE ABAETETUBA")</f>
        <v>DRE ABAETETUBA</v>
      </c>
      <c r="C42" s="2" t="str">
        <f ca="1">IFERROR(__xludf.DUMMYFUNCTION("""COMPUTED_VALUE"""),"DRE - ABAETETUBA")</f>
        <v>DRE - ABAETETUBA</v>
      </c>
      <c r="D42" s="1"/>
      <c r="E42" s="2" t="str">
        <f ca="1">IFERROR(__xludf.DUMMYFUNCTION("""COMPUTED_VALUE"""),"DRE - ABAETETUBA")</f>
        <v>DRE - ABAETETUBA</v>
      </c>
      <c r="F42" s="1">
        <f ca="1">IFERROR(__xludf.DUMMYFUNCTION("""COMPUTED_VALUE"""),3)</f>
        <v>3</v>
      </c>
      <c r="G42" s="1" t="str">
        <f ca="1">IFERROR(__xludf.DUMMYFUNCTION("""COMPUTED_VALUE"""),"DRE ABAETETUBA")</f>
        <v>DRE ABAETETUBA</v>
      </c>
      <c r="H42" s="1" t="str">
        <f ca="1">IFERROR(__xludf.DUMMYFUNCTION("""COMPUTED_VALUE"""),"03A URE - ABAETETUBA")</f>
        <v>03A URE - ABAETETUBA</v>
      </c>
      <c r="I42" s="1"/>
      <c r="J42" s="1" t="str">
        <f ca="1">IFERROR(__xludf.DUMMYFUNCTION("""COMPUTED_VALUE"""),"BARCARENA")</f>
        <v>BARCARENA</v>
      </c>
      <c r="K42" s="1">
        <f ca="1">IFERROR(__xludf.DUMMYFUNCTION("""COMPUTED_VALUE"""),15037070)</f>
        <v>15037070</v>
      </c>
      <c r="L42" s="2" t="str">
        <f ca="1">IFERROR(__xludf.DUMMYFUNCTION("""COMPUTED_VALUE"""),"001920910580000")</f>
        <v>001920910580000</v>
      </c>
      <c r="M42" s="2" t="str">
        <f ca="1">IFERROR(__xludf.DUMMYFUNCTION("""COMPUTED_VALUE"""),"1920910580000")</f>
        <v>1920910580000</v>
      </c>
      <c r="N42" s="1" t="str">
        <f ca="1">IFERROR(__xludf.DUMMYFUNCTION("""COMPUTED_VALUE"""),"EEEFM PRESIDENTE DUTRA")</f>
        <v>EEEFM PRESIDENTE DUTRA</v>
      </c>
      <c r="O42" s="1"/>
      <c r="P42" s="1"/>
      <c r="Q42" s="1" t="s">
        <v>3</v>
      </c>
    </row>
    <row r="43" spans="1:17" x14ac:dyDescent="0.25">
      <c r="A43" s="2" t="str">
        <f ca="1">IFERROR(__xludf.DUMMYFUNCTION("""COMPUTED_VALUE"""),"REG DE INTEGRA DO TOCANTINS")</f>
        <v>REG DE INTEGRA DO TOCANTINS</v>
      </c>
      <c r="B43" s="1" t="str">
        <f ca="1">IFERROR(__xludf.DUMMYFUNCTION("""COMPUTED_VALUE"""),"DRE ABAETETUBA")</f>
        <v>DRE ABAETETUBA</v>
      </c>
      <c r="C43" s="2" t="str">
        <f ca="1">IFERROR(__xludf.DUMMYFUNCTION("""COMPUTED_VALUE"""),"DRE - ABAETETUBA")</f>
        <v>DRE - ABAETETUBA</v>
      </c>
      <c r="D43" s="1"/>
      <c r="E43" s="2" t="str">
        <f ca="1">IFERROR(__xludf.DUMMYFUNCTION("""COMPUTED_VALUE"""),"DRE - ABAETETUBA")</f>
        <v>DRE - ABAETETUBA</v>
      </c>
      <c r="F43" s="1">
        <f ca="1">IFERROR(__xludf.DUMMYFUNCTION("""COMPUTED_VALUE"""),3)</f>
        <v>3</v>
      </c>
      <c r="G43" s="1" t="str">
        <f ca="1">IFERROR(__xludf.DUMMYFUNCTION("""COMPUTED_VALUE"""),"DRE ABAETETUBA")</f>
        <v>DRE ABAETETUBA</v>
      </c>
      <c r="H43" s="1" t="str">
        <f ca="1">IFERROR(__xludf.DUMMYFUNCTION("""COMPUTED_VALUE"""),"03A URE - ABAETETUBA")</f>
        <v>03A URE - ABAETETUBA</v>
      </c>
      <c r="I43" s="1"/>
      <c r="J43" s="1" t="str">
        <f ca="1">IFERROR(__xludf.DUMMYFUNCTION("""COMPUTED_VALUE"""),"BARCARENA")</f>
        <v>BARCARENA</v>
      </c>
      <c r="K43" s="1">
        <f ca="1">IFERROR(__xludf.DUMMYFUNCTION("""COMPUTED_VALUE"""),15035964)</f>
        <v>15035964</v>
      </c>
      <c r="L43" s="2" t="str">
        <f ca="1">IFERROR(__xludf.DUMMYFUNCTION("""COMPUTED_VALUE"""),"001920910520000")</f>
        <v>001920910520000</v>
      </c>
      <c r="M43" s="2" t="str">
        <f ca="1">IFERROR(__xludf.DUMMYFUNCTION("""COMPUTED_VALUE"""),"1920910520000")</f>
        <v>1920910520000</v>
      </c>
      <c r="N43" s="1" t="str">
        <f ca="1">IFERROR(__xludf.DUMMYFUNCTION("""COMPUTED_VALUE"""),"EEEFM PROF JOSE MARIA MACHADO")</f>
        <v>EEEFM PROF JOSE MARIA MACHADO</v>
      </c>
      <c r="O43" s="1"/>
      <c r="P43" s="1"/>
      <c r="Q43" s="1" t="s">
        <v>3</v>
      </c>
    </row>
    <row r="44" spans="1:17" x14ac:dyDescent="0.25">
      <c r="A44" s="2" t="str">
        <f ca="1">IFERROR(__xludf.DUMMYFUNCTION("""COMPUTED_VALUE"""),"REG DE INTEGRA DO TOCANTINS")</f>
        <v>REG DE INTEGRA DO TOCANTINS</v>
      </c>
      <c r="B44" s="1" t="str">
        <f ca="1">IFERROR(__xludf.DUMMYFUNCTION("""COMPUTED_VALUE"""),"DRE ABAETETUBA")</f>
        <v>DRE ABAETETUBA</v>
      </c>
      <c r="C44" s="2" t="str">
        <f ca="1">IFERROR(__xludf.DUMMYFUNCTION("""COMPUTED_VALUE"""),"DRE - ABAETETUBA")</f>
        <v>DRE - ABAETETUBA</v>
      </c>
      <c r="D44" s="1"/>
      <c r="E44" s="2" t="str">
        <f ca="1">IFERROR(__xludf.DUMMYFUNCTION("""COMPUTED_VALUE"""),"DRE - ABAETETUBA")</f>
        <v>DRE - ABAETETUBA</v>
      </c>
      <c r="F44" s="1">
        <f ca="1">IFERROR(__xludf.DUMMYFUNCTION("""COMPUTED_VALUE"""),3)</f>
        <v>3</v>
      </c>
      <c r="G44" s="1" t="str">
        <f ca="1">IFERROR(__xludf.DUMMYFUNCTION("""COMPUTED_VALUE"""),"DRE ABAETETUBA")</f>
        <v>DRE ABAETETUBA</v>
      </c>
      <c r="H44" s="1" t="str">
        <f ca="1">IFERROR(__xludf.DUMMYFUNCTION("""COMPUTED_VALUE"""),"03A URE - ABAETETUBA")</f>
        <v>03A URE - ABAETETUBA</v>
      </c>
      <c r="I44" s="1"/>
      <c r="J44" s="1" t="str">
        <f ca="1">IFERROR(__xludf.DUMMYFUNCTION("""COMPUTED_VALUE"""),"BARCARENA")</f>
        <v>BARCARENA</v>
      </c>
      <c r="K44" s="1">
        <f ca="1">IFERROR(__xludf.DUMMYFUNCTION("""COMPUTED_VALUE"""),15143546)</f>
        <v>15143546</v>
      </c>
      <c r="L44" s="2" t="str">
        <f ca="1">IFERROR(__xludf.DUMMYFUNCTION("""COMPUTED_VALUE"""),"001920932510000")</f>
        <v>001920932510000</v>
      </c>
      <c r="M44" s="2" t="str">
        <f ca="1">IFERROR(__xludf.DUMMYFUNCTION("""COMPUTED_VALUE"""),"1920932510000")</f>
        <v>1920932510000</v>
      </c>
      <c r="N44" s="1" t="str">
        <f ca="1">IFERROR(__xludf.DUMMYFUNCTION("""COMPUTED_VALUE"""),"ERC APAE DE BARCARENA")</f>
        <v>ERC APAE DE BARCARENA</v>
      </c>
      <c r="O44" s="1"/>
      <c r="P44" s="1"/>
      <c r="Q44" s="1" t="s">
        <v>3</v>
      </c>
    </row>
    <row r="45" spans="1:17" x14ac:dyDescent="0.25">
      <c r="A45" s="2" t="str">
        <f ca="1">IFERROR(__xludf.DUMMYFUNCTION("""COMPUTED_VALUE"""),"REG DE INTEGRA DO TOCANTINS")</f>
        <v>REG DE INTEGRA DO TOCANTINS</v>
      </c>
      <c r="B45" s="1" t="str">
        <f ca="1">IFERROR(__xludf.DUMMYFUNCTION("""COMPUTED_VALUE"""),"DRE ABAETETUBA")</f>
        <v>DRE ABAETETUBA</v>
      </c>
      <c r="C45" s="2" t="str">
        <f ca="1">IFERROR(__xludf.DUMMYFUNCTION("""COMPUTED_VALUE"""),"DRE - ABAETETUBA")</f>
        <v>DRE - ABAETETUBA</v>
      </c>
      <c r="D45" s="1"/>
      <c r="E45" s="2" t="str">
        <f ca="1">IFERROR(__xludf.DUMMYFUNCTION("""COMPUTED_VALUE"""),"DRE - ABAETETUBA")</f>
        <v>DRE - ABAETETUBA</v>
      </c>
      <c r="F45" s="1">
        <f ca="1">IFERROR(__xludf.DUMMYFUNCTION("""COMPUTED_VALUE"""),3)</f>
        <v>3</v>
      </c>
      <c r="G45" s="1" t="str">
        <f ca="1">IFERROR(__xludf.DUMMYFUNCTION("""COMPUTED_VALUE"""),"DRE ABAETETUBA")</f>
        <v>DRE ABAETETUBA</v>
      </c>
      <c r="H45" s="1" t="str">
        <f ca="1">IFERROR(__xludf.DUMMYFUNCTION("""COMPUTED_VALUE"""),"03A URE - ABAETETUBA")</f>
        <v>03A URE - ABAETETUBA</v>
      </c>
      <c r="I45" s="1"/>
      <c r="J45" s="1" t="str">
        <f ca="1">IFERROR(__xludf.DUMMYFUNCTION("""COMPUTED_VALUE"""),"IGARAPE-MIRI")</f>
        <v>IGARAPE-MIRI</v>
      </c>
      <c r="K45" s="1">
        <f ca="1">IFERROR(__xludf.DUMMYFUNCTION("""COMPUTED_VALUE"""),15177467)</f>
        <v>15177467</v>
      </c>
      <c r="L45" s="2" t="str">
        <f ca="1">IFERROR(__xludf.DUMMYFUNCTION("""COMPUTED_VALUE"""),"001920937320001")</f>
        <v>001920937320001</v>
      </c>
      <c r="M45" s="2" t="str">
        <f ca="1">IFERROR(__xludf.DUMMYFUNCTION("""COMPUTED_VALUE"""),"1920937320001")</f>
        <v>1920937320001</v>
      </c>
      <c r="N45" s="1" t="str">
        <f ca="1">IFERROR(__xludf.DUMMYFUNCTION("""COMPUTED_VALUE"""),"ANEXO RURAL PROFA DALILA AFONSO CUNHA")</f>
        <v>ANEXO RURAL PROFA DALILA AFONSO CUNHA</v>
      </c>
      <c r="O45" s="1"/>
      <c r="P45" s="1"/>
      <c r="Q45" s="1" t="s">
        <v>3</v>
      </c>
    </row>
    <row r="46" spans="1:17" x14ac:dyDescent="0.25">
      <c r="A46" s="2" t="str">
        <f ca="1">IFERROR(__xludf.DUMMYFUNCTION("""COMPUTED_VALUE"""),"REG DE INTEGRA DO TOCANTINS")</f>
        <v>REG DE INTEGRA DO TOCANTINS</v>
      </c>
      <c r="B46" s="1" t="str">
        <f ca="1">IFERROR(__xludf.DUMMYFUNCTION("""COMPUTED_VALUE"""),"DRE ABAETETUBA")</f>
        <v>DRE ABAETETUBA</v>
      </c>
      <c r="C46" s="2" t="str">
        <f ca="1">IFERROR(__xludf.DUMMYFUNCTION("""COMPUTED_VALUE"""),"DRE - ABAETETUBA")</f>
        <v>DRE - ABAETETUBA</v>
      </c>
      <c r="D46" s="1"/>
      <c r="E46" s="2" t="str">
        <f ca="1">IFERROR(__xludf.DUMMYFUNCTION("""COMPUTED_VALUE"""),"DRE - ABAETETUBA")</f>
        <v>DRE - ABAETETUBA</v>
      </c>
      <c r="F46" s="1">
        <f ca="1">IFERROR(__xludf.DUMMYFUNCTION("""COMPUTED_VALUE"""),3)</f>
        <v>3</v>
      </c>
      <c r="G46" s="1" t="str">
        <f ca="1">IFERROR(__xludf.DUMMYFUNCTION("""COMPUTED_VALUE"""),"DRE ABAETETUBA")</f>
        <v>DRE ABAETETUBA</v>
      </c>
      <c r="H46" s="1" t="str">
        <f ca="1">IFERROR(__xludf.DUMMYFUNCTION("""COMPUTED_VALUE"""),"03A URE - ABAETETUBA")</f>
        <v>03A URE - ABAETETUBA</v>
      </c>
      <c r="I46" s="1"/>
      <c r="J46" s="1" t="str">
        <f ca="1">IFERROR(__xludf.DUMMYFUNCTION("""COMPUTED_VALUE"""),"IGARAPE-MIRI")</f>
        <v>IGARAPE-MIRI</v>
      </c>
      <c r="K46" s="1">
        <f ca="1">IFERROR(__xludf.DUMMYFUNCTION("""COMPUTED_VALUE"""),15570193)</f>
        <v>15570193</v>
      </c>
      <c r="L46" s="2" t="str">
        <f ca="1">IFERROR(__xludf.DUMMYFUNCTION("""COMPUTED_VALUE"""),"001920909430000")</f>
        <v>001920909430000</v>
      </c>
      <c r="M46" s="2" t="str">
        <f ca="1">IFERROR(__xludf.DUMMYFUNCTION("""COMPUTED_VALUE"""),"1920909430000")</f>
        <v>1920909430000</v>
      </c>
      <c r="N46" s="1" t="str">
        <f ca="1">IFERROR(__xludf.DUMMYFUNCTION("""COMPUTED_VALUE"""),"EEEM ENEDINA SAMPAIO MELO")</f>
        <v>EEEM ENEDINA SAMPAIO MELO</v>
      </c>
      <c r="O46" s="1"/>
      <c r="P46" s="1"/>
      <c r="Q46" s="1" t="s">
        <v>3</v>
      </c>
    </row>
    <row r="47" spans="1:17" x14ac:dyDescent="0.25">
      <c r="A47" s="2" t="str">
        <f ca="1">IFERROR(__xludf.DUMMYFUNCTION("""COMPUTED_VALUE"""),"REG DE INTEGRA DO TOCANTINS")</f>
        <v>REG DE INTEGRA DO TOCANTINS</v>
      </c>
      <c r="B47" s="1" t="str">
        <f ca="1">IFERROR(__xludf.DUMMYFUNCTION("""COMPUTED_VALUE"""),"DRE ABAETETUBA")</f>
        <v>DRE ABAETETUBA</v>
      </c>
      <c r="C47" s="2" t="str">
        <f ca="1">IFERROR(__xludf.DUMMYFUNCTION("""COMPUTED_VALUE"""),"DRE - ABAETETUBA")</f>
        <v>DRE - ABAETETUBA</v>
      </c>
      <c r="D47" s="1"/>
      <c r="E47" s="2" t="str">
        <f ca="1">IFERROR(__xludf.DUMMYFUNCTION("""COMPUTED_VALUE"""),"DRE - ABAETETUBA")</f>
        <v>DRE - ABAETETUBA</v>
      </c>
      <c r="F47" s="1">
        <f ca="1">IFERROR(__xludf.DUMMYFUNCTION("""COMPUTED_VALUE"""),3)</f>
        <v>3</v>
      </c>
      <c r="G47" s="1" t="str">
        <f ca="1">IFERROR(__xludf.DUMMYFUNCTION("""COMPUTED_VALUE"""),"DRE ABAETETUBA")</f>
        <v>DRE ABAETETUBA</v>
      </c>
      <c r="H47" s="1" t="str">
        <f ca="1">IFERROR(__xludf.DUMMYFUNCTION("""COMPUTED_VALUE"""),"03A URE - ABAETETUBA")</f>
        <v>03A URE - ABAETETUBA</v>
      </c>
      <c r="I47" s="1"/>
      <c r="J47" s="1" t="str">
        <f ca="1">IFERROR(__xludf.DUMMYFUNCTION("""COMPUTED_VALUE"""),"IGARAPE-MIRI")</f>
        <v>IGARAPE-MIRI</v>
      </c>
      <c r="K47" s="1">
        <f ca="1">IFERROR(__xludf.DUMMYFUNCTION("""COMPUTED_VALUE"""),15572226)</f>
        <v>15572226</v>
      </c>
      <c r="L47" s="2" t="str">
        <f ca="1">IFERROR(__xludf.DUMMYFUNCTION("""COMPUTED_VALUE"""),"001920909360000")</f>
        <v>001920909360000</v>
      </c>
      <c r="M47" s="2" t="str">
        <f ca="1">IFERROR(__xludf.DUMMYFUNCTION("""COMPUTED_VALUE"""),"1920909360000")</f>
        <v>1920909360000</v>
      </c>
      <c r="N47" s="1" t="str">
        <f ca="1">IFERROR(__xludf.DUMMYFUNCTION("""COMPUTED_VALUE"""),"EEEM MANOEL ANTONIO DE CASTRO")</f>
        <v>EEEM MANOEL ANTONIO DE CASTRO</v>
      </c>
      <c r="O47" s="1"/>
      <c r="P47" s="1"/>
      <c r="Q47" s="1" t="s">
        <v>3</v>
      </c>
    </row>
    <row r="48" spans="1:17" x14ac:dyDescent="0.25">
      <c r="A48" s="2" t="str">
        <f ca="1">IFERROR(__xludf.DUMMYFUNCTION("""COMPUTED_VALUE"""),"REG DE INTEGRA DO TOCANTINS")</f>
        <v>REG DE INTEGRA DO TOCANTINS</v>
      </c>
      <c r="B48" s="1" t="str">
        <f ca="1">IFERROR(__xludf.DUMMYFUNCTION("""COMPUTED_VALUE"""),"DRE ABAETETUBA")</f>
        <v>DRE ABAETETUBA</v>
      </c>
      <c r="C48" s="2" t="str">
        <f ca="1">IFERROR(__xludf.DUMMYFUNCTION("""COMPUTED_VALUE"""),"DRE - ABAETETUBA")</f>
        <v>DRE - ABAETETUBA</v>
      </c>
      <c r="D48" s="1"/>
      <c r="E48" s="2" t="str">
        <f ca="1">IFERROR(__xludf.DUMMYFUNCTION("""COMPUTED_VALUE"""),"DRE - ABAETETUBA")</f>
        <v>DRE - ABAETETUBA</v>
      </c>
      <c r="F48" s="1">
        <f ca="1">IFERROR(__xludf.DUMMYFUNCTION("""COMPUTED_VALUE"""),3)</f>
        <v>3</v>
      </c>
      <c r="G48" s="1" t="str">
        <f ca="1">IFERROR(__xludf.DUMMYFUNCTION("""COMPUTED_VALUE"""),"DRE ABAETETUBA")</f>
        <v>DRE ABAETETUBA</v>
      </c>
      <c r="H48" s="1" t="str">
        <f ca="1">IFERROR(__xludf.DUMMYFUNCTION("""COMPUTED_VALUE"""),"03A URE - ABAETETUBA")</f>
        <v>03A URE - ABAETETUBA</v>
      </c>
      <c r="I48" s="1"/>
      <c r="J48" s="1" t="str">
        <f ca="1">IFERROR(__xludf.DUMMYFUNCTION("""COMPUTED_VALUE"""),"IGARAPE-MIRI")</f>
        <v>IGARAPE-MIRI</v>
      </c>
      <c r="K48" s="1">
        <f ca="1">IFERROR(__xludf.DUMMYFUNCTION("""COMPUTED_VALUE"""),15568857)</f>
        <v>15568857</v>
      </c>
      <c r="L48" s="2" t="str">
        <f ca="1">IFERROR(__xludf.DUMMYFUNCTION("""COMPUTED_VALUE"""),"001920937320000")</f>
        <v>001920937320000</v>
      </c>
      <c r="M48" s="2" t="str">
        <f ca="1">IFERROR(__xludf.DUMMYFUNCTION("""COMPUTED_VALUE"""),"1920937320000")</f>
        <v>1920937320000</v>
      </c>
      <c r="N48" s="1" t="str">
        <f ca="1">IFERROR(__xludf.DUMMYFUNCTION("""COMPUTED_VALUE"""),"EEEM PROFA DALILA AFONSO CUNHA")</f>
        <v>EEEM PROFA DALILA AFONSO CUNHA</v>
      </c>
      <c r="O48" s="1"/>
      <c r="P48" s="1"/>
      <c r="Q48" s="1" t="s">
        <v>3</v>
      </c>
    </row>
    <row r="49" spans="1:17" x14ac:dyDescent="0.25">
      <c r="A49" s="2" t="str">
        <f ca="1">IFERROR(__xludf.DUMMYFUNCTION("""COMPUTED_VALUE"""),"REG DE INTEGRA DO TOCANTINS")</f>
        <v>REG DE INTEGRA DO TOCANTINS</v>
      </c>
      <c r="B49" s="1" t="str">
        <f ca="1">IFERROR(__xludf.DUMMYFUNCTION("""COMPUTED_VALUE"""),"DRE ABAETETUBA")</f>
        <v>DRE ABAETETUBA</v>
      </c>
      <c r="C49" s="2" t="str">
        <f ca="1">IFERROR(__xludf.DUMMYFUNCTION("""COMPUTED_VALUE"""),"DRE - ABAETETUBA")</f>
        <v>DRE - ABAETETUBA</v>
      </c>
      <c r="D49" s="1"/>
      <c r="E49" s="2" t="str">
        <f ca="1">IFERROR(__xludf.DUMMYFUNCTION("""COMPUTED_VALUE"""),"DRE - ABAETETUBA")</f>
        <v>DRE - ABAETETUBA</v>
      </c>
      <c r="F49" s="1">
        <f ca="1">IFERROR(__xludf.DUMMYFUNCTION("""COMPUTED_VALUE"""),3)</f>
        <v>3</v>
      </c>
      <c r="G49" s="1" t="str">
        <f ca="1">IFERROR(__xludf.DUMMYFUNCTION("""COMPUTED_VALUE"""),"DRE ABAETETUBA")</f>
        <v>DRE ABAETETUBA</v>
      </c>
      <c r="H49" s="1" t="str">
        <f ca="1">IFERROR(__xludf.DUMMYFUNCTION("""COMPUTED_VALUE"""),"03A URE - ABAETETUBA")</f>
        <v>03A URE - ABAETETUBA</v>
      </c>
      <c r="I49" s="1"/>
      <c r="J49" s="1" t="str">
        <f ca="1">IFERROR(__xludf.DUMMYFUNCTION("""COMPUTED_VALUE"""),"IGARAPE-MIRI")</f>
        <v>IGARAPE-MIRI</v>
      </c>
      <c r="K49" s="1"/>
      <c r="L49" s="2" t="str">
        <f ca="1">IFERROR(__xludf.DUMMYFUNCTION("""COMPUTED_VALUE"""),"001920972000000")</f>
        <v>001920972000000</v>
      </c>
      <c r="M49" s="2" t="str">
        <f ca="1">IFERROR(__xludf.DUMMYFUNCTION("""COMPUTED_VALUE"""),"1920972000000")</f>
        <v>1920972000000</v>
      </c>
      <c r="N49" s="1" t="str">
        <f ca="1">IFERROR(__xludf.DUMMYFUNCTION("""COMPUTED_VALUE"""),"ESCOLA ESTADUAL RURAL DE IGARAPE")</f>
        <v>ESCOLA ESTADUAL RURAL DE IGARAPE</v>
      </c>
      <c r="O49" s="1"/>
      <c r="P49" s="1"/>
      <c r="Q49" s="1" t="s">
        <v>3</v>
      </c>
    </row>
    <row r="50" spans="1:17" x14ac:dyDescent="0.25">
      <c r="A50" s="2" t="str">
        <f ca="1">IFERROR(__xludf.DUMMYFUNCTION("""COMPUTED_VALUE"""),"REG DE INTEGRA DO TOCANTINS")</f>
        <v>REG DE INTEGRA DO TOCANTINS</v>
      </c>
      <c r="B50" s="1" t="str">
        <f ca="1">IFERROR(__xludf.DUMMYFUNCTION("""COMPUTED_VALUE"""),"DRE ABAETETUBA")</f>
        <v>DRE ABAETETUBA</v>
      </c>
      <c r="C50" s="2" t="str">
        <f ca="1">IFERROR(__xludf.DUMMYFUNCTION("""COMPUTED_VALUE"""),"DRE - ABAETETUBA")</f>
        <v>DRE - ABAETETUBA</v>
      </c>
      <c r="D50" s="1"/>
      <c r="E50" s="2" t="str">
        <f ca="1">IFERROR(__xludf.DUMMYFUNCTION("""COMPUTED_VALUE"""),"DRE - ABAETETUBA")</f>
        <v>DRE - ABAETETUBA</v>
      </c>
      <c r="F50" s="1">
        <f ca="1">IFERROR(__xludf.DUMMYFUNCTION("""COMPUTED_VALUE"""),3)</f>
        <v>3</v>
      </c>
      <c r="G50" s="1" t="str">
        <f ca="1">IFERROR(__xludf.DUMMYFUNCTION("""COMPUTED_VALUE"""),"DRE ABAETETUBA")</f>
        <v>DRE ABAETETUBA</v>
      </c>
      <c r="H50" s="1" t="str">
        <f ca="1">IFERROR(__xludf.DUMMYFUNCTION("""COMPUTED_VALUE"""),"03A URE - ABAETETUBA")</f>
        <v>03A URE - ABAETETUBA</v>
      </c>
      <c r="I50" s="1"/>
      <c r="J50" s="1" t="str">
        <f ca="1">IFERROR(__xludf.DUMMYFUNCTION("""COMPUTED_VALUE"""),"MOJU")</f>
        <v>MOJU</v>
      </c>
      <c r="K50" s="1">
        <f ca="1">IFERROR(__xludf.DUMMYFUNCTION("""COMPUTED_VALUE"""),15177483)</f>
        <v>15177483</v>
      </c>
      <c r="L50" s="2" t="str">
        <f ca="1">IFERROR(__xludf.DUMMYFUNCTION("""COMPUTED_VALUE"""),"001920902510001")</f>
        <v>001920902510001</v>
      </c>
      <c r="M50" s="2" t="str">
        <f ca="1">IFERROR(__xludf.DUMMYFUNCTION("""COMPUTED_VALUE"""),"1920902510001")</f>
        <v>1920902510001</v>
      </c>
      <c r="N50" s="1" t="str">
        <f ca="1">IFERROR(__xludf.DUMMYFUNCTION("""COMPUTED_VALUE"""),"ANEXO RURAL PROFA ERNESTINA PEREIRA MAIA")</f>
        <v>ANEXO RURAL PROFA ERNESTINA PEREIRA MAIA</v>
      </c>
      <c r="O50" s="1"/>
      <c r="P50" s="1"/>
      <c r="Q50" s="1" t="s">
        <v>3</v>
      </c>
    </row>
    <row r="51" spans="1:17" x14ac:dyDescent="0.25">
      <c r="A51" s="2" t="str">
        <f ca="1">IFERROR(__xludf.DUMMYFUNCTION("""COMPUTED_VALUE"""),"REG DE INTEGRA DO TOCANTINS")</f>
        <v>REG DE INTEGRA DO TOCANTINS</v>
      </c>
      <c r="B51" s="1" t="str">
        <f ca="1">IFERROR(__xludf.DUMMYFUNCTION("""COMPUTED_VALUE"""),"DRE ABAETETUBA")</f>
        <v>DRE ABAETETUBA</v>
      </c>
      <c r="C51" s="2" t="str">
        <f ca="1">IFERROR(__xludf.DUMMYFUNCTION("""COMPUTED_VALUE"""),"DRE - ABAETETUBA")</f>
        <v>DRE - ABAETETUBA</v>
      </c>
      <c r="D51" s="1"/>
      <c r="E51" s="2" t="str">
        <f ca="1">IFERROR(__xludf.DUMMYFUNCTION("""COMPUTED_VALUE"""),"DRE - ABAETETUBA")</f>
        <v>DRE - ABAETETUBA</v>
      </c>
      <c r="F51" s="1">
        <f ca="1">IFERROR(__xludf.DUMMYFUNCTION("""COMPUTED_VALUE"""),3)</f>
        <v>3</v>
      </c>
      <c r="G51" s="1" t="str">
        <f ca="1">IFERROR(__xludf.DUMMYFUNCTION("""COMPUTED_VALUE"""),"DRE ABAETETUBA")</f>
        <v>DRE ABAETETUBA</v>
      </c>
      <c r="H51" s="1" t="str">
        <f ca="1">IFERROR(__xludf.DUMMYFUNCTION("""COMPUTED_VALUE"""),"03A URE - ABAETETUBA")</f>
        <v>03A URE - ABAETETUBA</v>
      </c>
      <c r="I51" s="1"/>
      <c r="J51" s="1" t="str">
        <f ca="1">IFERROR(__xludf.DUMMYFUNCTION("""COMPUTED_VALUE"""),"MOJU")</f>
        <v>MOJU</v>
      </c>
      <c r="K51" s="1">
        <f ca="1">IFERROR(__xludf.DUMMYFUNCTION("""COMPUTED_VALUE"""),15587711)</f>
        <v>15587711</v>
      </c>
      <c r="L51" s="2" t="str">
        <f ca="1">IFERROR(__xludf.DUMMYFUNCTION("""COMPUTED_VALUE"""),"001920910750000")</f>
        <v>001920910750000</v>
      </c>
      <c r="M51" s="2" t="str">
        <f ca="1">IFERROR(__xludf.DUMMYFUNCTION("""COMPUTED_VALUE"""),"1920910750000")</f>
        <v>1920910750000</v>
      </c>
      <c r="N51" s="1" t="str">
        <f ca="1">IFERROR(__xludf.DUMMYFUNCTION("""COMPUTED_VALUE"""),"EEEM ANTONIO DE OLIVEIRA GORDO")</f>
        <v>EEEM ANTONIO DE OLIVEIRA GORDO</v>
      </c>
      <c r="O51" s="1"/>
      <c r="P51" s="1"/>
      <c r="Q51" s="1" t="s">
        <v>3</v>
      </c>
    </row>
    <row r="52" spans="1:17" x14ac:dyDescent="0.25">
      <c r="A52" s="2" t="str">
        <f ca="1">IFERROR(__xludf.DUMMYFUNCTION("""COMPUTED_VALUE"""),"REG DE INTEGRA DO TOCANTINS")</f>
        <v>REG DE INTEGRA DO TOCANTINS</v>
      </c>
      <c r="B52" s="1" t="str">
        <f ca="1">IFERROR(__xludf.DUMMYFUNCTION("""COMPUTED_VALUE"""),"DRE ABAETETUBA")</f>
        <v>DRE ABAETETUBA</v>
      </c>
      <c r="C52" s="2" t="str">
        <f ca="1">IFERROR(__xludf.DUMMYFUNCTION("""COMPUTED_VALUE"""),"DRE - ABAETETUBA")</f>
        <v>DRE - ABAETETUBA</v>
      </c>
      <c r="D52" s="1"/>
      <c r="E52" s="2" t="str">
        <f ca="1">IFERROR(__xludf.DUMMYFUNCTION("""COMPUTED_VALUE"""),"DRE - ABAETETUBA")</f>
        <v>DRE - ABAETETUBA</v>
      </c>
      <c r="F52" s="1">
        <f ca="1">IFERROR(__xludf.DUMMYFUNCTION("""COMPUTED_VALUE"""),3)</f>
        <v>3</v>
      </c>
      <c r="G52" s="1" t="str">
        <f ca="1">IFERROR(__xludf.DUMMYFUNCTION("""COMPUTED_VALUE"""),"DRE ABAETETUBA")</f>
        <v>DRE ABAETETUBA</v>
      </c>
      <c r="H52" s="1" t="str">
        <f ca="1">IFERROR(__xludf.DUMMYFUNCTION("""COMPUTED_VALUE"""),"03A URE - ABAETETUBA")</f>
        <v>03A URE - ABAETETUBA</v>
      </c>
      <c r="I52" s="1"/>
      <c r="J52" s="1" t="str">
        <f ca="1">IFERROR(__xludf.DUMMYFUNCTION("""COMPUTED_VALUE"""),"MOJU")</f>
        <v>MOJU</v>
      </c>
      <c r="K52" s="1">
        <f ca="1">IFERROR(__xludf.DUMMYFUNCTION("""COMPUTED_VALUE"""),15166562)</f>
        <v>15166562</v>
      </c>
      <c r="L52" s="2" t="str">
        <f ca="1">IFERROR(__xludf.DUMMYFUNCTION("""COMPUTED_VALUE"""),"001920937250000")</f>
        <v>001920937250000</v>
      </c>
      <c r="M52" s="2" t="str">
        <f ca="1">IFERROR(__xludf.DUMMYFUNCTION("""COMPUTED_VALUE"""),"1920937250000")</f>
        <v>1920937250000</v>
      </c>
      <c r="N52" s="1" t="str">
        <f ca="1">IFERROR(__xludf.DUMMYFUNCTION("""COMPUTED_VALUE"""),"EEEM PROF ECILA PANTOJA DA ROCHA")</f>
        <v>EEEM PROF ECILA PANTOJA DA ROCHA</v>
      </c>
      <c r="O52" s="1"/>
      <c r="P52" s="1"/>
      <c r="Q52" s="1" t="s">
        <v>3</v>
      </c>
    </row>
    <row r="53" spans="1:17" x14ac:dyDescent="0.25">
      <c r="A53" s="2" t="str">
        <f ca="1">IFERROR(__xludf.DUMMYFUNCTION("""COMPUTED_VALUE"""),"REG DE INTEGRA DO TOCANTINS")</f>
        <v>REG DE INTEGRA DO TOCANTINS</v>
      </c>
      <c r="B53" s="1" t="str">
        <f ca="1">IFERROR(__xludf.DUMMYFUNCTION("""COMPUTED_VALUE"""),"DRE ABAETETUBA")</f>
        <v>DRE ABAETETUBA</v>
      </c>
      <c r="C53" s="2" t="str">
        <f ca="1">IFERROR(__xludf.DUMMYFUNCTION("""COMPUTED_VALUE"""),"DRE - ABAETETUBA")</f>
        <v>DRE - ABAETETUBA</v>
      </c>
      <c r="D53" s="1"/>
      <c r="E53" s="2" t="str">
        <f ca="1">IFERROR(__xludf.DUMMYFUNCTION("""COMPUTED_VALUE"""),"DRE - ABAETETUBA")</f>
        <v>DRE - ABAETETUBA</v>
      </c>
      <c r="F53" s="1">
        <f ca="1">IFERROR(__xludf.DUMMYFUNCTION("""COMPUTED_VALUE"""),3)</f>
        <v>3</v>
      </c>
      <c r="G53" s="1" t="str">
        <f ca="1">IFERROR(__xludf.DUMMYFUNCTION("""COMPUTED_VALUE"""),"DRE ABAETETUBA")</f>
        <v>DRE ABAETETUBA</v>
      </c>
      <c r="H53" s="1" t="str">
        <f ca="1">IFERROR(__xludf.DUMMYFUNCTION("""COMPUTED_VALUE"""),"03A URE - ABAETETUBA")</f>
        <v>03A URE - ABAETETUBA</v>
      </c>
      <c r="I53" s="1"/>
      <c r="J53" s="1" t="str">
        <f ca="1">IFERROR(__xludf.DUMMYFUNCTION("""COMPUTED_VALUE"""),"MOJU")</f>
        <v>MOJU</v>
      </c>
      <c r="K53" s="1">
        <f ca="1">IFERROR(__xludf.DUMMYFUNCTION("""COMPUTED_VALUE"""),15568873)</f>
        <v>15568873</v>
      </c>
      <c r="L53" s="2" t="str">
        <f ca="1">IFERROR(__xludf.DUMMYFUNCTION("""COMPUTED_VALUE"""),"001920902510000")</f>
        <v>001920902510000</v>
      </c>
      <c r="M53" s="2" t="str">
        <f ca="1">IFERROR(__xludf.DUMMYFUNCTION("""COMPUTED_VALUE"""),"1920902510000")</f>
        <v>1920902510000</v>
      </c>
      <c r="N53" s="1" t="str">
        <f ca="1">IFERROR(__xludf.DUMMYFUNCTION("""COMPUTED_VALUE"""),"EEEM PROFA ERNESTINA PEREIRA MAIA")</f>
        <v>EEEM PROFA ERNESTINA PEREIRA MAIA</v>
      </c>
      <c r="O53" s="1"/>
      <c r="P53" s="1"/>
      <c r="Q53" s="1" t="s">
        <v>3</v>
      </c>
    </row>
    <row r="54" spans="1:17" x14ac:dyDescent="0.25">
      <c r="A54" s="2" t="str">
        <f ca="1">IFERROR(__xludf.DUMMYFUNCTION("""COMPUTED_VALUE"""),"REG DE INTEGRA DO TOCANTINS")</f>
        <v>REG DE INTEGRA DO TOCANTINS</v>
      </c>
      <c r="B54" s="1" t="str">
        <f ca="1">IFERROR(__xludf.DUMMYFUNCTION("""COMPUTED_VALUE"""),"DRE ABAETETUBA")</f>
        <v>DRE ABAETETUBA</v>
      </c>
      <c r="C54" s="2" t="str">
        <f ca="1">IFERROR(__xludf.DUMMYFUNCTION("""COMPUTED_VALUE"""),"DRE - ABAETETUBA")</f>
        <v>DRE - ABAETETUBA</v>
      </c>
      <c r="D54" s="1"/>
      <c r="E54" s="2" t="str">
        <f ca="1">IFERROR(__xludf.DUMMYFUNCTION("""COMPUTED_VALUE"""),"DRE - ABAETETUBA")</f>
        <v>DRE - ABAETETUBA</v>
      </c>
      <c r="F54" s="1">
        <f ca="1">IFERROR(__xludf.DUMMYFUNCTION("""COMPUTED_VALUE"""),3)</f>
        <v>3</v>
      </c>
      <c r="G54" s="1" t="str">
        <f ca="1">IFERROR(__xludf.DUMMYFUNCTION("""COMPUTED_VALUE"""),"DRE ABAETETUBA")</f>
        <v>DRE ABAETETUBA</v>
      </c>
      <c r="H54" s="1" t="str">
        <f ca="1">IFERROR(__xludf.DUMMYFUNCTION("""COMPUTED_VALUE"""),"03A URE - ABAETETUBA")</f>
        <v>03A URE - ABAETETUBA</v>
      </c>
      <c r="I54" s="1"/>
      <c r="J54" s="1" t="str">
        <f ca="1">IFERROR(__xludf.DUMMYFUNCTION("""COMPUTED_VALUE"""),"MOJU")</f>
        <v>MOJU</v>
      </c>
      <c r="K54" s="1">
        <f ca="1">IFERROR(__xludf.DUMMYFUNCTION("""COMPUTED_VALUE"""),15572200)</f>
        <v>15572200</v>
      </c>
      <c r="L54" s="2" t="str">
        <f ca="1">IFERROR(__xludf.DUMMYFUNCTION("""COMPUTED_VALUE"""),"001920937950000")</f>
        <v>001920937950000</v>
      </c>
      <c r="M54" s="2" t="str">
        <f ca="1">IFERROR(__xludf.DUMMYFUNCTION("""COMPUTED_VALUE"""),"1920937950000")</f>
        <v>1920937950000</v>
      </c>
      <c r="N54" s="1" t="str">
        <f ca="1">IFERROR(__xludf.DUMMYFUNCTION("""COMPUTED_VALUE"""),"ERC CASA MARIA DO CARMO CARDOSO NERY - APAE")</f>
        <v>ERC CASA MARIA DO CARMO CARDOSO NERY - APAE</v>
      </c>
      <c r="O54" s="1"/>
      <c r="P54" s="1"/>
      <c r="Q54" s="1" t="s">
        <v>3</v>
      </c>
    </row>
    <row r="55" spans="1:17" x14ac:dyDescent="0.25">
      <c r="A55" s="2" t="str">
        <f ca="1">IFERROR(__xludf.DUMMYFUNCTION("""COMPUTED_VALUE"""),"REG DE INTEGRA DO TOCANTINS")</f>
        <v>REG DE INTEGRA DO TOCANTINS</v>
      </c>
      <c r="B55" s="1" t="str">
        <f ca="1">IFERROR(__xludf.DUMMYFUNCTION("""COMPUTED_VALUE"""),"DRE ABAETETUBA")</f>
        <v>DRE ABAETETUBA</v>
      </c>
      <c r="C55" s="2" t="str">
        <f ca="1">IFERROR(__xludf.DUMMYFUNCTION("""COMPUTED_VALUE"""),"DRE - ABAETETUBA")</f>
        <v>DRE - ABAETETUBA</v>
      </c>
      <c r="D55" s="1"/>
      <c r="E55" s="2" t="str">
        <f ca="1">IFERROR(__xludf.DUMMYFUNCTION("""COMPUTED_VALUE"""),"DRE - ABAETETUBA")</f>
        <v>DRE - ABAETETUBA</v>
      </c>
      <c r="F55" s="1">
        <f ca="1">IFERROR(__xludf.DUMMYFUNCTION("""COMPUTED_VALUE"""),3)</f>
        <v>3</v>
      </c>
      <c r="G55" s="1" t="str">
        <f ca="1">IFERROR(__xludf.DUMMYFUNCTION("""COMPUTED_VALUE"""),"DRE ABAETETUBA")</f>
        <v>DRE ABAETETUBA</v>
      </c>
      <c r="H55" s="1" t="str">
        <f ca="1">IFERROR(__xludf.DUMMYFUNCTION("""COMPUTED_VALUE"""),"03A URE - ABAETETUBA")</f>
        <v>03A URE - ABAETETUBA</v>
      </c>
      <c r="I55" s="1"/>
      <c r="J55" s="1" t="str">
        <f ca="1">IFERROR(__xludf.DUMMYFUNCTION("""COMPUTED_VALUE"""),"MOJU")</f>
        <v>MOJU</v>
      </c>
      <c r="K55" s="1"/>
      <c r="L55" s="2" t="str">
        <f ca="1">IFERROR(__xludf.DUMMYFUNCTION("""COMPUTED_VALUE"""),"001920973000000")</f>
        <v>001920973000000</v>
      </c>
      <c r="M55" s="2" t="str">
        <f ca="1">IFERROR(__xludf.DUMMYFUNCTION("""COMPUTED_VALUE"""),"1920973000000")</f>
        <v>1920973000000</v>
      </c>
      <c r="N55" s="1" t="str">
        <f ca="1">IFERROR(__xludf.DUMMYFUNCTION("""COMPUTED_VALUE"""),"ESCOLA ESTADUAL RURAL DE MOJU")</f>
        <v>ESCOLA ESTADUAL RURAL DE MOJU</v>
      </c>
      <c r="O55" s="1"/>
      <c r="P55" s="1"/>
      <c r="Q55" s="1" t="s">
        <v>3</v>
      </c>
    </row>
    <row r="56" spans="1:17" x14ac:dyDescent="0.25">
      <c r="A56" s="2" t="str">
        <f ca="1">IFERROR(__xludf.DUMMYFUNCTION("""COMPUTED_VALUE"""),"REG DE INTEGRA DO TOCANTINS")</f>
        <v>REG DE INTEGRA DO TOCANTINS</v>
      </c>
      <c r="B56" s="1" t="str">
        <f ca="1">IFERROR(__xludf.DUMMYFUNCTION("""COMPUTED_VALUE"""),"DRE ABAETETUBA")</f>
        <v>DRE ABAETETUBA</v>
      </c>
      <c r="C56" s="2" t="str">
        <f ca="1">IFERROR(__xludf.DUMMYFUNCTION("""COMPUTED_VALUE"""),"DRE - ABAETETUBA")</f>
        <v>DRE - ABAETETUBA</v>
      </c>
      <c r="D56" s="1"/>
      <c r="E56" s="2" t="str">
        <f ca="1">IFERROR(__xludf.DUMMYFUNCTION("""COMPUTED_VALUE"""),"DRE - ABAETETUBA")</f>
        <v>DRE - ABAETETUBA</v>
      </c>
      <c r="F56" s="1">
        <f ca="1">IFERROR(__xludf.DUMMYFUNCTION("""COMPUTED_VALUE"""),3)</f>
        <v>3</v>
      </c>
      <c r="G56" s="1" t="str">
        <f ca="1">IFERROR(__xludf.DUMMYFUNCTION("""COMPUTED_VALUE"""),"DRE ABAETETUBA")</f>
        <v>DRE ABAETETUBA</v>
      </c>
      <c r="H56" s="1" t="str">
        <f ca="1">IFERROR(__xludf.DUMMYFUNCTION("""COMPUTED_VALUE"""),"03A URE - ABAETETUBA")</f>
        <v>03A URE - ABAETETUBA</v>
      </c>
      <c r="I56" s="1"/>
      <c r="J56" s="1" t="str">
        <f ca="1">IFERROR(__xludf.DUMMYFUNCTION("""COMPUTED_VALUE"""),"TAILANDIA")</f>
        <v>TAILANDIA</v>
      </c>
      <c r="K56" s="1">
        <f ca="1">IFERROR(__xludf.DUMMYFUNCTION("""COMPUTED_VALUE"""),15164535)</f>
        <v>15164535</v>
      </c>
      <c r="L56" s="2" t="str">
        <f ca="1">IFERROR(__xludf.DUMMYFUNCTION("""COMPUTED_VALUE"""),"001920937800000")</f>
        <v>001920937800000</v>
      </c>
      <c r="M56" s="2" t="str">
        <f ca="1">IFERROR(__xludf.DUMMYFUNCTION("""COMPUTED_VALUE"""),"1920937800000")</f>
        <v>1920937800000</v>
      </c>
      <c r="N56" s="1" t="str">
        <f ca="1">IFERROR(__xludf.DUMMYFUNCTION("""COMPUTED_VALUE"""),"EEEM DELCIMAR ALVES DA SILVA")</f>
        <v>EEEM DELCIMAR ALVES DA SILVA</v>
      </c>
      <c r="O56" s="1"/>
      <c r="P56" s="1"/>
      <c r="Q56" s="1" t="s">
        <v>3</v>
      </c>
    </row>
    <row r="57" spans="1:17" x14ac:dyDescent="0.25">
      <c r="A57" s="2" t="str">
        <f ca="1">IFERROR(__xludf.DUMMYFUNCTION("""COMPUTED_VALUE"""),"REG DE INTEGRA DO TOCANTINS")</f>
        <v>REG DE INTEGRA DO TOCANTINS</v>
      </c>
      <c r="B57" s="1" t="str">
        <f ca="1">IFERROR(__xludf.DUMMYFUNCTION("""COMPUTED_VALUE"""),"DRE ABAETETUBA")</f>
        <v>DRE ABAETETUBA</v>
      </c>
      <c r="C57" s="2" t="str">
        <f ca="1">IFERROR(__xludf.DUMMYFUNCTION("""COMPUTED_VALUE"""),"DRE - ABAETETUBA")</f>
        <v>DRE - ABAETETUBA</v>
      </c>
      <c r="D57" s="1"/>
      <c r="E57" s="2" t="str">
        <f ca="1">IFERROR(__xludf.DUMMYFUNCTION("""COMPUTED_VALUE"""),"DRE - ABAETETUBA")</f>
        <v>DRE - ABAETETUBA</v>
      </c>
      <c r="F57" s="1">
        <f ca="1">IFERROR(__xludf.DUMMYFUNCTION("""COMPUTED_VALUE"""),3)</f>
        <v>3</v>
      </c>
      <c r="G57" s="1" t="str">
        <f ca="1">IFERROR(__xludf.DUMMYFUNCTION("""COMPUTED_VALUE"""),"DRE ABAETETUBA")</f>
        <v>DRE ABAETETUBA</v>
      </c>
      <c r="H57" s="1" t="str">
        <f ca="1">IFERROR(__xludf.DUMMYFUNCTION("""COMPUTED_VALUE"""),"03A URE - ABAETETUBA")</f>
        <v>03A URE - ABAETETUBA</v>
      </c>
      <c r="I57" s="1"/>
      <c r="J57" s="1" t="str">
        <f ca="1">IFERROR(__xludf.DUMMYFUNCTION("""COMPUTED_VALUE"""),"TAILANDIA")</f>
        <v>TAILANDIA</v>
      </c>
      <c r="K57" s="1">
        <f ca="1">IFERROR(__xludf.DUMMYFUNCTION("""COMPUTED_VALUE"""),15156788)</f>
        <v>15156788</v>
      </c>
      <c r="L57" s="2" t="str">
        <f ca="1">IFERROR(__xludf.DUMMYFUNCTION("""COMPUTED_VALUE"""),"001920937600000")</f>
        <v>001920937600000</v>
      </c>
      <c r="M57" s="2" t="str">
        <f ca="1">IFERROR(__xludf.DUMMYFUNCTION("""COMPUTED_VALUE"""),"1920937600000")</f>
        <v>1920937600000</v>
      </c>
      <c r="N57" s="1" t="str">
        <f ca="1">IFERROR(__xludf.DUMMYFUNCTION("""COMPUTED_VALUE"""),"EEEM ERIBERTO JASPER")</f>
        <v>EEEM ERIBERTO JASPER</v>
      </c>
      <c r="O57" s="1"/>
      <c r="P57" s="1"/>
      <c r="Q57" s="1" t="s">
        <v>3</v>
      </c>
    </row>
    <row r="58" spans="1:17" x14ac:dyDescent="0.25">
      <c r="A58" s="2" t="str">
        <f ca="1">IFERROR(__xludf.DUMMYFUNCTION("""COMPUTED_VALUE"""),"REG DE INTEGRA DO TOCANTINS")</f>
        <v>REG DE INTEGRA DO TOCANTINS</v>
      </c>
      <c r="B58" s="1" t="str">
        <f ca="1">IFERROR(__xludf.DUMMYFUNCTION("""COMPUTED_VALUE"""),"DRE ABAETETUBA")</f>
        <v>DRE ABAETETUBA</v>
      </c>
      <c r="C58" s="2" t="str">
        <f ca="1">IFERROR(__xludf.DUMMYFUNCTION("""COMPUTED_VALUE"""),"DRE - ABAETETUBA")</f>
        <v>DRE - ABAETETUBA</v>
      </c>
      <c r="D58" s="1"/>
      <c r="E58" s="2" t="str">
        <f ca="1">IFERROR(__xludf.DUMMYFUNCTION("""COMPUTED_VALUE"""),"DRE - ABAETETUBA")</f>
        <v>DRE - ABAETETUBA</v>
      </c>
      <c r="F58" s="1">
        <f ca="1">IFERROR(__xludf.DUMMYFUNCTION("""COMPUTED_VALUE"""),3)</f>
        <v>3</v>
      </c>
      <c r="G58" s="1" t="str">
        <f ca="1">IFERROR(__xludf.DUMMYFUNCTION("""COMPUTED_VALUE"""),"DRE ABAETETUBA")</f>
        <v>DRE ABAETETUBA</v>
      </c>
      <c r="H58" s="1" t="str">
        <f ca="1">IFERROR(__xludf.DUMMYFUNCTION("""COMPUTED_VALUE"""),"03A URE - ABAETETUBA")</f>
        <v>03A URE - ABAETETUBA</v>
      </c>
      <c r="I58" s="1"/>
      <c r="J58" s="1" t="str">
        <f ca="1">IFERROR(__xludf.DUMMYFUNCTION("""COMPUTED_VALUE"""),"TAILANDIA")</f>
        <v>TAILANDIA</v>
      </c>
      <c r="K58" s="1">
        <f ca="1">IFERROR(__xludf.DUMMYFUNCTION("""COMPUTED_VALUE"""),15084434)</f>
        <v>15084434</v>
      </c>
      <c r="L58" s="2" t="str">
        <f ca="1">IFERROR(__xludf.DUMMYFUNCTION("""COMPUTED_VALUE"""),"001920929860000")</f>
        <v>001920929860000</v>
      </c>
      <c r="M58" s="2" t="str">
        <f ca="1">IFERROR(__xludf.DUMMYFUNCTION("""COMPUTED_VALUE"""),"1920929860000")</f>
        <v>1920929860000</v>
      </c>
      <c r="N58" s="1" t="str">
        <f ca="1">IFERROR(__xludf.DUMMYFUNCTION("""COMPUTED_VALUE"""),"EEEM SAO FRANCISCO DE ASSIS SEDE")</f>
        <v>EEEM SAO FRANCISCO DE ASSIS SEDE</v>
      </c>
      <c r="O58" s="1"/>
      <c r="P58" s="1"/>
      <c r="Q58" s="1" t="s">
        <v>3</v>
      </c>
    </row>
    <row r="59" spans="1:17" x14ac:dyDescent="0.25">
      <c r="A59" s="2" t="str">
        <f ca="1">IFERROR(__xludf.DUMMYFUNCTION("""COMPUTED_VALUE"""),"REG DE INTEGRA DO TOCANTINS")</f>
        <v>REG DE INTEGRA DO TOCANTINS</v>
      </c>
      <c r="B59" s="1" t="str">
        <f ca="1">IFERROR(__xludf.DUMMYFUNCTION("""COMPUTED_VALUE"""),"DRE ABAETETUBA")</f>
        <v>DRE ABAETETUBA</v>
      </c>
      <c r="C59" s="2" t="str">
        <f ca="1">IFERROR(__xludf.DUMMYFUNCTION("""COMPUTED_VALUE"""),"DRE - ABAETETUBA")</f>
        <v>DRE - ABAETETUBA</v>
      </c>
      <c r="D59" s="1"/>
      <c r="E59" s="2" t="str">
        <f ca="1">IFERROR(__xludf.DUMMYFUNCTION("""COMPUTED_VALUE"""),"DRE - ABAETETUBA")</f>
        <v>DRE - ABAETETUBA</v>
      </c>
      <c r="F59" s="1">
        <f ca="1">IFERROR(__xludf.DUMMYFUNCTION("""COMPUTED_VALUE"""),3)</f>
        <v>3</v>
      </c>
      <c r="G59" s="1" t="str">
        <f ca="1">IFERROR(__xludf.DUMMYFUNCTION("""COMPUTED_VALUE"""),"DRE ABAETETUBA")</f>
        <v>DRE ABAETETUBA</v>
      </c>
      <c r="H59" s="1" t="str">
        <f ca="1">IFERROR(__xludf.DUMMYFUNCTION("""COMPUTED_VALUE"""),"03A URE - ABAETETUBA")</f>
        <v>03A URE - ABAETETUBA</v>
      </c>
      <c r="I59" s="1"/>
      <c r="J59" s="1" t="str">
        <f ca="1">IFERROR(__xludf.DUMMYFUNCTION("""COMPUTED_VALUE"""),"TAILANDIA")</f>
        <v>TAILANDIA</v>
      </c>
      <c r="K59" s="1">
        <f ca="1">IFERROR(__xludf.DUMMYFUNCTION("""COMPUTED_VALUE"""),15587916)</f>
        <v>15587916</v>
      </c>
      <c r="L59" s="2" t="str">
        <f ca="1">IFERROR(__xludf.DUMMYFUNCTION("""COMPUTED_VALUE"""),"001920937400000")</f>
        <v>001920937400000</v>
      </c>
      <c r="M59" s="2" t="str">
        <f ca="1">IFERROR(__xludf.DUMMYFUNCTION("""COMPUTED_VALUE"""),"1920937400000")</f>
        <v>1920937400000</v>
      </c>
      <c r="N59" s="1" t="str">
        <f ca="1">IFERROR(__xludf.DUMMYFUNCTION("""COMPUTED_VALUE"""),"EEETEPA - TAILANDIA")</f>
        <v>EEETEPA - TAILANDIA</v>
      </c>
      <c r="O59" s="1"/>
      <c r="P59" s="1"/>
      <c r="Q59" s="1" t="s">
        <v>3</v>
      </c>
    </row>
    <row r="60" spans="1:17" x14ac:dyDescent="0.25">
      <c r="A60" s="2" t="str">
        <f ca="1">IFERROR(__xludf.DUMMYFUNCTION("""COMPUTED_VALUE"""),"REG DE INTEGRA DO MARAJO")</f>
        <v>REG DE INTEGRA DO MARAJO</v>
      </c>
      <c r="B60" s="1" t="str">
        <f ca="1">IFERROR(__xludf.DUMMYFUNCTION("""COMPUTED_VALUE"""),"DRE AFUA")</f>
        <v>DRE AFUA</v>
      </c>
      <c r="C60" s="2" t="str">
        <f ca="1">IFERROR(__xludf.DUMMYFUNCTION("""COMPUTED_VALUE"""),"DRE - AFUA")</f>
        <v>DRE - AFUA</v>
      </c>
      <c r="D60" s="1"/>
      <c r="E60" s="2" t="str">
        <f ca="1">IFERROR(__xludf.DUMMYFUNCTION("""COMPUTED_VALUE"""),"DRE - AFUA")</f>
        <v>DRE - AFUA</v>
      </c>
      <c r="F60" s="1">
        <f ca="1">IFERROR(__xludf.DUMMYFUNCTION("""COMPUTED_VALUE"""),1)</f>
        <v>1</v>
      </c>
      <c r="G60" s="1"/>
      <c r="H60" s="1" t="str">
        <f ca="1">IFERROR(__xludf.DUMMYFUNCTION("""COMPUTED_VALUE"""),"13A URE - BREVES")</f>
        <v>13A URE - BREVES</v>
      </c>
      <c r="I60" s="1"/>
      <c r="J60" s="1" t="str">
        <f ca="1">IFERROR(__xludf.DUMMYFUNCTION("""COMPUTED_VALUE"""),"AFUA")</f>
        <v>AFUA</v>
      </c>
      <c r="K60" s="1">
        <f ca="1">IFERROR(__xludf.DUMMYFUNCTION("""COMPUTED_VALUE"""),15178200)</f>
        <v>15178200</v>
      </c>
      <c r="L60" s="2" t="str">
        <f ca="1">IFERROR(__xludf.DUMMYFUNCTION("""COMPUTED_VALUE"""),"001920937170001")</f>
        <v>001920937170001</v>
      </c>
      <c r="M60" s="2" t="str">
        <f ca="1">IFERROR(__xludf.DUMMYFUNCTION("""COMPUTED_VALUE"""),"1920937170001")</f>
        <v>1920937170001</v>
      </c>
      <c r="N60" s="1" t="str">
        <f ca="1">IFERROR(__xludf.DUMMYFUNCTION("""COMPUTED_VALUE"""),"ANEXO RURAL LEOPOLDINA GUERREIRO")</f>
        <v>ANEXO RURAL LEOPOLDINA GUERREIRO</v>
      </c>
      <c r="O60" s="1"/>
      <c r="P60" s="1"/>
      <c r="Q60" s="1" t="s">
        <v>62</v>
      </c>
    </row>
    <row r="61" spans="1:17" x14ac:dyDescent="0.25">
      <c r="A61" s="2" t="str">
        <f ca="1">IFERROR(__xludf.DUMMYFUNCTION("""COMPUTED_VALUE"""),"REG DE INTEGRA DO MARAJO")</f>
        <v>REG DE INTEGRA DO MARAJO</v>
      </c>
      <c r="B61" s="1" t="str">
        <f ca="1">IFERROR(__xludf.DUMMYFUNCTION("""COMPUTED_VALUE"""),"DRE AFUA")</f>
        <v>DRE AFUA</v>
      </c>
      <c r="C61" s="2" t="str">
        <f ca="1">IFERROR(__xludf.DUMMYFUNCTION("""COMPUTED_VALUE"""),"DRE - AFUA")</f>
        <v>DRE - AFUA</v>
      </c>
      <c r="D61" s="1"/>
      <c r="E61" s="2" t="str">
        <f ca="1">IFERROR(__xludf.DUMMYFUNCTION("""COMPUTED_VALUE"""),"DRE - AFUA")</f>
        <v>DRE - AFUA</v>
      </c>
      <c r="F61" s="1">
        <f ca="1">IFERROR(__xludf.DUMMYFUNCTION("""COMPUTED_VALUE"""),1)</f>
        <v>1</v>
      </c>
      <c r="G61" s="1" t="str">
        <f ca="1">IFERROR(__xludf.DUMMYFUNCTION("""COMPUTED_VALUE"""),"DRE BREVES")</f>
        <v>DRE BREVES</v>
      </c>
      <c r="H61" s="1" t="str">
        <f ca="1">IFERROR(__xludf.DUMMYFUNCTION("""COMPUTED_VALUE"""),"13A URE - BREVES")</f>
        <v>13A URE - BREVES</v>
      </c>
      <c r="I61" s="1"/>
      <c r="J61" s="1" t="str">
        <f ca="1">IFERROR(__xludf.DUMMYFUNCTION("""COMPUTED_VALUE"""),"AFUA")</f>
        <v>AFUA</v>
      </c>
      <c r="K61" s="1">
        <f ca="1">IFERROR(__xludf.DUMMYFUNCTION("""COMPUTED_VALUE"""),15022617)</f>
        <v>15022617</v>
      </c>
      <c r="L61" s="2" t="str">
        <f ca="1">IFERROR(__xludf.DUMMYFUNCTION("""COMPUTED_VALUE"""),"001920937170000")</f>
        <v>001920937170000</v>
      </c>
      <c r="M61" s="2" t="str">
        <f ca="1">IFERROR(__xludf.DUMMYFUNCTION("""COMPUTED_VALUE"""),"1920937170000")</f>
        <v>1920937170000</v>
      </c>
      <c r="N61" s="1" t="str">
        <f ca="1">IFERROR(__xludf.DUMMYFUNCTION("""COMPUTED_VALUE"""),"EEEM LEOPOLDINA GUERREIRO")</f>
        <v>EEEM LEOPOLDINA GUERREIRO</v>
      </c>
      <c r="O61" s="1"/>
      <c r="P61" s="1"/>
      <c r="Q61" s="1" t="s">
        <v>62</v>
      </c>
    </row>
    <row r="62" spans="1:17" x14ac:dyDescent="0.25">
      <c r="A62" s="2" t="str">
        <f ca="1">IFERROR(__xludf.DUMMYFUNCTION("""COMPUTED_VALUE"""),"REG DE INTEGRA DO MARAJO")</f>
        <v>REG DE INTEGRA DO MARAJO</v>
      </c>
      <c r="B62" s="1" t="str">
        <f ca="1">IFERROR(__xludf.DUMMYFUNCTION("""COMPUTED_VALUE"""),"DRE AFUA")</f>
        <v>DRE AFUA</v>
      </c>
      <c r="C62" s="2" t="str">
        <f ca="1">IFERROR(__xludf.DUMMYFUNCTION("""COMPUTED_VALUE"""),"DRE - AFUA")</f>
        <v>DRE - AFUA</v>
      </c>
      <c r="D62" s="1"/>
      <c r="E62" s="2" t="str">
        <f ca="1">IFERROR(__xludf.DUMMYFUNCTION("""COMPUTED_VALUE"""),"DRE - AFUA")</f>
        <v>DRE - AFUA</v>
      </c>
      <c r="F62" s="1"/>
      <c r="G62" s="1"/>
      <c r="H62" s="1" t="str">
        <f ca="1">IFERROR(__xludf.DUMMYFUNCTION("""COMPUTED_VALUE"""),"13A URE - BREVES")</f>
        <v>13A URE - BREVES</v>
      </c>
      <c r="I62" s="1"/>
      <c r="J62" s="1" t="str">
        <f ca="1">IFERROR(__xludf.DUMMYFUNCTION("""COMPUTED_VALUE"""),"AFUA")</f>
        <v>AFUA</v>
      </c>
      <c r="K62" s="1"/>
      <c r="L62" s="2" t="str">
        <f ca="1">IFERROR(__xludf.DUMMYFUNCTION("""COMPUTED_VALUE"""),"001921019000000")</f>
        <v>001921019000000</v>
      </c>
      <c r="M62" s="2" t="str">
        <f ca="1">IFERROR(__xludf.DUMMYFUNCTION("""COMPUTED_VALUE"""),"1921019000000")</f>
        <v>1921019000000</v>
      </c>
      <c r="N62" s="1" t="str">
        <f ca="1">IFERROR(__xludf.DUMMYFUNCTION("""COMPUTED_VALUE"""),"ESCOLA ESTADUAL RURAL DE AFUA")</f>
        <v>ESCOLA ESTADUAL RURAL DE AFUA</v>
      </c>
      <c r="O62" s="1"/>
      <c r="P62" s="1"/>
      <c r="Q62" s="1" t="s">
        <v>62</v>
      </c>
    </row>
    <row r="63" spans="1:17" x14ac:dyDescent="0.25">
      <c r="A63" s="2" t="str">
        <f ca="1">IFERROR(__xludf.DUMMYFUNCTION("""COMPUTED_VALUE"""),"REG DE INTEGRA DO MARAJO")</f>
        <v>REG DE INTEGRA DO MARAJO</v>
      </c>
      <c r="B63" s="1" t="str">
        <f ca="1">IFERROR(__xludf.DUMMYFUNCTION("""COMPUTED_VALUE"""),"DRE AFUA")</f>
        <v>DRE AFUA</v>
      </c>
      <c r="C63" s="2" t="str">
        <f ca="1">IFERROR(__xludf.DUMMYFUNCTION("""COMPUTED_VALUE"""),"DRE - AFUA")</f>
        <v>DRE - AFUA</v>
      </c>
      <c r="D63" s="1"/>
      <c r="E63" s="2" t="str">
        <f ca="1">IFERROR(__xludf.DUMMYFUNCTION("""COMPUTED_VALUE"""),"DRE - AFUA")</f>
        <v>DRE - AFUA</v>
      </c>
      <c r="F63" s="1">
        <f ca="1">IFERROR(__xludf.DUMMYFUNCTION("""COMPUTED_VALUE"""),1)</f>
        <v>1</v>
      </c>
      <c r="G63" s="1"/>
      <c r="H63" s="1" t="str">
        <f ca="1">IFERROR(__xludf.DUMMYFUNCTION("""COMPUTED_VALUE"""),"13A URE - BREVES")</f>
        <v>13A URE - BREVES</v>
      </c>
      <c r="I63" s="1"/>
      <c r="J63" s="1" t="str">
        <f ca="1">IFERROR(__xludf.DUMMYFUNCTION("""COMPUTED_VALUE"""),"CHAVES")</f>
        <v>CHAVES</v>
      </c>
      <c r="K63" s="1">
        <f ca="1">IFERROR(__xludf.DUMMYFUNCTION("""COMPUTED_VALUE"""),15178234)</f>
        <v>15178234</v>
      </c>
      <c r="L63" s="2" t="str">
        <f ca="1">IFERROR(__xludf.DUMMYFUNCTION("""COMPUTED_VALUE"""),"001920923450001")</f>
        <v>001920923450001</v>
      </c>
      <c r="M63" s="2" t="str">
        <f ca="1">IFERROR(__xludf.DUMMYFUNCTION("""COMPUTED_VALUE"""),"1920923450001")</f>
        <v>1920923450001</v>
      </c>
      <c r="N63" s="1" t="str">
        <f ca="1">IFERROR(__xludf.DUMMYFUNCTION("""COMPUTED_VALUE"""),"ANEXO RURAL MAGALHAES BARATA")</f>
        <v>ANEXO RURAL MAGALHAES BARATA</v>
      </c>
      <c r="O63" s="1"/>
      <c r="P63" s="1"/>
      <c r="Q63" s="1" t="s">
        <v>62</v>
      </c>
    </row>
    <row r="64" spans="1:17" x14ac:dyDescent="0.25">
      <c r="A64" s="2" t="str">
        <f ca="1">IFERROR(__xludf.DUMMYFUNCTION("""COMPUTED_VALUE"""),"REG DE INTEGRA DO MARAJO")</f>
        <v>REG DE INTEGRA DO MARAJO</v>
      </c>
      <c r="B64" s="1" t="str">
        <f ca="1">IFERROR(__xludf.DUMMYFUNCTION("""COMPUTED_VALUE"""),"DRE AFUA")</f>
        <v>DRE AFUA</v>
      </c>
      <c r="C64" s="2" t="str">
        <f ca="1">IFERROR(__xludf.DUMMYFUNCTION("""COMPUTED_VALUE"""),"DRE - AFUA")</f>
        <v>DRE - AFUA</v>
      </c>
      <c r="D64" s="1"/>
      <c r="E64" s="2" t="str">
        <f ca="1">IFERROR(__xludf.DUMMYFUNCTION("""COMPUTED_VALUE"""),"DRE - AFUA")</f>
        <v>DRE - AFUA</v>
      </c>
      <c r="F64" s="1">
        <f ca="1">IFERROR(__xludf.DUMMYFUNCTION("""COMPUTED_VALUE"""),1)</f>
        <v>1</v>
      </c>
      <c r="G64" s="1" t="str">
        <f ca="1">IFERROR(__xludf.DUMMYFUNCTION("""COMPUTED_VALUE"""),"DRE BREVES")</f>
        <v>DRE BREVES</v>
      </c>
      <c r="H64" s="1" t="str">
        <f ca="1">IFERROR(__xludf.DUMMYFUNCTION("""COMPUTED_VALUE"""),"13A URE - BREVES")</f>
        <v>13A URE - BREVES</v>
      </c>
      <c r="I64" s="1"/>
      <c r="J64" s="1" t="str">
        <f ca="1">IFERROR(__xludf.DUMMYFUNCTION("""COMPUTED_VALUE"""),"CHAVES")</f>
        <v>CHAVES</v>
      </c>
      <c r="K64" s="1">
        <f ca="1">IFERROR(__xludf.DUMMYFUNCTION("""COMPUTED_VALUE"""),15029220)</f>
        <v>15029220</v>
      </c>
      <c r="L64" s="2" t="str">
        <f ca="1">IFERROR(__xludf.DUMMYFUNCTION("""COMPUTED_VALUE"""),"001920923450000")</f>
        <v>001920923450000</v>
      </c>
      <c r="M64" s="2" t="str">
        <f ca="1">IFERROR(__xludf.DUMMYFUNCTION("""COMPUTED_VALUE"""),"1920923450000")</f>
        <v>1920923450000</v>
      </c>
      <c r="N64" s="1" t="str">
        <f ca="1">IFERROR(__xludf.DUMMYFUNCTION("""COMPUTED_VALUE"""),"EEEM MAGALHAES BARATA")</f>
        <v>EEEM MAGALHAES BARATA</v>
      </c>
      <c r="O64" s="1"/>
      <c r="P64" s="1"/>
      <c r="Q64" s="1" t="s">
        <v>62</v>
      </c>
    </row>
    <row r="65" spans="1:17" x14ac:dyDescent="0.25">
      <c r="A65" s="2" t="str">
        <f ca="1">IFERROR(__xludf.DUMMYFUNCTION("""COMPUTED_VALUE"""),"REG DE INTEGRA DO MARAJO")</f>
        <v>REG DE INTEGRA DO MARAJO</v>
      </c>
      <c r="B65" s="1" t="str">
        <f ca="1">IFERROR(__xludf.DUMMYFUNCTION("""COMPUTED_VALUE"""),"DRE AFUA")</f>
        <v>DRE AFUA</v>
      </c>
      <c r="C65" s="2" t="str">
        <f ca="1">IFERROR(__xludf.DUMMYFUNCTION("""COMPUTED_VALUE"""),"DRE - AFUA")</f>
        <v>DRE - AFUA</v>
      </c>
      <c r="D65" s="1"/>
      <c r="E65" s="2" t="str">
        <f ca="1">IFERROR(__xludf.DUMMYFUNCTION("""COMPUTED_VALUE"""),"DRE - AFUA")</f>
        <v>DRE - AFUA</v>
      </c>
      <c r="F65" s="1"/>
      <c r="G65" s="1"/>
      <c r="H65" s="1" t="str">
        <f ca="1">IFERROR(__xludf.DUMMYFUNCTION("""COMPUTED_VALUE"""),"13A URE - BREVES")</f>
        <v>13A URE - BREVES</v>
      </c>
      <c r="I65" s="1"/>
      <c r="J65" s="1" t="str">
        <f ca="1">IFERROR(__xludf.DUMMYFUNCTION("""COMPUTED_VALUE"""),"CHAVES")</f>
        <v>CHAVES</v>
      </c>
      <c r="K65" s="1"/>
      <c r="L65" s="2" t="str">
        <f ca="1">IFERROR(__xludf.DUMMYFUNCTION("""COMPUTED_VALUE"""),"001921023000000")</f>
        <v>001921023000000</v>
      </c>
      <c r="M65" s="2" t="str">
        <f ca="1">IFERROR(__xludf.DUMMYFUNCTION("""COMPUTED_VALUE"""),"1921023000000")</f>
        <v>1921023000000</v>
      </c>
      <c r="N65" s="1" t="str">
        <f ca="1">IFERROR(__xludf.DUMMYFUNCTION("""COMPUTED_VALUE"""),"ESCOLA ESTADUAL RURAL DE CHAVES")</f>
        <v>ESCOLA ESTADUAL RURAL DE CHAVES</v>
      </c>
      <c r="O65" s="1"/>
      <c r="P65" s="1"/>
      <c r="Q65" s="1" t="s">
        <v>62</v>
      </c>
    </row>
    <row r="66" spans="1:17" x14ac:dyDescent="0.25">
      <c r="A66" s="2" t="str">
        <f ca="1">IFERROR(__xludf.DUMMYFUNCTION("""COMPUTED_VALUE"""),"REG DE INTEGRA DO XINGU")</f>
        <v>REG DE INTEGRA DO XINGU</v>
      </c>
      <c r="B66" s="1" t="str">
        <f ca="1">IFERROR(__xludf.DUMMYFUNCTION("""COMPUTED_VALUE"""),"DRE ALTAMIRA")</f>
        <v>DRE ALTAMIRA</v>
      </c>
      <c r="C66" s="2" t="str">
        <f ca="1">IFERROR(__xludf.DUMMYFUNCTION("""COMPUTED_VALUE"""),"DRE - ALTAMIRA")</f>
        <v>DRE - ALTAMIRA</v>
      </c>
      <c r="D66" s="1"/>
      <c r="E66" s="2" t="str">
        <f ca="1">IFERROR(__xludf.DUMMYFUNCTION("""COMPUTED_VALUE"""),"DRE - ALTAMIRA")</f>
        <v>DRE - ALTAMIRA</v>
      </c>
      <c r="F66" s="1">
        <f ca="1">IFERROR(__xludf.DUMMYFUNCTION("""COMPUTED_VALUE"""),3)</f>
        <v>3</v>
      </c>
      <c r="G66" s="1" t="str">
        <f ca="1">IFERROR(__xludf.DUMMYFUNCTION("""COMPUTED_VALUE"""),"DRE ALTAMIRA")</f>
        <v>DRE ALTAMIRA</v>
      </c>
      <c r="H66" s="1" t="str">
        <f ca="1">IFERROR(__xludf.DUMMYFUNCTION("""COMPUTED_VALUE"""),"10A URE - ALTAMIRA")</f>
        <v>10A URE - ALTAMIRA</v>
      </c>
      <c r="I66" s="1"/>
      <c r="J66" s="1" t="str">
        <f ca="1">IFERROR(__xludf.DUMMYFUNCTION("""COMPUTED_VALUE"""),"ALTAMIRA")</f>
        <v>ALTAMIRA</v>
      </c>
      <c r="K66" s="1"/>
      <c r="L66" s="2" t="str">
        <f ca="1">IFERROR(__xludf.DUMMYFUNCTION("""COMPUTED_VALUE"""),"001920900100000")</f>
        <v>001920900100000</v>
      </c>
      <c r="M66" s="2" t="str">
        <f ca="1">IFERROR(__xludf.DUMMYFUNCTION("""COMPUTED_VALUE"""),"1920900100000")</f>
        <v>1920900100000</v>
      </c>
      <c r="N66" s="1" t="str">
        <f ca="1">IFERROR(__xludf.DUMMYFUNCTION("""COMPUTED_VALUE"""),"10 URE ALTAMIRA")</f>
        <v>10 URE ALTAMIRA</v>
      </c>
      <c r="O66" s="1"/>
      <c r="P66" s="1"/>
      <c r="Q66" s="1" t="s">
        <v>68</v>
      </c>
    </row>
    <row r="67" spans="1:17" x14ac:dyDescent="0.25">
      <c r="A67" s="2" t="str">
        <f ca="1">IFERROR(__xludf.DUMMYFUNCTION("""COMPUTED_VALUE"""),"REG DE INTEGRA DO XINGU")</f>
        <v>REG DE INTEGRA DO XINGU</v>
      </c>
      <c r="B67" s="1" t="str">
        <f ca="1">IFERROR(__xludf.DUMMYFUNCTION("""COMPUTED_VALUE"""),"DRE ALTAMIRA")</f>
        <v>DRE ALTAMIRA</v>
      </c>
      <c r="C67" s="2" t="str">
        <f ca="1">IFERROR(__xludf.DUMMYFUNCTION("""COMPUTED_VALUE"""),"DRE - ALTAMIRA")</f>
        <v>DRE - ALTAMIRA</v>
      </c>
      <c r="D67" s="1"/>
      <c r="E67" s="2" t="str">
        <f ca="1">IFERROR(__xludf.DUMMYFUNCTION("""COMPUTED_VALUE"""),"DRE - ALTAMIRA")</f>
        <v>DRE - ALTAMIRA</v>
      </c>
      <c r="F67" s="1">
        <f ca="1">IFERROR(__xludf.DUMMYFUNCTION("""COMPUTED_VALUE"""),3)</f>
        <v>3</v>
      </c>
      <c r="G67" s="1"/>
      <c r="H67" s="1" t="str">
        <f ca="1">IFERROR(__xludf.DUMMYFUNCTION("""COMPUTED_VALUE"""),"10A URE - ALTAMIRA")</f>
        <v>10A URE - ALTAMIRA</v>
      </c>
      <c r="I67" s="1"/>
      <c r="J67" s="1" t="str">
        <f ca="1">IFERROR(__xludf.DUMMYFUNCTION("""COMPUTED_VALUE"""),"ALTAMIRA")</f>
        <v>ALTAMIRA</v>
      </c>
      <c r="K67" s="1">
        <f ca="1">IFERROR(__xludf.DUMMYFUNCTION("""COMPUTED_VALUE"""),15177858)</f>
        <v>15177858</v>
      </c>
      <c r="L67" s="2" t="str">
        <f ca="1">IFERROR(__xludf.DUMMYFUNCTION("""COMPUTED_VALUE"""),"001920937970001")</f>
        <v>001920937970001</v>
      </c>
      <c r="M67" s="2" t="str">
        <f ca="1">IFERROR(__xludf.DUMMYFUNCTION("""COMPUTED_VALUE"""),"1920937970001")</f>
        <v>1920937970001</v>
      </c>
      <c r="N67" s="1" t="str">
        <f ca="1">IFERROR(__xludf.DUMMYFUNCTION("""COMPUTED_VALUE"""),"ANEXO RURAL  ODILA DE SOUSA")</f>
        <v>ANEXO RURAL  ODILA DE SOUSA</v>
      </c>
      <c r="O67" s="1"/>
      <c r="P67" s="1"/>
      <c r="Q67" s="1" t="s">
        <v>68</v>
      </c>
    </row>
    <row r="68" spans="1:17" x14ac:dyDescent="0.25">
      <c r="A68" s="2" t="str">
        <f ca="1">IFERROR(__xludf.DUMMYFUNCTION("""COMPUTED_VALUE"""),"REG DE INTEGRA DO XINGU")</f>
        <v>REG DE INTEGRA DO XINGU</v>
      </c>
      <c r="B68" s="1" t="str">
        <f ca="1">IFERROR(__xludf.DUMMYFUNCTION("""COMPUTED_VALUE"""),"DRE ALTAMIRA")</f>
        <v>DRE ALTAMIRA</v>
      </c>
      <c r="C68" s="2" t="str">
        <f ca="1">IFERROR(__xludf.DUMMYFUNCTION("""COMPUTED_VALUE"""),"DRE - ALTAMIRA")</f>
        <v>DRE - ALTAMIRA</v>
      </c>
      <c r="D68" s="1"/>
      <c r="E68" s="2" t="str">
        <f ca="1">IFERROR(__xludf.DUMMYFUNCTION("""COMPUTED_VALUE"""),"DRE - ALTAMIRA")</f>
        <v>DRE - ALTAMIRA</v>
      </c>
      <c r="F68" s="1">
        <f ca="1">IFERROR(__xludf.DUMMYFUNCTION("""COMPUTED_VALUE"""),3)</f>
        <v>3</v>
      </c>
      <c r="G68" s="1" t="str">
        <f ca="1">IFERROR(__xludf.DUMMYFUNCTION("""COMPUTED_VALUE"""),"DRE ALTAMIRA")</f>
        <v>DRE ALTAMIRA</v>
      </c>
      <c r="H68" s="1" t="str">
        <f ca="1">IFERROR(__xludf.DUMMYFUNCTION("""COMPUTED_VALUE"""),"10A URE - ALTAMIRA")</f>
        <v>10A URE - ALTAMIRA</v>
      </c>
      <c r="I68" s="1"/>
      <c r="J68" s="1" t="str">
        <f ca="1">IFERROR(__xludf.DUMMYFUNCTION("""COMPUTED_VALUE"""),"ALTAMIRA")</f>
        <v>ALTAMIRA</v>
      </c>
      <c r="K68" s="1">
        <f ca="1">IFERROR(__xludf.DUMMYFUNCTION("""COMPUTED_VALUE"""),15106101)</f>
        <v>15106101</v>
      </c>
      <c r="L68" s="2" t="str">
        <f ca="1">IFERROR(__xludf.DUMMYFUNCTION("""COMPUTED_VALUE"""),"001920934690000")</f>
        <v>001920934690000</v>
      </c>
      <c r="M68" s="2" t="str">
        <f ca="1">IFERROR(__xludf.DUMMYFUNCTION("""COMPUTED_VALUE"""),"1920934690000")</f>
        <v>1920934690000</v>
      </c>
      <c r="N68" s="1" t="str">
        <f ca="1">IFERROR(__xludf.DUMMYFUNCTION("""COMPUTED_VALUE"""),"EEEFM GETULIO VARGAS")</f>
        <v>EEEFM GETULIO VARGAS</v>
      </c>
      <c r="O68" s="1"/>
      <c r="P68" s="1"/>
      <c r="Q68" s="1" t="s">
        <v>68</v>
      </c>
    </row>
    <row r="69" spans="1:17" x14ac:dyDescent="0.25">
      <c r="A69" s="2" t="str">
        <f ca="1">IFERROR(__xludf.DUMMYFUNCTION("""COMPUTED_VALUE"""),"REG DE INTEGRA DO XINGU")</f>
        <v>REG DE INTEGRA DO XINGU</v>
      </c>
      <c r="B69" s="1" t="str">
        <f ca="1">IFERROR(__xludf.DUMMYFUNCTION("""COMPUTED_VALUE"""),"DRE ALTAMIRA")</f>
        <v>DRE ALTAMIRA</v>
      </c>
      <c r="C69" s="2" t="str">
        <f ca="1">IFERROR(__xludf.DUMMYFUNCTION("""COMPUTED_VALUE"""),"DRE - ALTAMIRA")</f>
        <v>DRE - ALTAMIRA</v>
      </c>
      <c r="D69" s="1"/>
      <c r="E69" s="2" t="str">
        <f ca="1">IFERROR(__xludf.DUMMYFUNCTION("""COMPUTED_VALUE"""),"DRE - ALTAMIRA")</f>
        <v>DRE - ALTAMIRA</v>
      </c>
      <c r="F69" s="1">
        <f ca="1">IFERROR(__xludf.DUMMYFUNCTION("""COMPUTED_VALUE"""),3)</f>
        <v>3</v>
      </c>
      <c r="G69" s="1" t="str">
        <f ca="1">IFERROR(__xludf.DUMMYFUNCTION("""COMPUTED_VALUE"""),"DRE ALTAMIRA")</f>
        <v>DRE ALTAMIRA</v>
      </c>
      <c r="H69" s="1" t="str">
        <f ca="1">IFERROR(__xludf.DUMMYFUNCTION("""COMPUTED_VALUE"""),"10A URE - ALTAMIRA")</f>
        <v>10A URE - ALTAMIRA</v>
      </c>
      <c r="I69" s="1"/>
      <c r="J69" s="1" t="str">
        <f ca="1">IFERROR(__xludf.DUMMYFUNCTION("""COMPUTED_VALUE"""),"ALTAMIRA")</f>
        <v>ALTAMIRA</v>
      </c>
      <c r="K69" s="1">
        <f ca="1">IFERROR(__xludf.DUMMYFUNCTION("""COMPUTED_VALUE"""),15139603)</f>
        <v>15139603</v>
      </c>
      <c r="L69" s="2" t="str">
        <f ca="1">IFERROR(__xludf.DUMMYFUNCTION("""COMPUTED_VALUE"""),"001920937480000")</f>
        <v>001920937480000</v>
      </c>
      <c r="M69" s="2" t="str">
        <f ca="1">IFERROR(__xludf.DUMMYFUNCTION("""COMPUTED_VALUE"""),"1920937480000")</f>
        <v>1920937480000</v>
      </c>
      <c r="N69" s="1" t="str">
        <f ca="1">IFERROR(__xludf.DUMMYFUNCTION("""COMPUTED_VALUE"""),"EEEM BARTOLOMEU MORAES DA SILVA")</f>
        <v>EEEM BARTOLOMEU MORAES DA SILVA</v>
      </c>
      <c r="O69" s="1"/>
      <c r="P69" s="1"/>
      <c r="Q69" s="1" t="s">
        <v>68</v>
      </c>
    </row>
    <row r="70" spans="1:17" x14ac:dyDescent="0.25">
      <c r="A70" s="2" t="str">
        <f ca="1">IFERROR(__xludf.DUMMYFUNCTION("""COMPUTED_VALUE"""),"REG DE INTEGRA DO XINGU")</f>
        <v>REG DE INTEGRA DO XINGU</v>
      </c>
      <c r="B70" s="1" t="str">
        <f ca="1">IFERROR(__xludf.DUMMYFUNCTION("""COMPUTED_VALUE"""),"DRE ALTAMIRA")</f>
        <v>DRE ALTAMIRA</v>
      </c>
      <c r="C70" s="2" t="str">
        <f ca="1">IFERROR(__xludf.DUMMYFUNCTION("""COMPUTED_VALUE"""),"DRE - ALTAMIRA")</f>
        <v>DRE - ALTAMIRA</v>
      </c>
      <c r="D70" s="1"/>
      <c r="E70" s="2" t="str">
        <f ca="1">IFERROR(__xludf.DUMMYFUNCTION("""COMPUTED_VALUE"""),"DRE - ALTAMIRA")</f>
        <v>DRE - ALTAMIRA</v>
      </c>
      <c r="F70" s="1">
        <f ca="1">IFERROR(__xludf.DUMMYFUNCTION("""COMPUTED_VALUE"""),3)</f>
        <v>3</v>
      </c>
      <c r="G70" s="1" t="str">
        <f ca="1">IFERROR(__xludf.DUMMYFUNCTION("""COMPUTED_VALUE"""),"DRE ALTAMIRA")</f>
        <v>DRE ALTAMIRA</v>
      </c>
      <c r="H70" s="1" t="str">
        <f ca="1">IFERROR(__xludf.DUMMYFUNCTION("""COMPUTED_VALUE"""),"10A URE - ALTAMIRA")</f>
        <v>10A URE - ALTAMIRA</v>
      </c>
      <c r="I70" s="1"/>
      <c r="J70" s="1" t="str">
        <f ca="1">IFERROR(__xludf.DUMMYFUNCTION("""COMPUTED_VALUE"""),"ALTAMIRA")</f>
        <v>ALTAMIRA</v>
      </c>
      <c r="K70" s="1">
        <f ca="1">IFERROR(__xludf.DUMMYFUNCTION("""COMPUTED_VALUE"""),15169138)</f>
        <v>15169138</v>
      </c>
      <c r="L70" s="2" t="str">
        <f ca="1">IFERROR(__xludf.DUMMYFUNCTION("""COMPUTED_VALUE"""),"001920937970000")</f>
        <v>001920937970000</v>
      </c>
      <c r="M70" s="2" t="str">
        <f ca="1">IFERROR(__xludf.DUMMYFUNCTION("""COMPUTED_VALUE"""),"1920937970000")</f>
        <v>1920937970000</v>
      </c>
      <c r="N70" s="1" t="str">
        <f ca="1">IFERROR(__xludf.DUMMYFUNCTION("""COMPUTED_VALUE"""),"EEEM ODILA DE SOUSA")</f>
        <v>EEEM ODILA DE SOUSA</v>
      </c>
      <c r="O70" s="1"/>
      <c r="P70" s="1"/>
      <c r="Q70" s="1" t="s">
        <v>68</v>
      </c>
    </row>
    <row r="71" spans="1:17" x14ac:dyDescent="0.25">
      <c r="A71" s="2" t="str">
        <f ca="1">IFERROR(__xludf.DUMMYFUNCTION("""COMPUTED_VALUE"""),"REG DE INTEGRA DO XINGU")</f>
        <v>REG DE INTEGRA DO XINGU</v>
      </c>
      <c r="B71" s="1" t="str">
        <f ca="1">IFERROR(__xludf.DUMMYFUNCTION("""COMPUTED_VALUE"""),"DRE ALTAMIRA")</f>
        <v>DRE ALTAMIRA</v>
      </c>
      <c r="C71" s="2" t="str">
        <f ca="1">IFERROR(__xludf.DUMMYFUNCTION("""COMPUTED_VALUE"""),"DRE - ALTAMIRA")</f>
        <v>DRE - ALTAMIRA</v>
      </c>
      <c r="D71" s="1"/>
      <c r="E71" s="2" t="str">
        <f ca="1">IFERROR(__xludf.DUMMYFUNCTION("""COMPUTED_VALUE"""),"DRE - ALTAMIRA")</f>
        <v>DRE - ALTAMIRA</v>
      </c>
      <c r="F71" s="1">
        <f ca="1">IFERROR(__xludf.DUMMYFUNCTION("""COMPUTED_VALUE"""),3)</f>
        <v>3</v>
      </c>
      <c r="G71" s="1" t="str">
        <f ca="1">IFERROR(__xludf.DUMMYFUNCTION("""COMPUTED_VALUE"""),"DRE ALTAMIRA")</f>
        <v>DRE ALTAMIRA</v>
      </c>
      <c r="H71" s="1" t="str">
        <f ca="1">IFERROR(__xludf.DUMMYFUNCTION("""COMPUTED_VALUE"""),"10A URE - ALTAMIRA")</f>
        <v>10A URE - ALTAMIRA</v>
      </c>
      <c r="I71" s="1"/>
      <c r="J71" s="1" t="str">
        <f ca="1">IFERROR(__xludf.DUMMYFUNCTION("""COMPUTED_VALUE"""),"ALTAMIRA")</f>
        <v>ALTAMIRA</v>
      </c>
      <c r="K71" s="1">
        <f ca="1">IFERROR(__xludf.DUMMYFUNCTION("""COMPUTED_VALUE"""),15104907)</f>
        <v>15104907</v>
      </c>
      <c r="L71" s="2" t="str">
        <f ca="1">IFERROR(__xludf.DUMMYFUNCTION("""COMPUTED_VALUE"""),"001920905910000")</f>
        <v>001920905910000</v>
      </c>
      <c r="M71" s="2" t="str">
        <f ca="1">IFERROR(__xludf.DUMMYFUNCTION("""COMPUTED_VALUE"""),"1920905910000")</f>
        <v>1920905910000</v>
      </c>
      <c r="N71" s="1" t="str">
        <f ca="1">IFERROR(__xludf.DUMMYFUNCTION("""COMPUTED_VALUE"""),"EEEM POLIVALENTE")</f>
        <v>EEEM POLIVALENTE</v>
      </c>
      <c r="O71" s="1"/>
      <c r="P71" s="1"/>
      <c r="Q71" s="1" t="s">
        <v>68</v>
      </c>
    </row>
    <row r="72" spans="1:17" x14ac:dyDescent="0.25">
      <c r="A72" s="2" t="str">
        <f ca="1">IFERROR(__xludf.DUMMYFUNCTION("""COMPUTED_VALUE"""),"REG DE INTEGRA DO XINGU")</f>
        <v>REG DE INTEGRA DO XINGU</v>
      </c>
      <c r="B72" s="1" t="str">
        <f ca="1">IFERROR(__xludf.DUMMYFUNCTION("""COMPUTED_VALUE"""),"DRE ALTAMIRA")</f>
        <v>DRE ALTAMIRA</v>
      </c>
      <c r="C72" s="2" t="str">
        <f ca="1">IFERROR(__xludf.DUMMYFUNCTION("""COMPUTED_VALUE"""),"DRE - ALTAMIRA")</f>
        <v>DRE - ALTAMIRA</v>
      </c>
      <c r="D72" s="1"/>
      <c r="E72" s="2" t="str">
        <f ca="1">IFERROR(__xludf.DUMMYFUNCTION("""COMPUTED_VALUE"""),"DRE - ALTAMIRA")</f>
        <v>DRE - ALTAMIRA</v>
      </c>
      <c r="F72" s="1">
        <f ca="1">IFERROR(__xludf.DUMMYFUNCTION("""COMPUTED_VALUE"""),3)</f>
        <v>3</v>
      </c>
      <c r="G72" s="1" t="str">
        <f ca="1">IFERROR(__xludf.DUMMYFUNCTION("""COMPUTED_VALUE"""),"DRE ALTAMIRA")</f>
        <v>DRE ALTAMIRA</v>
      </c>
      <c r="H72" s="1" t="str">
        <f ca="1">IFERROR(__xludf.DUMMYFUNCTION("""COMPUTED_VALUE"""),"10A URE - ALTAMIRA")</f>
        <v>10A URE - ALTAMIRA</v>
      </c>
      <c r="I72" s="1"/>
      <c r="J72" s="1" t="str">
        <f ca="1">IFERROR(__xludf.DUMMYFUNCTION("""COMPUTED_VALUE"""),"ALTAMIRA")</f>
        <v>ALTAMIRA</v>
      </c>
      <c r="K72" s="1">
        <f ca="1">IFERROR(__xludf.DUMMYFUNCTION("""COMPUTED_VALUE"""),15104893)</f>
        <v>15104893</v>
      </c>
      <c r="L72" s="2" t="str">
        <f ca="1">IFERROR(__xludf.DUMMYFUNCTION("""COMPUTED_VALUE"""),"001920927910000")</f>
        <v>001920927910000</v>
      </c>
      <c r="M72" s="2" t="str">
        <f ca="1">IFERROR(__xludf.DUMMYFUNCTION("""COMPUTED_VALUE"""),"1920927910000")</f>
        <v>1920927910000</v>
      </c>
      <c r="N72" s="1" t="str">
        <f ca="1">IFERROR(__xludf.DUMMYFUNCTION("""COMPUTED_VALUE"""),"EEEM PROFA DAIRCE PEDROSA TORRES")</f>
        <v>EEEM PROFA DAIRCE PEDROSA TORRES</v>
      </c>
      <c r="O72" s="1"/>
      <c r="P72" s="1"/>
      <c r="Q72" s="1" t="s">
        <v>68</v>
      </c>
    </row>
    <row r="73" spans="1:17" x14ac:dyDescent="0.25">
      <c r="A73" s="2" t="str">
        <f ca="1">IFERROR(__xludf.DUMMYFUNCTION("""COMPUTED_VALUE"""),"REG DE INTEGRA DO XINGU")</f>
        <v>REG DE INTEGRA DO XINGU</v>
      </c>
      <c r="B73" s="1" t="str">
        <f ca="1">IFERROR(__xludf.DUMMYFUNCTION("""COMPUTED_VALUE"""),"DRE ALTAMIRA")</f>
        <v>DRE ALTAMIRA</v>
      </c>
      <c r="C73" s="2" t="str">
        <f ca="1">IFERROR(__xludf.DUMMYFUNCTION("""COMPUTED_VALUE"""),"DRE - ALTAMIRA")</f>
        <v>DRE - ALTAMIRA</v>
      </c>
      <c r="D73" s="1"/>
      <c r="E73" s="2" t="str">
        <f ca="1">IFERROR(__xludf.DUMMYFUNCTION("""COMPUTED_VALUE"""),"DRE - ALTAMIRA")</f>
        <v>DRE - ALTAMIRA</v>
      </c>
      <c r="F73" s="1">
        <f ca="1">IFERROR(__xludf.DUMMYFUNCTION("""COMPUTED_VALUE"""),3)</f>
        <v>3</v>
      </c>
      <c r="G73" s="1" t="str">
        <f ca="1">IFERROR(__xludf.DUMMYFUNCTION("""COMPUTED_VALUE"""),"DRE ALTAMIRA")</f>
        <v>DRE ALTAMIRA</v>
      </c>
      <c r="H73" s="1" t="str">
        <f ca="1">IFERROR(__xludf.DUMMYFUNCTION("""COMPUTED_VALUE"""),"10A URE - ALTAMIRA")</f>
        <v>10A URE - ALTAMIRA</v>
      </c>
      <c r="I73" s="1"/>
      <c r="J73" s="1" t="str">
        <f ca="1">IFERROR(__xludf.DUMMYFUNCTION("""COMPUTED_VALUE"""),"ALTAMIRA")</f>
        <v>ALTAMIRA</v>
      </c>
      <c r="K73" s="1">
        <f ca="1">IFERROR(__xludf.DUMMYFUNCTION("""COMPUTED_VALUE"""),15583058)</f>
        <v>15583058</v>
      </c>
      <c r="L73" s="2" t="str">
        <f ca="1">IFERROR(__xludf.DUMMYFUNCTION("""COMPUTED_VALUE"""),"001920936880000")</f>
        <v>001920936880000</v>
      </c>
      <c r="M73" s="2" t="str">
        <f ca="1">IFERROR(__xludf.DUMMYFUNCTION("""COMPUTED_VALUE"""),"1920936880000")</f>
        <v>1920936880000</v>
      </c>
      <c r="N73" s="1" t="str">
        <f ca="1">IFERROR(__xludf.DUMMYFUNCTION("""COMPUTED_VALUE"""),"EEEM PROFA DUCILLA ALMEIDA DO NASCIMENTO")</f>
        <v>EEEM PROFA DUCILLA ALMEIDA DO NASCIMENTO</v>
      </c>
      <c r="O73" s="1"/>
      <c r="P73" s="1"/>
      <c r="Q73" s="1" t="s">
        <v>68</v>
      </c>
    </row>
    <row r="74" spans="1:17" x14ac:dyDescent="0.25">
      <c r="A74" s="2" t="str">
        <f ca="1">IFERROR(__xludf.DUMMYFUNCTION("""COMPUTED_VALUE"""),"REG DE INTEGRA DO XINGU")</f>
        <v>REG DE INTEGRA DO XINGU</v>
      </c>
      <c r="B74" s="1" t="str">
        <f ca="1">IFERROR(__xludf.DUMMYFUNCTION("""COMPUTED_VALUE"""),"DRE ALTAMIRA")</f>
        <v>DRE ALTAMIRA</v>
      </c>
      <c r="C74" s="2" t="str">
        <f ca="1">IFERROR(__xludf.DUMMYFUNCTION("""COMPUTED_VALUE"""),"DRE - ALTAMIRA")</f>
        <v>DRE - ALTAMIRA</v>
      </c>
      <c r="D74" s="1"/>
      <c r="E74" s="2" t="str">
        <f ca="1">IFERROR(__xludf.DUMMYFUNCTION("""COMPUTED_VALUE"""),"DRE - ALTAMIRA")</f>
        <v>DRE - ALTAMIRA</v>
      </c>
      <c r="F74" s="1">
        <f ca="1">IFERROR(__xludf.DUMMYFUNCTION("""COMPUTED_VALUE"""),3)</f>
        <v>3</v>
      </c>
      <c r="G74" s="1" t="str">
        <f ca="1">IFERROR(__xludf.DUMMYFUNCTION("""COMPUTED_VALUE"""),"DRE ALTAMIRA")</f>
        <v>DRE ALTAMIRA</v>
      </c>
      <c r="H74" s="1" t="str">
        <f ca="1">IFERROR(__xludf.DUMMYFUNCTION("""COMPUTED_VALUE"""),"10A URE - ALTAMIRA")</f>
        <v>10A URE - ALTAMIRA</v>
      </c>
      <c r="I74" s="1"/>
      <c r="J74" s="1" t="str">
        <f ca="1">IFERROR(__xludf.DUMMYFUNCTION("""COMPUTED_VALUE"""),"ALTAMIRA")</f>
        <v>ALTAMIRA</v>
      </c>
      <c r="K74" s="1"/>
      <c r="L74" s="2" t="str">
        <f ca="1">IFERROR(__xludf.DUMMYFUNCTION("""COMPUTED_VALUE"""),"001920937480100")</f>
        <v>001920937480100</v>
      </c>
      <c r="M74" s="2" t="str">
        <f ca="1">IFERROR(__xludf.DUMMYFUNCTION("""COMPUTED_VALUE"""),"1920937480100")</f>
        <v>1920937480100</v>
      </c>
      <c r="N74" s="1" t="str">
        <f ca="1">IFERROR(__xludf.DUMMYFUNCTION("""COMPUTED_VALUE"""),"ANEXO I EEEM BARTOLOMEU MORAIS DA SILVA")</f>
        <v>ANEXO I EEEM BARTOLOMEU MORAIS DA SILVA</v>
      </c>
      <c r="O74" s="1"/>
      <c r="P74" s="1"/>
      <c r="Q74" s="1" t="s">
        <v>68</v>
      </c>
    </row>
    <row r="75" spans="1:17" x14ac:dyDescent="0.25">
      <c r="A75" s="2" t="str">
        <f ca="1">IFERROR(__xludf.DUMMYFUNCTION("""COMPUTED_VALUE"""),"REG DE INTEGRA DO XINGU")</f>
        <v>REG DE INTEGRA DO XINGU</v>
      </c>
      <c r="B75" s="1" t="str">
        <f ca="1">IFERROR(__xludf.DUMMYFUNCTION("""COMPUTED_VALUE"""),"DRE ALTAMIRA")</f>
        <v>DRE ALTAMIRA</v>
      </c>
      <c r="C75" s="2" t="str">
        <f ca="1">IFERROR(__xludf.DUMMYFUNCTION("""COMPUTED_VALUE"""),"DRE - ALTAMIRA")</f>
        <v>DRE - ALTAMIRA</v>
      </c>
      <c r="D75" s="1"/>
      <c r="E75" s="2" t="str">
        <f ca="1">IFERROR(__xludf.DUMMYFUNCTION("""COMPUTED_VALUE"""),"DRE - ALTAMIRA")</f>
        <v>DRE - ALTAMIRA</v>
      </c>
      <c r="F75" s="1"/>
      <c r="G75" s="1"/>
      <c r="H75" s="1" t="str">
        <f ca="1">IFERROR(__xludf.DUMMYFUNCTION("""COMPUTED_VALUE"""),"10A URE - ALTAMIRA")</f>
        <v>10A URE - ALTAMIRA</v>
      </c>
      <c r="I75" s="1"/>
      <c r="J75" s="1" t="str">
        <f ca="1">IFERROR(__xludf.DUMMYFUNCTION("""COMPUTED_VALUE"""),"ALTAMIRA")</f>
        <v>ALTAMIRA</v>
      </c>
      <c r="K75" s="1"/>
      <c r="L75" s="2" t="str">
        <f ca="1">IFERROR(__xludf.DUMMYFUNCTION("""COMPUTED_VALUE"""),"001921003000000")</f>
        <v>001921003000000</v>
      </c>
      <c r="M75" s="2" t="str">
        <f ca="1">IFERROR(__xludf.DUMMYFUNCTION("""COMPUTED_VALUE"""),"1921003000000")</f>
        <v>1921003000000</v>
      </c>
      <c r="N75" s="1" t="str">
        <f ca="1">IFERROR(__xludf.DUMMYFUNCTION("""COMPUTED_VALUE"""),"ESCOLA ESTADUAL RURAL DE ALTAMIRA")</f>
        <v>ESCOLA ESTADUAL RURAL DE ALTAMIRA</v>
      </c>
      <c r="O75" s="1"/>
      <c r="P75" s="1"/>
      <c r="Q75" s="1" t="s">
        <v>68</v>
      </c>
    </row>
    <row r="76" spans="1:17" x14ac:dyDescent="0.25">
      <c r="A76" s="2" t="str">
        <f ca="1">IFERROR(__xludf.DUMMYFUNCTION("""COMPUTED_VALUE"""),"REG DE INTEGRA DO XINGU")</f>
        <v>REG DE INTEGRA DO XINGU</v>
      </c>
      <c r="B76" s="1" t="str">
        <f ca="1">IFERROR(__xludf.DUMMYFUNCTION("""COMPUTED_VALUE"""),"DRE ALTAMIRA")</f>
        <v>DRE ALTAMIRA</v>
      </c>
      <c r="C76" s="2" t="str">
        <f ca="1">IFERROR(__xludf.DUMMYFUNCTION("""COMPUTED_VALUE"""),"DRE - ALTAMIRA")</f>
        <v>DRE - ALTAMIRA</v>
      </c>
      <c r="D76" s="1"/>
      <c r="E76" s="2" t="str">
        <f ca="1">IFERROR(__xludf.DUMMYFUNCTION("""COMPUTED_VALUE"""),"DRE - ALTAMIRA")</f>
        <v>DRE - ALTAMIRA</v>
      </c>
      <c r="F76" s="1">
        <f ca="1">IFERROR(__xludf.DUMMYFUNCTION("""COMPUTED_VALUE"""),3)</f>
        <v>3</v>
      </c>
      <c r="G76" s="1"/>
      <c r="H76" s="1" t="str">
        <f ca="1">IFERROR(__xludf.DUMMYFUNCTION("""COMPUTED_VALUE"""),"10A URE - ALTAMIRA")</f>
        <v>10A URE - ALTAMIRA</v>
      </c>
      <c r="I76" s="1"/>
      <c r="J76" s="1" t="str">
        <f ca="1">IFERROR(__xludf.DUMMYFUNCTION("""COMPUTED_VALUE"""),"ANAPU")</f>
        <v>ANAPU</v>
      </c>
      <c r="K76" s="1">
        <f ca="1">IFERROR(__xludf.DUMMYFUNCTION("""COMPUTED_VALUE"""),15177874)</f>
        <v>15177874</v>
      </c>
      <c r="L76" s="2" t="str">
        <f ca="1">IFERROR(__xludf.DUMMYFUNCTION("""COMPUTED_VALUE"""),"001920936580001")</f>
        <v>001920936580001</v>
      </c>
      <c r="M76" s="2" t="str">
        <f ca="1">IFERROR(__xludf.DUMMYFUNCTION("""COMPUTED_VALUE"""),"1920936580001")</f>
        <v>1920936580001</v>
      </c>
      <c r="N76" s="1" t="str">
        <f ca="1">IFERROR(__xludf.DUMMYFUNCTION("""COMPUTED_VALUE"""),"ANEXO RURAL MARIA JOSE SANTANA DA SILVA")</f>
        <v>ANEXO RURAL MARIA JOSE SANTANA DA SILVA</v>
      </c>
      <c r="O76" s="1"/>
      <c r="P76" s="1"/>
      <c r="Q76" s="1" t="s">
        <v>68</v>
      </c>
    </row>
    <row r="77" spans="1:17" x14ac:dyDescent="0.25">
      <c r="A77" s="2" t="str">
        <f ca="1">IFERROR(__xludf.DUMMYFUNCTION("""COMPUTED_VALUE"""),"REG DE INTEGRA DO XINGU")</f>
        <v>REG DE INTEGRA DO XINGU</v>
      </c>
      <c r="B77" s="1" t="str">
        <f ca="1">IFERROR(__xludf.DUMMYFUNCTION("""COMPUTED_VALUE"""),"DRE ALTAMIRA")</f>
        <v>DRE ALTAMIRA</v>
      </c>
      <c r="C77" s="2" t="str">
        <f ca="1">IFERROR(__xludf.DUMMYFUNCTION("""COMPUTED_VALUE"""),"DRE - ALTAMIRA")</f>
        <v>DRE - ALTAMIRA</v>
      </c>
      <c r="D77" s="1"/>
      <c r="E77" s="2" t="str">
        <f ca="1">IFERROR(__xludf.DUMMYFUNCTION("""COMPUTED_VALUE"""),"DRE - ALTAMIRA")</f>
        <v>DRE - ALTAMIRA</v>
      </c>
      <c r="F77" s="1">
        <f ca="1">IFERROR(__xludf.DUMMYFUNCTION("""COMPUTED_VALUE"""),3)</f>
        <v>3</v>
      </c>
      <c r="G77" s="1" t="str">
        <f ca="1">IFERROR(__xludf.DUMMYFUNCTION("""COMPUTED_VALUE"""),"DRE ALTAMIRA")</f>
        <v>DRE ALTAMIRA</v>
      </c>
      <c r="H77" s="1" t="str">
        <f ca="1">IFERROR(__xludf.DUMMYFUNCTION("""COMPUTED_VALUE"""),"10A URE - ALTAMIRA")</f>
        <v>10A URE - ALTAMIRA</v>
      </c>
      <c r="I77" s="1"/>
      <c r="J77" s="1" t="str">
        <f ca="1">IFERROR(__xludf.DUMMYFUNCTION("""COMPUTED_VALUE"""),"ANAPU")</f>
        <v>ANAPU</v>
      </c>
      <c r="K77" s="1">
        <f ca="1">IFERROR(__xludf.DUMMYFUNCTION("""COMPUTED_VALUE"""),15575497)</f>
        <v>15575497</v>
      </c>
      <c r="L77" s="2" t="str">
        <f ca="1">IFERROR(__xludf.DUMMYFUNCTION("""COMPUTED_VALUE"""),"001920936580000")</f>
        <v>001920936580000</v>
      </c>
      <c r="M77" s="2" t="str">
        <f ca="1">IFERROR(__xludf.DUMMYFUNCTION("""COMPUTED_VALUE"""),"1920936580000")</f>
        <v>1920936580000</v>
      </c>
      <c r="N77" s="1" t="str">
        <f ca="1">IFERROR(__xludf.DUMMYFUNCTION("""COMPUTED_VALUE"""),"EEEM MARIA JOSE SANTANA DA SILVA")</f>
        <v>EEEM MARIA JOSE SANTANA DA SILVA</v>
      </c>
      <c r="O77" s="1"/>
      <c r="P77" s="1"/>
      <c r="Q77" s="1" t="s">
        <v>68</v>
      </c>
    </row>
    <row r="78" spans="1:17" x14ac:dyDescent="0.25">
      <c r="A78" s="2" t="str">
        <f ca="1">IFERROR(__xludf.DUMMYFUNCTION("""COMPUTED_VALUE"""),"REG DE INTEGRA DO XINGU")</f>
        <v>REG DE INTEGRA DO XINGU</v>
      </c>
      <c r="B78" s="1" t="str">
        <f ca="1">IFERROR(__xludf.DUMMYFUNCTION("""COMPUTED_VALUE"""),"DRE ALTAMIRA")</f>
        <v>DRE ALTAMIRA</v>
      </c>
      <c r="C78" s="2" t="str">
        <f ca="1">IFERROR(__xludf.DUMMYFUNCTION("""COMPUTED_VALUE"""),"DRE - ALTAMIRA")</f>
        <v>DRE - ALTAMIRA</v>
      </c>
      <c r="D78" s="1"/>
      <c r="E78" s="2" t="str">
        <f ca="1">IFERROR(__xludf.DUMMYFUNCTION("""COMPUTED_VALUE"""),"DRE - ALTAMIRA")</f>
        <v>DRE - ALTAMIRA</v>
      </c>
      <c r="F78" s="1">
        <f ca="1">IFERROR(__xludf.DUMMYFUNCTION("""COMPUTED_VALUE"""),3)</f>
        <v>3</v>
      </c>
      <c r="G78" s="1" t="str">
        <f ca="1">IFERROR(__xludf.DUMMYFUNCTION("""COMPUTED_VALUE"""),"DRE ALTAMIRA")</f>
        <v>DRE ALTAMIRA</v>
      </c>
      <c r="H78" s="1" t="str">
        <f ca="1">IFERROR(__xludf.DUMMYFUNCTION("""COMPUTED_VALUE"""),"10A URE - ALTAMIRA")</f>
        <v>10A URE - ALTAMIRA</v>
      </c>
      <c r="I78" s="1"/>
      <c r="J78" s="1" t="str">
        <f ca="1">IFERROR(__xludf.DUMMYFUNCTION("""COMPUTED_VALUE"""),"ANAPU")</f>
        <v>ANAPU</v>
      </c>
      <c r="K78" s="1">
        <f ca="1">IFERROR(__xludf.DUMMYFUNCTION("""COMPUTED_VALUE"""),15582728)</f>
        <v>15582728</v>
      </c>
      <c r="L78" s="2" t="str">
        <f ca="1">IFERROR(__xludf.DUMMYFUNCTION("""COMPUTED_VALUE"""),"001920936890000")</f>
        <v>001920936890000</v>
      </c>
      <c r="M78" s="2" t="str">
        <f ca="1">IFERROR(__xludf.DUMMYFUNCTION("""COMPUTED_VALUE"""),"1920936890000")</f>
        <v>1920936890000</v>
      </c>
      <c r="N78" s="1" t="str">
        <f ca="1">IFERROR(__xludf.DUMMYFUNCTION("""COMPUTED_VALUE"""),"EEEM SANTA CLARA")</f>
        <v>EEEM SANTA CLARA</v>
      </c>
      <c r="O78" s="1"/>
      <c r="P78" s="1"/>
      <c r="Q78" s="1" t="s">
        <v>68</v>
      </c>
    </row>
    <row r="79" spans="1:17" x14ac:dyDescent="0.25">
      <c r="A79" s="2" t="str">
        <f ca="1">IFERROR(__xludf.DUMMYFUNCTION("""COMPUTED_VALUE"""),"REG DE INTEGRA DO XINGU")</f>
        <v>REG DE INTEGRA DO XINGU</v>
      </c>
      <c r="B79" s="1" t="str">
        <f ca="1">IFERROR(__xludf.DUMMYFUNCTION("""COMPUTED_VALUE"""),"DRE ALTAMIRA")</f>
        <v>DRE ALTAMIRA</v>
      </c>
      <c r="C79" s="2" t="str">
        <f ca="1">IFERROR(__xludf.DUMMYFUNCTION("""COMPUTED_VALUE"""),"DRE - ALTAMIRA")</f>
        <v>DRE - ALTAMIRA</v>
      </c>
      <c r="D79" s="1"/>
      <c r="E79" s="2" t="str">
        <f ca="1">IFERROR(__xludf.DUMMYFUNCTION("""COMPUTED_VALUE"""),"DRE - ALTAMIRA")</f>
        <v>DRE - ALTAMIRA</v>
      </c>
      <c r="F79" s="1"/>
      <c r="G79" s="1"/>
      <c r="H79" s="1" t="str">
        <f ca="1">IFERROR(__xludf.DUMMYFUNCTION("""COMPUTED_VALUE"""),"10A URE - ALTAMIRA")</f>
        <v>10A URE - ALTAMIRA</v>
      </c>
      <c r="I79" s="1"/>
      <c r="J79" s="1" t="str">
        <f ca="1">IFERROR(__xludf.DUMMYFUNCTION("""COMPUTED_VALUE"""),"ANAPU")</f>
        <v>ANAPU</v>
      </c>
      <c r="K79" s="1"/>
      <c r="L79" s="2" t="str">
        <f ca="1">IFERROR(__xludf.DUMMYFUNCTION("""COMPUTED_VALUE"""),"001921004000000")</f>
        <v>001921004000000</v>
      </c>
      <c r="M79" s="2" t="str">
        <f ca="1">IFERROR(__xludf.DUMMYFUNCTION("""COMPUTED_VALUE"""),"1921004000000")</f>
        <v>1921004000000</v>
      </c>
      <c r="N79" s="1" t="str">
        <f ca="1">IFERROR(__xludf.DUMMYFUNCTION("""COMPUTED_VALUE"""),"ESCOLA ESTADUAL RURAL DE ANAPU")</f>
        <v>ESCOLA ESTADUAL RURAL DE ANAPU</v>
      </c>
      <c r="O79" s="1"/>
      <c r="P79" s="1"/>
      <c r="Q79" s="1" t="s">
        <v>68</v>
      </c>
    </row>
    <row r="80" spans="1:17" x14ac:dyDescent="0.25">
      <c r="A80" s="2" t="str">
        <f ca="1">IFERROR(__xludf.DUMMYFUNCTION("""COMPUTED_VALUE"""),"REG DE INTEGRA DO XINGU")</f>
        <v>REG DE INTEGRA DO XINGU</v>
      </c>
      <c r="B80" s="1" t="str">
        <f ca="1">IFERROR(__xludf.DUMMYFUNCTION("""COMPUTED_VALUE"""),"DRE ALTAMIRA")</f>
        <v>DRE ALTAMIRA</v>
      </c>
      <c r="C80" s="2" t="str">
        <f ca="1">IFERROR(__xludf.DUMMYFUNCTION("""COMPUTED_VALUE"""),"DRE - ALTAMIRA")</f>
        <v>DRE - ALTAMIRA</v>
      </c>
      <c r="D80" s="1"/>
      <c r="E80" s="2" t="str">
        <f ca="1">IFERROR(__xludf.DUMMYFUNCTION("""COMPUTED_VALUE"""),"DRE - ALTAMIRA")</f>
        <v>DRE - ALTAMIRA</v>
      </c>
      <c r="F80" s="1">
        <f ca="1">IFERROR(__xludf.DUMMYFUNCTION("""COMPUTED_VALUE"""),3)</f>
        <v>3</v>
      </c>
      <c r="G80" s="1"/>
      <c r="H80" s="1" t="str">
        <f ca="1">IFERROR(__xludf.DUMMYFUNCTION("""COMPUTED_VALUE"""),"10A URE - ALTAMIRA")</f>
        <v>10A URE - ALTAMIRA</v>
      </c>
      <c r="I80" s="1"/>
      <c r="J80" s="1" t="str">
        <f ca="1">IFERROR(__xludf.DUMMYFUNCTION("""COMPUTED_VALUE"""),"BRASIL NOVO")</f>
        <v>BRASIL NOVO</v>
      </c>
      <c r="K80" s="1">
        <f ca="1">IFERROR(__xludf.DUMMYFUNCTION("""COMPUTED_VALUE"""),15177912)</f>
        <v>15177912</v>
      </c>
      <c r="L80" s="2" t="str">
        <f ca="1">IFERROR(__xludf.DUMMYFUNCTION("""COMPUTED_VALUE"""),"001920906240001")</f>
        <v>001920906240001</v>
      </c>
      <c r="M80" s="2" t="str">
        <f ca="1">IFERROR(__xludf.DUMMYFUNCTION("""COMPUTED_VALUE"""),"1920906240001")</f>
        <v>1920906240001</v>
      </c>
      <c r="N80" s="1" t="str">
        <f ca="1">IFERROR(__xludf.DUMMYFUNCTION("""COMPUTED_VALUE"""),"ANEXO RURAL  BRASIL NOVO")</f>
        <v>ANEXO RURAL  BRASIL NOVO</v>
      </c>
      <c r="O80" s="1"/>
      <c r="P80" s="1"/>
      <c r="Q80" s="1" t="s">
        <v>68</v>
      </c>
    </row>
    <row r="81" spans="1:17" x14ac:dyDescent="0.25">
      <c r="A81" s="2" t="str">
        <f ca="1">IFERROR(__xludf.DUMMYFUNCTION("""COMPUTED_VALUE"""),"REG DE INTEGRA DO XINGU")</f>
        <v>REG DE INTEGRA DO XINGU</v>
      </c>
      <c r="B81" s="1" t="str">
        <f ca="1">IFERROR(__xludf.DUMMYFUNCTION("""COMPUTED_VALUE"""),"DRE ALTAMIRA")</f>
        <v>DRE ALTAMIRA</v>
      </c>
      <c r="C81" s="2" t="str">
        <f ca="1">IFERROR(__xludf.DUMMYFUNCTION("""COMPUTED_VALUE"""),"DRE - ALTAMIRA")</f>
        <v>DRE - ALTAMIRA</v>
      </c>
      <c r="D81" s="1"/>
      <c r="E81" s="2" t="str">
        <f ca="1">IFERROR(__xludf.DUMMYFUNCTION("""COMPUTED_VALUE"""),"DRE - ALTAMIRA")</f>
        <v>DRE - ALTAMIRA</v>
      </c>
      <c r="F81" s="1">
        <f ca="1">IFERROR(__xludf.DUMMYFUNCTION("""COMPUTED_VALUE"""),3)</f>
        <v>3</v>
      </c>
      <c r="G81" s="1" t="str">
        <f ca="1">IFERROR(__xludf.DUMMYFUNCTION("""COMPUTED_VALUE"""),"DRE ALTAMIRA")</f>
        <v>DRE ALTAMIRA</v>
      </c>
      <c r="H81" s="1" t="str">
        <f ca="1">IFERROR(__xludf.DUMMYFUNCTION("""COMPUTED_VALUE"""),"10A URE - ALTAMIRA")</f>
        <v>10A URE - ALTAMIRA</v>
      </c>
      <c r="I81" s="1"/>
      <c r="J81" s="1" t="str">
        <f ca="1">IFERROR(__xludf.DUMMYFUNCTION("""COMPUTED_VALUE"""),"BRASIL NOVO")</f>
        <v>BRASIL NOVO</v>
      </c>
      <c r="K81" s="1">
        <f ca="1">IFERROR(__xludf.DUMMYFUNCTION("""COMPUTED_VALUE"""),15106250)</f>
        <v>15106250</v>
      </c>
      <c r="L81" s="2" t="str">
        <f ca="1">IFERROR(__xludf.DUMMYFUNCTION("""COMPUTED_VALUE"""),"001920906240000")</f>
        <v>001920906240000</v>
      </c>
      <c r="M81" s="2" t="str">
        <f ca="1">IFERROR(__xludf.DUMMYFUNCTION("""COMPUTED_VALUE"""),"1920906240000")</f>
        <v>1920906240000</v>
      </c>
      <c r="N81" s="1" t="str">
        <f ca="1">IFERROR(__xludf.DUMMYFUNCTION("""COMPUTED_VALUE"""),"EEEM BRASIL NOVO")</f>
        <v>EEEM BRASIL NOVO</v>
      </c>
      <c r="O81" s="1"/>
      <c r="P81" s="1"/>
      <c r="Q81" s="1" t="s">
        <v>68</v>
      </c>
    </row>
    <row r="82" spans="1:17" x14ac:dyDescent="0.25">
      <c r="A82" s="2" t="str">
        <f ca="1">IFERROR(__xludf.DUMMYFUNCTION("""COMPUTED_VALUE"""),"REG DE INTEGRA DO XINGU")</f>
        <v>REG DE INTEGRA DO XINGU</v>
      </c>
      <c r="B82" s="1" t="str">
        <f ca="1">IFERROR(__xludf.DUMMYFUNCTION("""COMPUTED_VALUE"""),"DRE ALTAMIRA")</f>
        <v>DRE ALTAMIRA</v>
      </c>
      <c r="C82" s="2" t="str">
        <f ca="1">IFERROR(__xludf.DUMMYFUNCTION("""COMPUTED_VALUE"""),"DRE - ALTAMIRA")</f>
        <v>DRE - ALTAMIRA</v>
      </c>
      <c r="D82" s="1"/>
      <c r="E82" s="2" t="str">
        <f ca="1">IFERROR(__xludf.DUMMYFUNCTION("""COMPUTED_VALUE"""),"DRE - ALTAMIRA")</f>
        <v>DRE - ALTAMIRA</v>
      </c>
      <c r="F82" s="1"/>
      <c r="G82" s="1"/>
      <c r="H82" s="1" t="str">
        <f ca="1">IFERROR(__xludf.DUMMYFUNCTION("""COMPUTED_VALUE"""),"10A URE - ALTAMIRA")</f>
        <v>10A URE - ALTAMIRA</v>
      </c>
      <c r="I82" s="1"/>
      <c r="J82" s="1" t="str">
        <f ca="1">IFERROR(__xludf.DUMMYFUNCTION("""COMPUTED_VALUE"""),"BRASIL NOVO")</f>
        <v>BRASIL NOVO</v>
      </c>
      <c r="K82" s="1"/>
      <c r="L82" s="2" t="str">
        <f ca="1">IFERROR(__xludf.DUMMYFUNCTION("""COMPUTED_VALUE"""),"001921005000000")</f>
        <v>001921005000000</v>
      </c>
      <c r="M82" s="2" t="str">
        <f ca="1">IFERROR(__xludf.DUMMYFUNCTION("""COMPUTED_VALUE"""),"1921005000000")</f>
        <v>1921005000000</v>
      </c>
      <c r="N82" s="1" t="str">
        <f ca="1">IFERROR(__xludf.DUMMYFUNCTION("""COMPUTED_VALUE"""),"ESCOLA ESTADUAL RURAL DE BRASIL NOVO")</f>
        <v>ESCOLA ESTADUAL RURAL DE BRASIL NOVO</v>
      </c>
      <c r="O82" s="1"/>
      <c r="P82" s="1"/>
      <c r="Q82" s="1" t="s">
        <v>68</v>
      </c>
    </row>
    <row r="83" spans="1:17" x14ac:dyDescent="0.25">
      <c r="A83" s="2" t="str">
        <f ca="1">IFERROR(__xludf.DUMMYFUNCTION("""COMPUTED_VALUE"""),"REG DE INTEGRA DO XINGU")</f>
        <v>REG DE INTEGRA DO XINGU</v>
      </c>
      <c r="B83" s="1" t="str">
        <f ca="1">IFERROR(__xludf.DUMMYFUNCTION("""COMPUTED_VALUE"""),"DRE ALTAMIRA")</f>
        <v>DRE ALTAMIRA</v>
      </c>
      <c r="C83" s="2" t="str">
        <f ca="1">IFERROR(__xludf.DUMMYFUNCTION("""COMPUTED_VALUE"""),"DRE - ALTAMIRA")</f>
        <v>DRE - ALTAMIRA</v>
      </c>
      <c r="D83" s="1"/>
      <c r="E83" s="2" t="str">
        <f ca="1">IFERROR(__xludf.DUMMYFUNCTION("""COMPUTED_VALUE"""),"DRE - ALTAMIRA")</f>
        <v>DRE - ALTAMIRA</v>
      </c>
      <c r="F83" s="1">
        <f ca="1">IFERROR(__xludf.DUMMYFUNCTION("""COMPUTED_VALUE"""),3)</f>
        <v>3</v>
      </c>
      <c r="G83" s="1"/>
      <c r="H83" s="1" t="str">
        <f ca="1">IFERROR(__xludf.DUMMYFUNCTION("""COMPUTED_VALUE"""),"10A URE - ALTAMIRA")</f>
        <v>10A URE - ALTAMIRA</v>
      </c>
      <c r="I83" s="1"/>
      <c r="J83" s="1" t="str">
        <f ca="1">IFERROR(__xludf.DUMMYFUNCTION("""COMPUTED_VALUE"""),"MEDICILANDIA")</f>
        <v>MEDICILANDIA</v>
      </c>
      <c r="K83" s="1">
        <f ca="1">IFERROR(__xludf.DUMMYFUNCTION("""COMPUTED_VALUE"""),15177980)</f>
        <v>15177980</v>
      </c>
      <c r="L83" s="2" t="str">
        <f ca="1">IFERROR(__xludf.DUMMYFUNCTION("""COMPUTED_VALUE"""),"001920928830001")</f>
        <v>001920928830001</v>
      </c>
      <c r="M83" s="2" t="str">
        <f ca="1">IFERROR(__xludf.DUMMYFUNCTION("""COMPUTED_VALUE"""),"1920928830001")</f>
        <v>1920928830001</v>
      </c>
      <c r="N83" s="1" t="str">
        <f ca="1">IFERROR(__xludf.DUMMYFUNCTION("""COMPUTED_VALUE"""),"ANEXO RURAL FRANCISCA GOMES DOS SANTOS")</f>
        <v>ANEXO RURAL FRANCISCA GOMES DOS SANTOS</v>
      </c>
      <c r="O83" s="1"/>
      <c r="P83" s="1"/>
      <c r="Q83" s="1" t="s">
        <v>68</v>
      </c>
    </row>
    <row r="84" spans="1:17" x14ac:dyDescent="0.25">
      <c r="A84" s="2" t="str">
        <f ca="1">IFERROR(__xludf.DUMMYFUNCTION("""COMPUTED_VALUE"""),"REG DE INTEGRA DO XINGU")</f>
        <v>REG DE INTEGRA DO XINGU</v>
      </c>
      <c r="B84" s="1" t="str">
        <f ca="1">IFERROR(__xludf.DUMMYFUNCTION("""COMPUTED_VALUE"""),"DRE ALTAMIRA")</f>
        <v>DRE ALTAMIRA</v>
      </c>
      <c r="C84" s="2" t="str">
        <f ca="1">IFERROR(__xludf.DUMMYFUNCTION("""COMPUTED_VALUE"""),"DRE - ALTAMIRA")</f>
        <v>DRE - ALTAMIRA</v>
      </c>
      <c r="D84" s="1"/>
      <c r="E84" s="2" t="str">
        <f ca="1">IFERROR(__xludf.DUMMYFUNCTION("""COMPUTED_VALUE"""),"DRE - ALTAMIRA")</f>
        <v>DRE - ALTAMIRA</v>
      </c>
      <c r="F84" s="1">
        <f ca="1">IFERROR(__xludf.DUMMYFUNCTION("""COMPUTED_VALUE"""),3)</f>
        <v>3</v>
      </c>
      <c r="G84" s="1" t="str">
        <f ca="1">IFERROR(__xludf.DUMMYFUNCTION("""COMPUTED_VALUE"""),"DRE ALTAMIRA")</f>
        <v>DRE ALTAMIRA</v>
      </c>
      <c r="H84" s="1" t="str">
        <f ca="1">IFERROR(__xludf.DUMMYFUNCTION("""COMPUTED_VALUE"""),"10A URE - ALTAMIRA")</f>
        <v>10A URE - ALTAMIRA</v>
      </c>
      <c r="I84" s="1"/>
      <c r="J84" s="1" t="str">
        <f ca="1">IFERROR(__xludf.DUMMYFUNCTION("""COMPUTED_VALUE"""),"MEDICILANDIA")</f>
        <v>MEDICILANDIA</v>
      </c>
      <c r="K84" s="1">
        <f ca="1">IFERROR(__xludf.DUMMYFUNCTION("""COMPUTED_VALUE"""),15107035)</f>
        <v>15107035</v>
      </c>
      <c r="L84" s="2" t="str">
        <f ca="1">IFERROR(__xludf.DUMMYFUNCTION("""COMPUTED_VALUE"""),"001920928830000")</f>
        <v>001920928830000</v>
      </c>
      <c r="M84" s="2" t="str">
        <f ca="1">IFERROR(__xludf.DUMMYFUNCTION("""COMPUTED_VALUE"""),"1920928830000")</f>
        <v>1920928830000</v>
      </c>
      <c r="N84" s="1" t="str">
        <f ca="1">IFERROR(__xludf.DUMMYFUNCTION("""COMPUTED_VALUE"""),"EEEM FRANCISCA GOMES DOS SANTOS")</f>
        <v>EEEM FRANCISCA GOMES DOS SANTOS</v>
      </c>
      <c r="O84" s="1"/>
      <c r="P84" s="1"/>
      <c r="Q84" s="1" t="s">
        <v>68</v>
      </c>
    </row>
    <row r="85" spans="1:17" x14ac:dyDescent="0.25">
      <c r="A85" s="2" t="str">
        <f ca="1">IFERROR(__xludf.DUMMYFUNCTION("""COMPUTED_VALUE"""),"REG DE INTEGRA DO XINGU")</f>
        <v>REG DE INTEGRA DO XINGU</v>
      </c>
      <c r="B85" s="1" t="str">
        <f ca="1">IFERROR(__xludf.DUMMYFUNCTION("""COMPUTED_VALUE"""),"DRE ALTAMIRA")</f>
        <v>DRE ALTAMIRA</v>
      </c>
      <c r="C85" s="2" t="str">
        <f ca="1">IFERROR(__xludf.DUMMYFUNCTION("""COMPUTED_VALUE"""),"DRE - ALTAMIRA")</f>
        <v>DRE - ALTAMIRA</v>
      </c>
      <c r="D85" s="1"/>
      <c r="E85" s="2" t="str">
        <f ca="1">IFERROR(__xludf.DUMMYFUNCTION("""COMPUTED_VALUE"""),"DRE - ALTAMIRA")</f>
        <v>DRE - ALTAMIRA</v>
      </c>
      <c r="F85" s="1"/>
      <c r="G85" s="1"/>
      <c r="H85" s="1" t="str">
        <f ca="1">IFERROR(__xludf.DUMMYFUNCTION("""COMPUTED_VALUE"""),"10A URE - ALTAMIRA")</f>
        <v>10A URE - ALTAMIRA</v>
      </c>
      <c r="I85" s="1"/>
      <c r="J85" s="1" t="str">
        <f ca="1">IFERROR(__xludf.DUMMYFUNCTION("""COMPUTED_VALUE"""),"MEDICILANDIA")</f>
        <v>MEDICILANDIA</v>
      </c>
      <c r="K85" s="1"/>
      <c r="L85" s="2" t="str">
        <f ca="1">IFERROR(__xludf.DUMMYFUNCTION("""COMPUTED_VALUE"""),"001921006000000")</f>
        <v>001921006000000</v>
      </c>
      <c r="M85" s="2" t="str">
        <f ca="1">IFERROR(__xludf.DUMMYFUNCTION("""COMPUTED_VALUE"""),"1921006000000")</f>
        <v>1921006000000</v>
      </c>
      <c r="N85" s="1" t="str">
        <f ca="1">IFERROR(__xludf.DUMMYFUNCTION("""COMPUTED_VALUE"""),"ESCOLA ESTADUAL RURAL DE MEDICILANDIA")</f>
        <v>ESCOLA ESTADUAL RURAL DE MEDICILANDIA</v>
      </c>
      <c r="O85" s="1"/>
      <c r="P85" s="1"/>
      <c r="Q85" s="1" t="s">
        <v>68</v>
      </c>
    </row>
    <row r="86" spans="1:17" x14ac:dyDescent="0.25">
      <c r="A86" s="2" t="str">
        <f ca="1">IFERROR(__xludf.DUMMYFUNCTION("""COMPUTED_VALUE"""),"REG DE INTEGRA DO XINGU")</f>
        <v>REG DE INTEGRA DO XINGU</v>
      </c>
      <c r="B86" s="1" t="str">
        <f ca="1">IFERROR(__xludf.DUMMYFUNCTION("""COMPUTED_VALUE"""),"DRE ALTAMIRA")</f>
        <v>DRE ALTAMIRA</v>
      </c>
      <c r="C86" s="2" t="str">
        <f ca="1">IFERROR(__xludf.DUMMYFUNCTION("""COMPUTED_VALUE"""),"DRE - ALTAMIRA")</f>
        <v>DRE - ALTAMIRA</v>
      </c>
      <c r="D86" s="1"/>
      <c r="E86" s="2" t="str">
        <f ca="1">IFERROR(__xludf.DUMMYFUNCTION("""COMPUTED_VALUE"""),"DRE - ALTAMIRA")</f>
        <v>DRE - ALTAMIRA</v>
      </c>
      <c r="F86" s="1">
        <f ca="1">IFERROR(__xludf.DUMMYFUNCTION("""COMPUTED_VALUE"""),3)</f>
        <v>3</v>
      </c>
      <c r="G86" s="1" t="str">
        <f ca="1">IFERROR(__xludf.DUMMYFUNCTION("""COMPUTED_VALUE"""),"DRE ALTAMIRA")</f>
        <v>DRE ALTAMIRA</v>
      </c>
      <c r="H86" s="1" t="str">
        <f ca="1">IFERROR(__xludf.DUMMYFUNCTION("""COMPUTED_VALUE"""),"10A URE - ALTAMIRA")</f>
        <v>10A URE - ALTAMIRA</v>
      </c>
      <c r="I86" s="1"/>
      <c r="J86" s="1" t="str">
        <f ca="1">IFERROR(__xludf.DUMMYFUNCTION("""COMPUTED_VALUE"""),"PORTO DE MOZ")</f>
        <v>PORTO DE MOZ</v>
      </c>
      <c r="K86" s="1">
        <f ca="1">IFERROR(__xludf.DUMMYFUNCTION("""COMPUTED_VALUE"""),15158950)</f>
        <v>15158950</v>
      </c>
      <c r="L86" s="2" t="str">
        <f ca="1">IFERROR(__xludf.DUMMYFUNCTION("""COMPUTED_VALUE"""),"001920937620000")</f>
        <v>001920937620000</v>
      </c>
      <c r="M86" s="2" t="str">
        <f ca="1">IFERROR(__xludf.DUMMYFUNCTION("""COMPUTED_VALUE"""),"1920937620000")</f>
        <v>1920937620000</v>
      </c>
      <c r="N86" s="1" t="str">
        <f ca="1">IFERROR(__xludf.DUMMYFUNCTION("""COMPUTED_VALUE"""),"EEEEM JOSE ALFREDO HAGE")</f>
        <v>EEEEM JOSE ALFREDO HAGE</v>
      </c>
      <c r="O86" s="1"/>
      <c r="P86" s="1"/>
      <c r="Q86" s="1" t="s">
        <v>68</v>
      </c>
    </row>
    <row r="87" spans="1:17" x14ac:dyDescent="0.25">
      <c r="A87" s="2" t="str">
        <f ca="1">IFERROR(__xludf.DUMMYFUNCTION("""COMPUTED_VALUE"""),"REG DE INTEGRA DO XINGU")</f>
        <v>REG DE INTEGRA DO XINGU</v>
      </c>
      <c r="B87" s="1" t="str">
        <f ca="1">IFERROR(__xludf.DUMMYFUNCTION("""COMPUTED_VALUE"""),"DRE ALTAMIRA")</f>
        <v>DRE ALTAMIRA</v>
      </c>
      <c r="C87" s="2" t="str">
        <f ca="1">IFERROR(__xludf.DUMMYFUNCTION("""COMPUTED_VALUE"""),"DRE - ALTAMIRA")</f>
        <v>DRE - ALTAMIRA</v>
      </c>
      <c r="D87" s="1"/>
      <c r="E87" s="2" t="str">
        <f ca="1">IFERROR(__xludf.DUMMYFUNCTION("""COMPUTED_VALUE"""),"DRE - ALTAMIRA")</f>
        <v>DRE - ALTAMIRA</v>
      </c>
      <c r="F87" s="1">
        <f ca="1">IFERROR(__xludf.DUMMYFUNCTION("""COMPUTED_VALUE"""),3)</f>
        <v>3</v>
      </c>
      <c r="G87" s="1" t="str">
        <f ca="1">IFERROR(__xludf.DUMMYFUNCTION("""COMPUTED_VALUE"""),"DRE ALTAMIRA")</f>
        <v>DRE ALTAMIRA</v>
      </c>
      <c r="H87" s="1" t="str">
        <f ca="1">IFERROR(__xludf.DUMMYFUNCTION("""COMPUTED_VALUE"""),"10A URE - ALTAMIRA")</f>
        <v>10A URE - ALTAMIRA</v>
      </c>
      <c r="I87" s="1"/>
      <c r="J87" s="1" t="str">
        <f ca="1">IFERROR(__xludf.DUMMYFUNCTION("""COMPUTED_VALUE"""),"PORTO DE MOZ")</f>
        <v>PORTO DE MOZ</v>
      </c>
      <c r="K87" s="1">
        <f ca="1">IFERROR(__xludf.DUMMYFUNCTION("""COMPUTED_VALUE"""),15017893)</f>
        <v>15017893</v>
      </c>
      <c r="L87" s="2" t="str">
        <f ca="1">IFERROR(__xludf.DUMMYFUNCTION("""COMPUTED_VALUE"""),"001920936930000")</f>
        <v>001920936930000</v>
      </c>
      <c r="M87" s="2" t="str">
        <f ca="1">IFERROR(__xludf.DUMMYFUNCTION("""COMPUTED_VALUE"""),"1920936930000")</f>
        <v>1920936930000</v>
      </c>
      <c r="N87" s="1" t="str">
        <f ca="1">IFERROR(__xludf.DUMMYFUNCTION("""COMPUTED_VALUE"""),"EEEM DOM PEDRO I SEDE")</f>
        <v>EEEM DOM PEDRO I SEDE</v>
      </c>
      <c r="O87" s="1"/>
      <c r="P87" s="1"/>
      <c r="Q87" s="1" t="s">
        <v>68</v>
      </c>
    </row>
    <row r="88" spans="1:17" x14ac:dyDescent="0.25">
      <c r="A88" s="2" t="str">
        <f ca="1">IFERROR(__xludf.DUMMYFUNCTION("""COMPUTED_VALUE"""),"REG DE INTEGRA DO XINGU")</f>
        <v>REG DE INTEGRA DO XINGU</v>
      </c>
      <c r="B88" s="1" t="str">
        <f ca="1">IFERROR(__xludf.DUMMYFUNCTION("""COMPUTED_VALUE"""),"DRE ALTAMIRA")</f>
        <v>DRE ALTAMIRA</v>
      </c>
      <c r="C88" s="2" t="str">
        <f ca="1">IFERROR(__xludf.DUMMYFUNCTION("""COMPUTED_VALUE"""),"DRE - ALTAMIRA")</f>
        <v>DRE - ALTAMIRA</v>
      </c>
      <c r="D88" s="1"/>
      <c r="E88" s="2" t="str">
        <f ca="1">IFERROR(__xludf.DUMMYFUNCTION("""COMPUTED_VALUE"""),"DRE - ALTAMIRA")</f>
        <v>DRE - ALTAMIRA</v>
      </c>
      <c r="F88" s="1">
        <f ca="1">IFERROR(__xludf.DUMMYFUNCTION("""COMPUTED_VALUE"""),3)</f>
        <v>3</v>
      </c>
      <c r="G88" s="1" t="str">
        <f ca="1">IFERROR(__xludf.DUMMYFUNCTION("""COMPUTED_VALUE"""),"DRE ALTAMIRA")</f>
        <v>DRE ALTAMIRA</v>
      </c>
      <c r="H88" s="1" t="str">
        <f ca="1">IFERROR(__xludf.DUMMYFUNCTION("""COMPUTED_VALUE"""),"10A URE - ALTAMIRA")</f>
        <v>10A URE - ALTAMIRA</v>
      </c>
      <c r="I88" s="1"/>
      <c r="J88" s="1" t="str">
        <f ca="1">IFERROR(__xludf.DUMMYFUNCTION("""COMPUTED_VALUE"""),"PORTO DE MOZ")</f>
        <v>PORTO DE MOZ</v>
      </c>
      <c r="K88" s="1">
        <f ca="1">IFERROR(__xludf.DUMMYFUNCTION("""COMPUTED_VALUE"""),15178889)</f>
        <v>15178889</v>
      </c>
      <c r="L88" s="2" t="str">
        <f ca="1">IFERROR(__xludf.DUMMYFUNCTION("""COMPUTED_VALUE"""),"001920936930001")</f>
        <v>001920936930001</v>
      </c>
      <c r="M88" s="2" t="str">
        <f ca="1">IFERROR(__xludf.DUMMYFUNCTION("""COMPUTED_VALUE"""),"1920936930001")</f>
        <v>1920936930001</v>
      </c>
      <c r="N88" s="1" t="str">
        <f ca="1">IFERROR(__xludf.DUMMYFUNCTION("""COMPUTED_VALUE"""),"ANEXO RURAL DOM PEDRO I")</f>
        <v>ANEXO RURAL DOM PEDRO I</v>
      </c>
      <c r="O88" s="1"/>
      <c r="P88" s="1"/>
      <c r="Q88" s="1" t="s">
        <v>68</v>
      </c>
    </row>
    <row r="89" spans="1:17" x14ac:dyDescent="0.25">
      <c r="A89" s="2" t="str">
        <f ca="1">IFERROR(__xludf.DUMMYFUNCTION("""COMPUTED_VALUE"""),"REG DE INTEGRA DO XINGU")</f>
        <v>REG DE INTEGRA DO XINGU</v>
      </c>
      <c r="B89" s="1" t="str">
        <f ca="1">IFERROR(__xludf.DUMMYFUNCTION("""COMPUTED_VALUE"""),"DRE ALTAMIRA")</f>
        <v>DRE ALTAMIRA</v>
      </c>
      <c r="C89" s="2" t="str">
        <f ca="1">IFERROR(__xludf.DUMMYFUNCTION("""COMPUTED_VALUE"""),"DRE - ALTAMIRA")</f>
        <v>DRE - ALTAMIRA</v>
      </c>
      <c r="D89" s="1"/>
      <c r="E89" s="2" t="str">
        <f ca="1">IFERROR(__xludf.DUMMYFUNCTION("""COMPUTED_VALUE"""),"DRE - ALTAMIRA")</f>
        <v>DRE - ALTAMIRA</v>
      </c>
      <c r="F89" s="1">
        <f ca="1">IFERROR(__xludf.DUMMYFUNCTION("""COMPUTED_VALUE"""),3)</f>
        <v>3</v>
      </c>
      <c r="G89" s="1"/>
      <c r="H89" s="1" t="str">
        <f ca="1">IFERROR(__xludf.DUMMYFUNCTION("""COMPUTED_VALUE"""),"10A URE - ALTAMIRA")</f>
        <v>10A URE - ALTAMIRA</v>
      </c>
      <c r="I89" s="1"/>
      <c r="J89" s="1" t="str">
        <f ca="1">IFERROR(__xludf.DUMMYFUNCTION("""COMPUTED_VALUE"""),"SENADOR JOSE PORFIRIO")</f>
        <v>SENADOR JOSE PORFIRIO</v>
      </c>
      <c r="K89" s="1">
        <f ca="1">IFERROR(__xludf.DUMMYFUNCTION("""COMPUTED_VALUE"""),15178137)</f>
        <v>15178137</v>
      </c>
      <c r="L89" s="2" t="str">
        <f ca="1">IFERROR(__xludf.DUMMYFUNCTION("""COMPUTED_VALUE"""),"001920928020001")</f>
        <v>001920928020001</v>
      </c>
      <c r="M89" s="2" t="str">
        <f ca="1">IFERROR(__xludf.DUMMYFUNCTION("""COMPUTED_VALUE"""),"1920928020001")</f>
        <v>1920928020001</v>
      </c>
      <c r="N89" s="1" t="str">
        <f ca="1">IFERROR(__xludf.DUMMYFUNCTION("""COMPUTED_VALUE"""),"ANEXO RURAL ROSA ALVAREZ REBELO")</f>
        <v>ANEXO RURAL ROSA ALVAREZ REBELO</v>
      </c>
      <c r="O89" s="1"/>
      <c r="P89" s="1"/>
      <c r="Q89" s="1" t="s">
        <v>68</v>
      </c>
    </row>
    <row r="90" spans="1:17" x14ac:dyDescent="0.25">
      <c r="A90" s="2" t="str">
        <f ca="1">IFERROR(__xludf.DUMMYFUNCTION("""COMPUTED_VALUE"""),"REG DE INTEGRA DO XINGU")</f>
        <v>REG DE INTEGRA DO XINGU</v>
      </c>
      <c r="B90" s="1" t="str">
        <f ca="1">IFERROR(__xludf.DUMMYFUNCTION("""COMPUTED_VALUE"""),"DRE ALTAMIRA")</f>
        <v>DRE ALTAMIRA</v>
      </c>
      <c r="C90" s="2" t="str">
        <f ca="1">IFERROR(__xludf.DUMMYFUNCTION("""COMPUTED_VALUE"""),"DRE - ALTAMIRA")</f>
        <v>DRE - ALTAMIRA</v>
      </c>
      <c r="D90" s="1"/>
      <c r="E90" s="2" t="str">
        <f ca="1">IFERROR(__xludf.DUMMYFUNCTION("""COMPUTED_VALUE"""),"DRE - ALTAMIRA")</f>
        <v>DRE - ALTAMIRA</v>
      </c>
      <c r="F90" s="1">
        <f ca="1">IFERROR(__xludf.DUMMYFUNCTION("""COMPUTED_VALUE"""),3)</f>
        <v>3</v>
      </c>
      <c r="G90" s="1" t="str">
        <f ca="1">IFERROR(__xludf.DUMMYFUNCTION("""COMPUTED_VALUE"""),"DRE ALTAMIRA")</f>
        <v>DRE ALTAMIRA</v>
      </c>
      <c r="H90" s="1" t="str">
        <f ca="1">IFERROR(__xludf.DUMMYFUNCTION("""COMPUTED_VALUE"""),"10A URE - ALTAMIRA")</f>
        <v>10A URE - ALTAMIRA</v>
      </c>
      <c r="I90" s="1"/>
      <c r="J90" s="1" t="str">
        <f ca="1">IFERROR(__xludf.DUMMYFUNCTION("""COMPUTED_VALUE"""),"SENADOR JOSE PORFIRIO")</f>
        <v>SENADOR JOSE PORFIRIO</v>
      </c>
      <c r="K90" s="1">
        <f ca="1">IFERROR(__xludf.DUMMYFUNCTION("""COMPUTED_VALUE"""),15109194)</f>
        <v>15109194</v>
      </c>
      <c r="L90" s="2" t="str">
        <f ca="1">IFERROR(__xludf.DUMMYFUNCTION("""COMPUTED_VALUE"""),"001920928020000")</f>
        <v>001920928020000</v>
      </c>
      <c r="M90" s="2" t="str">
        <f ca="1">IFERROR(__xludf.DUMMYFUNCTION("""COMPUTED_VALUE"""),"1920928020000")</f>
        <v>1920928020000</v>
      </c>
      <c r="N90" s="1" t="str">
        <f ca="1">IFERROR(__xludf.DUMMYFUNCTION("""COMPUTED_VALUE"""),"EEEM ROSA ALVAREZ REBELO SEDE")</f>
        <v>EEEM ROSA ALVAREZ REBELO SEDE</v>
      </c>
      <c r="O90" s="1"/>
      <c r="P90" s="1"/>
      <c r="Q90" s="1" t="s">
        <v>68</v>
      </c>
    </row>
    <row r="91" spans="1:17" x14ac:dyDescent="0.25">
      <c r="A91" s="2" t="str">
        <f ca="1">IFERROR(__xludf.DUMMYFUNCTION("""COMPUTED_VALUE"""),"REG DE INTEGRA DO XINGU")</f>
        <v>REG DE INTEGRA DO XINGU</v>
      </c>
      <c r="B91" s="1" t="str">
        <f ca="1">IFERROR(__xludf.DUMMYFUNCTION("""COMPUTED_VALUE"""),"DRE ALTAMIRA")</f>
        <v>DRE ALTAMIRA</v>
      </c>
      <c r="C91" s="2" t="str">
        <f ca="1">IFERROR(__xludf.DUMMYFUNCTION("""COMPUTED_VALUE"""),"DRE - ALTAMIRA")</f>
        <v>DRE - ALTAMIRA</v>
      </c>
      <c r="D91" s="1"/>
      <c r="E91" s="2" t="str">
        <f ca="1">IFERROR(__xludf.DUMMYFUNCTION("""COMPUTED_VALUE"""),"DRE - ALTAMIRA")</f>
        <v>DRE - ALTAMIRA</v>
      </c>
      <c r="F91" s="1"/>
      <c r="G91" s="1"/>
      <c r="H91" s="1" t="str">
        <f ca="1">IFERROR(__xludf.DUMMYFUNCTION("""COMPUTED_VALUE"""),"10A URE - ALTAMIRA")</f>
        <v>10A URE - ALTAMIRA</v>
      </c>
      <c r="I91" s="1"/>
      <c r="J91" s="1" t="str">
        <f ca="1">IFERROR(__xludf.DUMMYFUNCTION("""COMPUTED_VALUE"""),"SENADOR JOSE PORFIRIO")</f>
        <v>SENADOR JOSE PORFIRIO</v>
      </c>
      <c r="K91" s="1"/>
      <c r="L91" s="2" t="str">
        <f ca="1">IFERROR(__xludf.DUMMYFUNCTION("""COMPUTED_VALUE"""),"001921007000000")</f>
        <v>001921007000000</v>
      </c>
      <c r="M91" s="2" t="str">
        <f ca="1">IFERROR(__xludf.DUMMYFUNCTION("""COMPUTED_VALUE"""),"1921007000000")</f>
        <v>1921007000000</v>
      </c>
      <c r="N91" s="1" t="str">
        <f ca="1">IFERROR(__xludf.DUMMYFUNCTION("""COMPUTED_VALUE"""),"ESCOLA ESTADUAL RURAL DE SENADOR JOSE PORFIRIO")</f>
        <v>ESCOLA ESTADUAL RURAL DE SENADOR JOSE PORFIRIO</v>
      </c>
      <c r="O91" s="1"/>
      <c r="P91" s="1"/>
      <c r="Q91" s="1" t="s">
        <v>68</v>
      </c>
    </row>
    <row r="92" spans="1:17" x14ac:dyDescent="0.25">
      <c r="A92" s="2" t="str">
        <f ca="1">IFERROR(__xludf.DUMMYFUNCTION("""COMPUTED_VALUE"""),"REG DE INTEGRA DO XINGU")</f>
        <v>REG DE INTEGRA DO XINGU</v>
      </c>
      <c r="B92" s="1" t="str">
        <f ca="1">IFERROR(__xludf.DUMMYFUNCTION("""COMPUTED_VALUE"""),"DRE ALTAMIRA")</f>
        <v>DRE ALTAMIRA</v>
      </c>
      <c r="C92" s="2" t="str">
        <f ca="1">IFERROR(__xludf.DUMMYFUNCTION("""COMPUTED_VALUE"""),"DRE - ALTAMIRA")</f>
        <v>DRE - ALTAMIRA</v>
      </c>
      <c r="D92" s="1"/>
      <c r="E92" s="2" t="str">
        <f ca="1">IFERROR(__xludf.DUMMYFUNCTION("""COMPUTED_VALUE"""),"DRE - ALTAMIRA")</f>
        <v>DRE - ALTAMIRA</v>
      </c>
      <c r="F92" s="1">
        <f ca="1">IFERROR(__xludf.DUMMYFUNCTION("""COMPUTED_VALUE"""),3)</f>
        <v>3</v>
      </c>
      <c r="G92" s="1"/>
      <c r="H92" s="1" t="str">
        <f ca="1">IFERROR(__xludf.DUMMYFUNCTION("""COMPUTED_VALUE"""),"10A URE - ALTAMIRA")</f>
        <v>10A URE - ALTAMIRA</v>
      </c>
      <c r="I92" s="1"/>
      <c r="J92" s="1" t="str">
        <f ca="1">IFERROR(__xludf.DUMMYFUNCTION("""COMPUTED_VALUE"""),"URUARA")</f>
        <v>URUARA</v>
      </c>
      <c r="K92" s="1">
        <f ca="1">IFERROR(__xludf.DUMMYFUNCTION("""COMPUTED_VALUE"""),15178030)</f>
        <v>15178030</v>
      </c>
      <c r="L92" s="2" t="str">
        <f ca="1">IFERROR(__xludf.DUMMYFUNCTION("""COMPUTED_VALUE"""),"001920903390001")</f>
        <v>001920903390001</v>
      </c>
      <c r="M92" s="2" t="str">
        <f ca="1">IFERROR(__xludf.DUMMYFUNCTION("""COMPUTED_VALUE"""),"1920903390001")</f>
        <v>1920903390001</v>
      </c>
      <c r="N92" s="1" t="str">
        <f ca="1">IFERROR(__xludf.DUMMYFUNCTION("""COMPUTED_VALUE"""),"ANEXO RURAL MELVIN JONES")</f>
        <v>ANEXO RURAL MELVIN JONES</v>
      </c>
      <c r="O92" s="1"/>
      <c r="P92" s="1"/>
      <c r="Q92" s="1" t="s">
        <v>68</v>
      </c>
    </row>
    <row r="93" spans="1:17" x14ac:dyDescent="0.25">
      <c r="A93" s="2" t="str">
        <f ca="1">IFERROR(__xludf.DUMMYFUNCTION("""COMPUTED_VALUE"""),"REG DE INTEGRA DO XINGU")</f>
        <v>REG DE INTEGRA DO XINGU</v>
      </c>
      <c r="B93" s="1" t="str">
        <f ca="1">IFERROR(__xludf.DUMMYFUNCTION("""COMPUTED_VALUE"""),"DRE ALTAMIRA")</f>
        <v>DRE ALTAMIRA</v>
      </c>
      <c r="C93" s="2" t="str">
        <f ca="1">IFERROR(__xludf.DUMMYFUNCTION("""COMPUTED_VALUE"""),"DRE - ALTAMIRA")</f>
        <v>DRE - ALTAMIRA</v>
      </c>
      <c r="D93" s="1"/>
      <c r="E93" s="2" t="str">
        <f ca="1">IFERROR(__xludf.DUMMYFUNCTION("""COMPUTED_VALUE"""),"DRE - ALTAMIRA")</f>
        <v>DRE - ALTAMIRA</v>
      </c>
      <c r="F93" s="1">
        <f ca="1">IFERROR(__xludf.DUMMYFUNCTION("""COMPUTED_VALUE"""),3)</f>
        <v>3</v>
      </c>
      <c r="G93" s="1" t="str">
        <f ca="1">IFERROR(__xludf.DUMMYFUNCTION("""COMPUTED_VALUE"""),"DRE ALTAMIRA")</f>
        <v>DRE ALTAMIRA</v>
      </c>
      <c r="H93" s="1" t="str">
        <f ca="1">IFERROR(__xludf.DUMMYFUNCTION("""COMPUTED_VALUE"""),"10A URE - ALTAMIRA")</f>
        <v>10A URE - ALTAMIRA</v>
      </c>
      <c r="I93" s="1"/>
      <c r="J93" s="1" t="str">
        <f ca="1">IFERROR(__xludf.DUMMYFUNCTION("""COMPUTED_VALUE"""),"URUARA")</f>
        <v>URUARA</v>
      </c>
      <c r="K93" s="1">
        <f ca="1">IFERROR(__xludf.DUMMYFUNCTION("""COMPUTED_VALUE"""),15109879)</f>
        <v>15109879</v>
      </c>
      <c r="L93" s="2" t="str">
        <f ca="1">IFERROR(__xludf.DUMMYFUNCTION("""COMPUTED_VALUE"""),"001920903390000")</f>
        <v>001920903390000</v>
      </c>
      <c r="M93" s="2" t="str">
        <f ca="1">IFERROR(__xludf.DUMMYFUNCTION("""COMPUTED_VALUE"""),"1920903390000")</f>
        <v>1920903390000</v>
      </c>
      <c r="N93" s="1" t="str">
        <f ca="1">IFERROR(__xludf.DUMMYFUNCTION("""COMPUTED_VALUE"""),"EEEM MELVIN JONES SEDE")</f>
        <v>EEEM MELVIN JONES SEDE</v>
      </c>
      <c r="O93" s="1"/>
      <c r="P93" s="1"/>
      <c r="Q93" s="1" t="s">
        <v>68</v>
      </c>
    </row>
    <row r="94" spans="1:17" x14ac:dyDescent="0.25">
      <c r="A94" s="2" t="str">
        <f ca="1">IFERROR(__xludf.DUMMYFUNCTION("""COMPUTED_VALUE"""),"REG DE INTEGRA DO XINGU")</f>
        <v>REG DE INTEGRA DO XINGU</v>
      </c>
      <c r="B94" s="1" t="str">
        <f ca="1">IFERROR(__xludf.DUMMYFUNCTION("""COMPUTED_VALUE"""),"DRE ALTAMIRA")</f>
        <v>DRE ALTAMIRA</v>
      </c>
      <c r="C94" s="2" t="str">
        <f ca="1">IFERROR(__xludf.DUMMYFUNCTION("""COMPUTED_VALUE"""),"DRE - ALTAMIRA")</f>
        <v>DRE - ALTAMIRA</v>
      </c>
      <c r="D94" s="1"/>
      <c r="E94" s="2" t="str">
        <f ca="1">IFERROR(__xludf.DUMMYFUNCTION("""COMPUTED_VALUE"""),"DRE - ALTAMIRA")</f>
        <v>DRE - ALTAMIRA</v>
      </c>
      <c r="F94" s="1"/>
      <c r="G94" s="1"/>
      <c r="H94" s="1" t="str">
        <f ca="1">IFERROR(__xludf.DUMMYFUNCTION("""COMPUTED_VALUE"""),"10A URE - ALTAMIRA")</f>
        <v>10A URE - ALTAMIRA</v>
      </c>
      <c r="I94" s="1"/>
      <c r="J94" s="1" t="str">
        <f ca="1">IFERROR(__xludf.DUMMYFUNCTION("""COMPUTED_VALUE"""),"URUARA")</f>
        <v>URUARA</v>
      </c>
      <c r="K94" s="1"/>
      <c r="L94" s="2" t="str">
        <f ca="1">IFERROR(__xludf.DUMMYFUNCTION("""COMPUTED_VALUE"""),"001921008000000")</f>
        <v>001921008000000</v>
      </c>
      <c r="M94" s="2" t="str">
        <f ca="1">IFERROR(__xludf.DUMMYFUNCTION("""COMPUTED_VALUE"""),"1921008000000")</f>
        <v>1921008000000</v>
      </c>
      <c r="N94" s="1" t="str">
        <f ca="1">IFERROR(__xludf.DUMMYFUNCTION("""COMPUTED_VALUE"""),"ESCOLA ESTADUAL RURAL DE URUARA")</f>
        <v>ESCOLA ESTADUAL RURAL DE URUARA</v>
      </c>
      <c r="O94" s="1"/>
      <c r="P94" s="1"/>
      <c r="Q94" s="1" t="s">
        <v>68</v>
      </c>
    </row>
    <row r="95" spans="1:17" x14ac:dyDescent="0.25">
      <c r="A95" s="2" t="str">
        <f ca="1">IFERROR(__xludf.DUMMYFUNCTION("""COMPUTED_VALUE"""),"REG DE INTEGRA DO XINGU")</f>
        <v>REG DE INTEGRA DO XINGU</v>
      </c>
      <c r="B95" s="1" t="str">
        <f ca="1">IFERROR(__xludf.DUMMYFUNCTION("""COMPUTED_VALUE"""),"DRE ALTAMIRA")</f>
        <v>DRE ALTAMIRA</v>
      </c>
      <c r="C95" s="2" t="str">
        <f ca="1">IFERROR(__xludf.DUMMYFUNCTION("""COMPUTED_VALUE"""),"DRE - ALTAMIRA")</f>
        <v>DRE - ALTAMIRA</v>
      </c>
      <c r="D95" s="1"/>
      <c r="E95" s="2" t="str">
        <f ca="1">IFERROR(__xludf.DUMMYFUNCTION("""COMPUTED_VALUE"""),"DRE - ALTAMIRA")</f>
        <v>DRE - ALTAMIRA</v>
      </c>
      <c r="F95" s="1">
        <f ca="1">IFERROR(__xludf.DUMMYFUNCTION("""COMPUTED_VALUE"""),3)</f>
        <v>3</v>
      </c>
      <c r="G95" s="1"/>
      <c r="H95" s="1" t="str">
        <f ca="1">IFERROR(__xludf.DUMMYFUNCTION("""COMPUTED_VALUE"""),"10A URE - ALTAMIRA")</f>
        <v>10A URE - ALTAMIRA</v>
      </c>
      <c r="I95" s="1"/>
      <c r="J95" s="1" t="str">
        <f ca="1">IFERROR(__xludf.DUMMYFUNCTION("""COMPUTED_VALUE"""),"VITORIA DO XINGU")</f>
        <v>VITORIA DO XINGU</v>
      </c>
      <c r="K95" s="1">
        <f ca="1">IFERROR(__xludf.DUMMYFUNCTION("""COMPUTED_VALUE"""),15178145)</f>
        <v>15178145</v>
      </c>
      <c r="L95" s="2" t="str">
        <f ca="1">IFERROR(__xludf.DUMMYFUNCTION("""COMPUTED_VALUE"""),"001920906120001")</f>
        <v>001920906120001</v>
      </c>
      <c r="M95" s="2" t="str">
        <f ca="1">IFERROR(__xludf.DUMMYFUNCTION("""COMPUTED_VALUE"""),"1920906120001")</f>
        <v>1920906120001</v>
      </c>
      <c r="N95" s="1" t="str">
        <f ca="1">IFERROR(__xludf.DUMMYFUNCTION("""COMPUTED_VALUE"""),"ANEXO RURAL PADRE EURICO")</f>
        <v>ANEXO RURAL PADRE EURICO</v>
      </c>
      <c r="O95" s="1"/>
      <c r="P95" s="1"/>
      <c r="Q95" s="1" t="s">
        <v>68</v>
      </c>
    </row>
    <row r="96" spans="1:17" x14ac:dyDescent="0.25">
      <c r="A96" s="2" t="str">
        <f ca="1">IFERROR(__xludf.DUMMYFUNCTION("""COMPUTED_VALUE"""),"REG DE INTEGRA DO XINGU")</f>
        <v>REG DE INTEGRA DO XINGU</v>
      </c>
      <c r="B96" s="1" t="str">
        <f ca="1">IFERROR(__xludf.DUMMYFUNCTION("""COMPUTED_VALUE"""),"DRE ALTAMIRA")</f>
        <v>DRE ALTAMIRA</v>
      </c>
      <c r="C96" s="2" t="str">
        <f ca="1">IFERROR(__xludf.DUMMYFUNCTION("""COMPUTED_VALUE"""),"DRE - ALTAMIRA")</f>
        <v>DRE - ALTAMIRA</v>
      </c>
      <c r="D96" s="1"/>
      <c r="E96" s="2" t="str">
        <f ca="1">IFERROR(__xludf.DUMMYFUNCTION("""COMPUTED_VALUE"""),"DRE - ALTAMIRA")</f>
        <v>DRE - ALTAMIRA</v>
      </c>
      <c r="F96" s="1">
        <f ca="1">IFERROR(__xludf.DUMMYFUNCTION("""COMPUTED_VALUE"""),3)</f>
        <v>3</v>
      </c>
      <c r="G96" s="1" t="str">
        <f ca="1">IFERROR(__xludf.DUMMYFUNCTION("""COMPUTED_VALUE"""),"DRE ALTAMIRA")</f>
        <v>DRE ALTAMIRA</v>
      </c>
      <c r="H96" s="1" t="str">
        <f ca="1">IFERROR(__xludf.DUMMYFUNCTION("""COMPUTED_VALUE"""),"10A URE - ALTAMIRA")</f>
        <v>10A URE - ALTAMIRA</v>
      </c>
      <c r="I96" s="1"/>
      <c r="J96" s="1" t="str">
        <f ca="1">IFERROR(__xludf.DUMMYFUNCTION("""COMPUTED_VALUE"""),"VITORIA DO XINGU")</f>
        <v>VITORIA DO XINGU</v>
      </c>
      <c r="K96" s="1">
        <f ca="1">IFERROR(__xludf.DUMMYFUNCTION("""COMPUTED_VALUE"""),15105016)</f>
        <v>15105016</v>
      </c>
      <c r="L96" s="2" t="str">
        <f ca="1">IFERROR(__xludf.DUMMYFUNCTION("""COMPUTED_VALUE"""),"001920906120000")</f>
        <v>001920906120000</v>
      </c>
      <c r="M96" s="2" t="str">
        <f ca="1">IFERROR(__xludf.DUMMYFUNCTION("""COMPUTED_VALUE"""),"1920906120000")</f>
        <v>1920906120000</v>
      </c>
      <c r="N96" s="1" t="str">
        <f ca="1">IFERROR(__xludf.DUMMYFUNCTION("""COMPUTED_VALUE"""),"EEEM PADRE EURICO")</f>
        <v>EEEM PADRE EURICO</v>
      </c>
      <c r="O96" s="1"/>
      <c r="P96" s="1"/>
      <c r="Q96" s="1" t="s">
        <v>68</v>
      </c>
    </row>
    <row r="97" spans="1:17" x14ac:dyDescent="0.25">
      <c r="A97" s="2" t="str">
        <f ca="1">IFERROR(__xludf.DUMMYFUNCTION("""COMPUTED_VALUE"""),"REG DE INTEGRA DO XINGU")</f>
        <v>REG DE INTEGRA DO XINGU</v>
      </c>
      <c r="B97" s="1" t="str">
        <f ca="1">IFERROR(__xludf.DUMMYFUNCTION("""COMPUTED_VALUE"""),"DRE ALTAMIRA")</f>
        <v>DRE ALTAMIRA</v>
      </c>
      <c r="C97" s="2" t="str">
        <f ca="1">IFERROR(__xludf.DUMMYFUNCTION("""COMPUTED_VALUE"""),"DRE - ALTAMIRA")</f>
        <v>DRE - ALTAMIRA</v>
      </c>
      <c r="D97" s="1"/>
      <c r="E97" s="2" t="str">
        <f ca="1">IFERROR(__xludf.DUMMYFUNCTION("""COMPUTED_VALUE"""),"DRE - ALTAMIRA")</f>
        <v>DRE - ALTAMIRA</v>
      </c>
      <c r="F97" s="1"/>
      <c r="G97" s="1"/>
      <c r="H97" s="1" t="str">
        <f ca="1">IFERROR(__xludf.DUMMYFUNCTION("""COMPUTED_VALUE"""),"10A URE - ALTAMIRA")</f>
        <v>10A URE - ALTAMIRA</v>
      </c>
      <c r="I97" s="1"/>
      <c r="J97" s="1" t="str">
        <f ca="1">IFERROR(__xludf.DUMMYFUNCTION("""COMPUTED_VALUE"""),"VITORIA DO XINGU")</f>
        <v>VITORIA DO XINGU</v>
      </c>
      <c r="K97" s="1"/>
      <c r="L97" s="2" t="str">
        <f ca="1">IFERROR(__xludf.DUMMYFUNCTION("""COMPUTED_VALUE"""),"001921009000000")</f>
        <v>001921009000000</v>
      </c>
      <c r="M97" s="2" t="str">
        <f ca="1">IFERROR(__xludf.DUMMYFUNCTION("""COMPUTED_VALUE"""),"1921009000000")</f>
        <v>1921009000000</v>
      </c>
      <c r="N97" s="1" t="str">
        <f ca="1">IFERROR(__xludf.DUMMYFUNCTION("""COMPUTED_VALUE"""),"ESCOLA ESTADUAL RURAL DE VITORIA DO XINGU")</f>
        <v>ESCOLA ESTADUAL RURAL DE VITORIA DO XINGU</v>
      </c>
      <c r="O97" s="1"/>
      <c r="P97" s="1"/>
      <c r="Q97" s="1" t="s">
        <v>68</v>
      </c>
    </row>
    <row r="98" spans="1:17" x14ac:dyDescent="0.25">
      <c r="A98" s="2" t="str">
        <f ca="1">IFERROR(__xludf.DUMMYFUNCTION("""COMPUTED_VALUE"""),"REG DE INTEGRA  METROPOLITANA")</f>
        <v>REG DE INTEGRA  METROPOLITANA</v>
      </c>
      <c r="B98" s="1" t="str">
        <f ca="1">IFERROR(__xludf.DUMMYFUNCTION("""COMPUTED_VALUE"""),"DRE ANANINDEUA 1")</f>
        <v>DRE ANANINDEUA 1</v>
      </c>
      <c r="C98" s="2" t="str">
        <f ca="1">IFERROR(__xludf.DUMMYFUNCTION("""COMPUTED_VALUE"""),"DRE - ANANINDEUA / BELEM")</f>
        <v>DRE - ANANINDEUA / BELEM</v>
      </c>
      <c r="D98" s="2" t="str">
        <f ca="1">IFERROR(__xludf.DUMMYFUNCTION("""COMPUTED_VALUE"""),"Ananindeua 1")</f>
        <v>Ananindeua 1</v>
      </c>
      <c r="E98" s="2" t="str">
        <f ca="1">IFERROR(__xludf.DUMMYFUNCTION("""COMPUTED_VALUE"""),"DRE - ANANINDEUA / BELEMAnanindeua 1")</f>
        <v>DRE - ANANINDEUA / BELEMAnanindeua 1</v>
      </c>
      <c r="F98" s="1">
        <f ca="1">IFERROR(__xludf.DUMMYFUNCTION("""COMPUTED_VALUE"""),1)</f>
        <v>1</v>
      </c>
      <c r="G98" s="1" t="str">
        <f ca="1">IFERROR(__xludf.DUMMYFUNCTION("""COMPUTED_VALUE"""),"DRE ANANINDEUA 1")</f>
        <v>DRE ANANINDEUA 1</v>
      </c>
      <c r="H98" s="1" t="str">
        <f ca="1">IFERROR(__xludf.DUMMYFUNCTION("""COMPUTED_VALUE"""),"19A URE - BELEM")</f>
        <v>19A URE - BELEM</v>
      </c>
      <c r="I98" s="2" t="str">
        <f ca="1">IFERROR(__xludf.DUMMYFUNCTION("""COMPUTED_VALUE"""),"Unidade 12")</f>
        <v>Unidade 12</v>
      </c>
      <c r="J98" s="1" t="str">
        <f ca="1">IFERROR(__xludf.DUMMYFUNCTION("""COMPUTED_VALUE"""),"ANANINDEUA")</f>
        <v>ANANINDEUA</v>
      </c>
      <c r="K98" s="1">
        <f ca="1">IFERROR(__xludf.DUMMYFUNCTION("""COMPUTED_VALUE"""),15516830)</f>
        <v>15516830</v>
      </c>
      <c r="L98" s="2" t="str">
        <f ca="1">IFERROR(__xludf.DUMMYFUNCTION("""COMPUTED_VALUE"""),"001920932610000")</f>
        <v>001920932610000</v>
      </c>
      <c r="M98" s="2" t="str">
        <f ca="1">IFERROR(__xludf.DUMMYFUNCTION("""COMPUTED_VALUE"""),"1920932610000")</f>
        <v>1920932610000</v>
      </c>
      <c r="N98" s="1" t="str">
        <f ca="1">IFERROR(__xludf.DUMMYFUNCTION("""COMPUTED_VALUE"""),"EEEF ANANI")</f>
        <v>EEEF ANANI</v>
      </c>
      <c r="O98" s="1"/>
      <c r="P98" s="1"/>
      <c r="Q98" s="1" t="s">
        <v>99</v>
      </c>
    </row>
    <row r="99" spans="1:17" x14ac:dyDescent="0.25">
      <c r="A99" s="2" t="str">
        <f ca="1">IFERROR(__xludf.DUMMYFUNCTION("""COMPUTED_VALUE"""),"REG DE INTEGRA  METROPOLITANA")</f>
        <v>REG DE INTEGRA  METROPOLITANA</v>
      </c>
      <c r="B99" s="1" t="str">
        <f ca="1">IFERROR(__xludf.DUMMYFUNCTION("""COMPUTED_VALUE"""),"DRE ANANINDEUA 1")</f>
        <v>DRE ANANINDEUA 1</v>
      </c>
      <c r="C99" s="2" t="str">
        <f ca="1">IFERROR(__xludf.DUMMYFUNCTION("""COMPUTED_VALUE"""),"DRE - ANANINDEUA / BELEM")</f>
        <v>DRE - ANANINDEUA / BELEM</v>
      </c>
      <c r="D99" s="2" t="str">
        <f ca="1">IFERROR(__xludf.DUMMYFUNCTION("""COMPUTED_VALUE"""),"Ananindeua 1")</f>
        <v>Ananindeua 1</v>
      </c>
      <c r="E99" s="2" t="str">
        <f ca="1">IFERROR(__xludf.DUMMYFUNCTION("""COMPUTED_VALUE"""),"DRE - ANANINDEUA / BELEMAnanindeua 1")</f>
        <v>DRE - ANANINDEUA / BELEMAnanindeua 1</v>
      </c>
      <c r="F99" s="1">
        <f ca="1">IFERROR(__xludf.DUMMYFUNCTION("""COMPUTED_VALUE"""),1)</f>
        <v>1</v>
      </c>
      <c r="G99" s="1" t="str">
        <f ca="1">IFERROR(__xludf.DUMMYFUNCTION("""COMPUTED_VALUE"""),"DRE ANANINDEUA 1")</f>
        <v>DRE ANANINDEUA 1</v>
      </c>
      <c r="H99" s="1" t="str">
        <f ca="1">IFERROR(__xludf.DUMMYFUNCTION("""COMPUTED_VALUE"""),"19A URE - BELEM")</f>
        <v>19A URE - BELEM</v>
      </c>
      <c r="I99" s="2" t="str">
        <f ca="1">IFERROR(__xludf.DUMMYFUNCTION("""COMPUTED_VALUE"""),"Unidade 12")</f>
        <v>Unidade 12</v>
      </c>
      <c r="J99" s="1" t="str">
        <f ca="1">IFERROR(__xludf.DUMMYFUNCTION("""COMPUTED_VALUE"""),"ANANINDEUA")</f>
        <v>ANANINDEUA</v>
      </c>
      <c r="K99" s="1">
        <f ca="1">IFERROR(__xludf.DUMMYFUNCTION("""COMPUTED_VALUE"""),15571955)</f>
        <v>15571955</v>
      </c>
      <c r="L99" s="2" t="str">
        <f ca="1">IFERROR(__xludf.DUMMYFUNCTION("""COMPUTED_VALUE"""),"001920930150000")</f>
        <v>001920930150000</v>
      </c>
      <c r="M99" s="2" t="str">
        <f ca="1">IFERROR(__xludf.DUMMYFUNCTION("""COMPUTED_VALUE"""),"1920930150000")</f>
        <v>1920930150000</v>
      </c>
      <c r="N99" s="1" t="str">
        <f ca="1">IFERROR(__xludf.DUMMYFUNCTION("""COMPUTED_VALUE"""),"EEEF BENEDITO CELSO PADUA COSTA")</f>
        <v>EEEF BENEDITO CELSO PADUA COSTA</v>
      </c>
      <c r="O99" s="1"/>
      <c r="P99" s="1"/>
      <c r="Q99" s="1" t="s">
        <v>99</v>
      </c>
    </row>
    <row r="100" spans="1:17" x14ac:dyDescent="0.25">
      <c r="A100" s="2" t="str">
        <f ca="1">IFERROR(__xludf.DUMMYFUNCTION("""COMPUTED_VALUE"""),"REG DE INTEGRA  METROPOLITANA")</f>
        <v>REG DE INTEGRA  METROPOLITANA</v>
      </c>
      <c r="B100" s="1" t="str">
        <f ca="1">IFERROR(__xludf.DUMMYFUNCTION("""COMPUTED_VALUE"""),"DRE ANANINDEUA 1")</f>
        <v>DRE ANANINDEUA 1</v>
      </c>
      <c r="C100" s="2" t="str">
        <f ca="1">IFERROR(__xludf.DUMMYFUNCTION("""COMPUTED_VALUE"""),"DRE - ANANINDEUA / BELEM")</f>
        <v>DRE - ANANINDEUA / BELEM</v>
      </c>
      <c r="D100" s="2" t="str">
        <f ca="1">IFERROR(__xludf.DUMMYFUNCTION("""COMPUTED_VALUE"""),"Ananindeua 1")</f>
        <v>Ananindeua 1</v>
      </c>
      <c r="E100" s="2" t="str">
        <f ca="1">IFERROR(__xludf.DUMMYFUNCTION("""COMPUTED_VALUE"""),"DRE - ANANINDEUA / BELEMAnanindeua 1")</f>
        <v>DRE - ANANINDEUA / BELEMAnanindeua 1</v>
      </c>
      <c r="F100" s="1">
        <f ca="1">IFERROR(__xludf.DUMMYFUNCTION("""COMPUTED_VALUE"""),1)</f>
        <v>1</v>
      </c>
      <c r="G100" s="1" t="str">
        <f ca="1">IFERROR(__xludf.DUMMYFUNCTION("""COMPUTED_VALUE"""),"DRE ANANINDEUA 1")</f>
        <v>DRE ANANINDEUA 1</v>
      </c>
      <c r="H100" s="1" t="str">
        <f ca="1">IFERROR(__xludf.DUMMYFUNCTION("""COMPUTED_VALUE"""),"19A URE - BELEM")</f>
        <v>19A URE - BELEM</v>
      </c>
      <c r="I100" s="2" t="str">
        <f ca="1">IFERROR(__xludf.DUMMYFUNCTION("""COMPUTED_VALUE"""),"Unidade 12")</f>
        <v>Unidade 12</v>
      </c>
      <c r="J100" s="1" t="str">
        <f ca="1">IFERROR(__xludf.DUMMYFUNCTION("""COMPUTED_VALUE"""),"ANANINDEUA")</f>
        <v>ANANINDEUA</v>
      </c>
      <c r="K100" s="1">
        <f ca="1">IFERROR(__xludf.DUMMYFUNCTION("""COMPUTED_VALUE"""),15521141)</f>
        <v>15521141</v>
      </c>
      <c r="L100" s="2" t="str">
        <f ca="1">IFERROR(__xludf.DUMMYFUNCTION("""COMPUTED_VALUE"""),"001920933340000")</f>
        <v>001920933340000</v>
      </c>
      <c r="M100" s="2" t="str">
        <f ca="1">IFERROR(__xludf.DUMMYFUNCTION("""COMPUTED_VALUE"""),"1920933340000")</f>
        <v>1920933340000</v>
      </c>
      <c r="N100" s="1" t="str">
        <f ca="1">IFERROR(__xludf.DUMMYFUNCTION("""COMPUTED_VALUE"""),"EEEF CENTRO COMUNITARIO VILA ESPERANCA")</f>
        <v>EEEF CENTRO COMUNITARIO VILA ESPERANCA</v>
      </c>
      <c r="O100" s="1"/>
      <c r="P100" s="1"/>
      <c r="Q100" s="1" t="s">
        <v>99</v>
      </c>
    </row>
    <row r="101" spans="1:17" x14ac:dyDescent="0.25">
      <c r="A101" s="2" t="str">
        <f ca="1">IFERROR(__xludf.DUMMYFUNCTION("""COMPUTED_VALUE"""),"REG DE INTEGRA  METROPOLITANA")</f>
        <v>REG DE INTEGRA  METROPOLITANA</v>
      </c>
      <c r="B101" s="1" t="str">
        <f ca="1">IFERROR(__xludf.DUMMYFUNCTION("""COMPUTED_VALUE"""),"DRE ANANINDEUA 1")</f>
        <v>DRE ANANINDEUA 1</v>
      </c>
      <c r="C101" s="2" t="str">
        <f ca="1">IFERROR(__xludf.DUMMYFUNCTION("""COMPUTED_VALUE"""),"DRE - ANANINDEUA / BELEM")</f>
        <v>DRE - ANANINDEUA / BELEM</v>
      </c>
      <c r="D101" s="2" t="str">
        <f ca="1">IFERROR(__xludf.DUMMYFUNCTION("""COMPUTED_VALUE"""),"Ananindeua 1")</f>
        <v>Ananindeua 1</v>
      </c>
      <c r="E101" s="2" t="str">
        <f ca="1">IFERROR(__xludf.DUMMYFUNCTION("""COMPUTED_VALUE"""),"DRE - ANANINDEUA / BELEMAnanindeua 1")</f>
        <v>DRE - ANANINDEUA / BELEMAnanindeua 1</v>
      </c>
      <c r="F101" s="1">
        <f ca="1">IFERROR(__xludf.DUMMYFUNCTION("""COMPUTED_VALUE"""),1)</f>
        <v>1</v>
      </c>
      <c r="G101" s="1" t="str">
        <f ca="1">IFERROR(__xludf.DUMMYFUNCTION("""COMPUTED_VALUE"""),"DRE ANANINDEUA 1")</f>
        <v>DRE ANANINDEUA 1</v>
      </c>
      <c r="H101" s="1" t="str">
        <f ca="1">IFERROR(__xludf.DUMMYFUNCTION("""COMPUTED_VALUE"""),"19A URE - BELEM")</f>
        <v>19A URE - BELEM</v>
      </c>
      <c r="I101" s="2" t="str">
        <f ca="1">IFERROR(__xludf.DUMMYFUNCTION("""COMPUTED_VALUE"""),"Unidade 12")</f>
        <v>Unidade 12</v>
      </c>
      <c r="J101" s="1" t="str">
        <f ca="1">IFERROR(__xludf.DUMMYFUNCTION("""COMPUTED_VALUE"""),"ANANINDEUA")</f>
        <v>ANANINDEUA</v>
      </c>
      <c r="K101" s="1">
        <f ca="1">IFERROR(__xludf.DUMMYFUNCTION("""COMPUTED_VALUE"""),15144720)</f>
        <v>15144720</v>
      </c>
      <c r="L101" s="2" t="str">
        <f ca="1">IFERROR(__xludf.DUMMYFUNCTION("""COMPUTED_VALUE"""),"001920934280000")</f>
        <v>001920934280000</v>
      </c>
      <c r="M101" s="2" t="str">
        <f ca="1">IFERROR(__xludf.DUMMYFUNCTION("""COMPUTED_VALUE"""),"1920934280000")</f>
        <v>1920934280000</v>
      </c>
      <c r="N101" s="1" t="str">
        <f ca="1">IFERROR(__xludf.DUMMYFUNCTION("""COMPUTED_VALUE"""),"EEEF CLUBE DE MAES JARDIM JADER BARBALHO")</f>
        <v>EEEF CLUBE DE MAES JARDIM JADER BARBALHO</v>
      </c>
      <c r="O101" s="1"/>
      <c r="P101" s="1"/>
      <c r="Q101" s="1" t="s">
        <v>99</v>
      </c>
    </row>
    <row r="102" spans="1:17" x14ac:dyDescent="0.25">
      <c r="A102" s="2" t="str">
        <f ca="1">IFERROR(__xludf.DUMMYFUNCTION("""COMPUTED_VALUE"""),"REG DE INTEGRA  METROPOLITANA")</f>
        <v>REG DE INTEGRA  METROPOLITANA</v>
      </c>
      <c r="B102" s="1" t="str">
        <f ca="1">IFERROR(__xludf.DUMMYFUNCTION("""COMPUTED_VALUE"""),"DRE ANANINDEUA 1")</f>
        <v>DRE ANANINDEUA 1</v>
      </c>
      <c r="C102" s="2" t="str">
        <f ca="1">IFERROR(__xludf.DUMMYFUNCTION("""COMPUTED_VALUE"""),"DRE - ANANINDEUA / BELEM")</f>
        <v>DRE - ANANINDEUA / BELEM</v>
      </c>
      <c r="D102" s="2" t="str">
        <f ca="1">IFERROR(__xludf.DUMMYFUNCTION("""COMPUTED_VALUE"""),"Ananindeua 1")</f>
        <v>Ananindeua 1</v>
      </c>
      <c r="E102" s="2" t="str">
        <f ca="1">IFERROR(__xludf.DUMMYFUNCTION("""COMPUTED_VALUE"""),"DRE - ANANINDEUA / BELEMAnanindeua 1")</f>
        <v>DRE - ANANINDEUA / BELEMAnanindeua 1</v>
      </c>
      <c r="F102" s="1">
        <f ca="1">IFERROR(__xludf.DUMMYFUNCTION("""COMPUTED_VALUE"""),1)</f>
        <v>1</v>
      </c>
      <c r="G102" s="1" t="str">
        <f ca="1">IFERROR(__xludf.DUMMYFUNCTION("""COMPUTED_VALUE"""),"DRE ANANINDEUA 1")</f>
        <v>DRE ANANINDEUA 1</v>
      </c>
      <c r="H102" s="1" t="str">
        <f ca="1">IFERROR(__xludf.DUMMYFUNCTION("""COMPUTED_VALUE"""),"19A URE - BELEM")</f>
        <v>19A URE - BELEM</v>
      </c>
      <c r="I102" s="2" t="str">
        <f ca="1">IFERROR(__xludf.DUMMYFUNCTION("""COMPUTED_VALUE"""),"Unidade 12")</f>
        <v>Unidade 12</v>
      </c>
      <c r="J102" s="1" t="str">
        <f ca="1">IFERROR(__xludf.DUMMYFUNCTION("""COMPUTED_VALUE"""),"ANANINDEUA")</f>
        <v>ANANINDEUA</v>
      </c>
      <c r="K102" s="1">
        <f ca="1">IFERROR(__xludf.DUMMYFUNCTION("""COMPUTED_VALUE"""),15517039)</f>
        <v>15517039</v>
      </c>
      <c r="L102" s="2" t="str">
        <f ca="1">IFERROR(__xludf.DUMMYFUNCTION("""COMPUTED_VALUE"""),"001920932260000")</f>
        <v>001920932260000</v>
      </c>
      <c r="M102" s="2" t="str">
        <f ca="1">IFERROR(__xludf.DUMMYFUNCTION("""COMPUTED_VALUE"""),"1920932260000")</f>
        <v>1920932260000</v>
      </c>
      <c r="N102" s="1" t="str">
        <f ca="1">IFERROR(__xludf.DUMMYFUNCTION("""COMPUTED_VALUE"""),"EEEF ESPIRITO SANTO")</f>
        <v>EEEF ESPIRITO SANTO</v>
      </c>
      <c r="O102" s="1"/>
      <c r="P102" s="1"/>
      <c r="Q102" s="1" t="s">
        <v>99</v>
      </c>
    </row>
    <row r="103" spans="1:17" x14ac:dyDescent="0.25">
      <c r="A103" s="2" t="str">
        <f ca="1">IFERROR(__xludf.DUMMYFUNCTION("""COMPUTED_VALUE"""),"REG DE INTEGRA  METROPOLITANA")</f>
        <v>REG DE INTEGRA  METROPOLITANA</v>
      </c>
      <c r="B103" s="1" t="str">
        <f ca="1">IFERROR(__xludf.DUMMYFUNCTION("""COMPUTED_VALUE"""),"DRE ANANINDEUA 1")</f>
        <v>DRE ANANINDEUA 1</v>
      </c>
      <c r="C103" s="2" t="str">
        <f ca="1">IFERROR(__xludf.DUMMYFUNCTION("""COMPUTED_VALUE"""),"DRE - ANANINDEUA / BELEM")</f>
        <v>DRE - ANANINDEUA / BELEM</v>
      </c>
      <c r="D103" s="2" t="str">
        <f ca="1">IFERROR(__xludf.DUMMYFUNCTION("""COMPUTED_VALUE"""),"Ananindeua 1")</f>
        <v>Ananindeua 1</v>
      </c>
      <c r="E103" s="2" t="str">
        <f ca="1">IFERROR(__xludf.DUMMYFUNCTION("""COMPUTED_VALUE"""),"DRE - ANANINDEUA / BELEMAnanindeua 1")</f>
        <v>DRE - ANANINDEUA / BELEMAnanindeua 1</v>
      </c>
      <c r="F103" s="1">
        <f ca="1">IFERROR(__xludf.DUMMYFUNCTION("""COMPUTED_VALUE"""),1)</f>
        <v>1</v>
      </c>
      <c r="G103" s="1" t="str">
        <f ca="1">IFERROR(__xludf.DUMMYFUNCTION("""COMPUTED_VALUE"""),"DRE ANANINDEUA 1")</f>
        <v>DRE ANANINDEUA 1</v>
      </c>
      <c r="H103" s="1" t="str">
        <f ca="1">IFERROR(__xludf.DUMMYFUNCTION("""COMPUTED_VALUE"""),"19A URE - BELEM")</f>
        <v>19A URE - BELEM</v>
      </c>
      <c r="I103" s="2" t="str">
        <f ca="1">IFERROR(__xludf.DUMMYFUNCTION("""COMPUTED_VALUE"""),"NÃO ENCONTRADO (SERA EXTINTA)")</f>
        <v>NÃO ENCONTRADO (SERA EXTINTA)</v>
      </c>
      <c r="J103" s="1" t="str">
        <f ca="1">IFERROR(__xludf.DUMMYFUNCTION("""COMPUTED_VALUE"""),"ANANINDEUA")</f>
        <v>ANANINDEUA</v>
      </c>
      <c r="K103" s="1">
        <f ca="1">IFERROR(__xludf.DUMMYFUNCTION("""COMPUTED_VALUE"""),15034275)</f>
        <v>15034275</v>
      </c>
      <c r="L103" s="2" t="str">
        <f ca="1">IFERROR(__xludf.DUMMYFUNCTION("""COMPUTED_VALUE"""),"001920932400000")</f>
        <v>001920932400000</v>
      </c>
      <c r="M103" s="2" t="str">
        <f ca="1">IFERROR(__xludf.DUMMYFUNCTION("""COMPUTED_VALUE"""),"1920932400000")</f>
        <v>1920932400000</v>
      </c>
      <c r="N103" s="1" t="str">
        <f ca="1">IFERROR(__xludf.DUMMYFUNCTION("""COMPUTED_VALUE"""),"EEEF GONCALVES DIAS")</f>
        <v>EEEF GONCALVES DIAS</v>
      </c>
      <c r="O103" s="1"/>
      <c r="P103" s="1"/>
      <c r="Q103" s="1" t="s">
        <v>99</v>
      </c>
    </row>
    <row r="104" spans="1:17" x14ac:dyDescent="0.25">
      <c r="A104" s="2" t="str">
        <f ca="1">IFERROR(__xludf.DUMMYFUNCTION("""COMPUTED_VALUE"""),"REG DE INTEGRA  METROPOLITANA")</f>
        <v>REG DE INTEGRA  METROPOLITANA</v>
      </c>
      <c r="B104" s="1" t="str">
        <f ca="1">IFERROR(__xludf.DUMMYFUNCTION("""COMPUTED_VALUE"""),"DRE ANANINDEUA 1")</f>
        <v>DRE ANANINDEUA 1</v>
      </c>
      <c r="C104" s="2" t="str">
        <f ca="1">IFERROR(__xludf.DUMMYFUNCTION("""COMPUTED_VALUE"""),"DRE - ANANINDEUA / BELEM")</f>
        <v>DRE - ANANINDEUA / BELEM</v>
      </c>
      <c r="D104" s="2" t="str">
        <f ca="1">IFERROR(__xludf.DUMMYFUNCTION("""COMPUTED_VALUE"""),"Ananindeua 1")</f>
        <v>Ananindeua 1</v>
      </c>
      <c r="E104" s="2" t="str">
        <f ca="1">IFERROR(__xludf.DUMMYFUNCTION("""COMPUTED_VALUE"""),"DRE - ANANINDEUA / BELEMAnanindeua 1")</f>
        <v>DRE - ANANINDEUA / BELEMAnanindeua 1</v>
      </c>
      <c r="F104" s="1">
        <f ca="1">IFERROR(__xludf.DUMMYFUNCTION("""COMPUTED_VALUE"""),1)</f>
        <v>1</v>
      </c>
      <c r="G104" s="1" t="str">
        <f ca="1">IFERROR(__xludf.DUMMYFUNCTION("""COMPUTED_VALUE"""),"DRE ANANINDEUA 1")</f>
        <v>DRE ANANINDEUA 1</v>
      </c>
      <c r="H104" s="1" t="str">
        <f ca="1">IFERROR(__xludf.DUMMYFUNCTION("""COMPUTED_VALUE"""),"19A URE - BELEM")</f>
        <v>19A URE - BELEM</v>
      </c>
      <c r="I104" s="2" t="str">
        <f ca="1">IFERROR(__xludf.DUMMYFUNCTION("""COMPUTED_VALUE"""),"Unidade 12")</f>
        <v>Unidade 12</v>
      </c>
      <c r="J104" s="1" t="str">
        <f ca="1">IFERROR(__xludf.DUMMYFUNCTION("""COMPUTED_VALUE"""),"ANANINDEUA")</f>
        <v>ANANINDEUA</v>
      </c>
      <c r="K104" s="1">
        <f ca="1">IFERROR(__xludf.DUMMYFUNCTION("""COMPUTED_VALUE"""),15034666)</f>
        <v>15034666</v>
      </c>
      <c r="L104" s="2" t="str">
        <f ca="1">IFERROR(__xludf.DUMMYFUNCTION("""COMPUTED_VALUE"""),"001920902440000")</f>
        <v>001920902440000</v>
      </c>
      <c r="M104" s="2" t="str">
        <f ca="1">IFERROR(__xludf.DUMMYFUNCTION("""COMPUTED_VALUE"""),"1920902440000")</f>
        <v>1920902440000</v>
      </c>
      <c r="N104" s="1" t="str">
        <f ca="1">IFERROR(__xludf.DUMMYFUNCTION("""COMPUTED_VALUE"""),"EEEF MAGUARI")</f>
        <v>EEEF MAGUARI</v>
      </c>
      <c r="O104" s="1"/>
      <c r="P104" s="1"/>
      <c r="Q104" s="1" t="s">
        <v>99</v>
      </c>
    </row>
    <row r="105" spans="1:17" x14ac:dyDescent="0.25">
      <c r="A105" s="2" t="str">
        <f ca="1">IFERROR(__xludf.DUMMYFUNCTION("""COMPUTED_VALUE"""),"REG DE INTEGRA  METROPOLITANA")</f>
        <v>REG DE INTEGRA  METROPOLITANA</v>
      </c>
      <c r="B105" s="1" t="str">
        <f ca="1">IFERROR(__xludf.DUMMYFUNCTION("""COMPUTED_VALUE"""),"DRE ANANINDEUA 1")</f>
        <v>DRE ANANINDEUA 1</v>
      </c>
      <c r="C105" s="2" t="str">
        <f ca="1">IFERROR(__xludf.DUMMYFUNCTION("""COMPUTED_VALUE"""),"DRE - ANANINDEUA / BELEM")</f>
        <v>DRE - ANANINDEUA / BELEM</v>
      </c>
      <c r="D105" s="2" t="str">
        <f ca="1">IFERROR(__xludf.DUMMYFUNCTION("""COMPUTED_VALUE"""),"Ananindeua 1")</f>
        <v>Ananindeua 1</v>
      </c>
      <c r="E105" s="2" t="str">
        <f ca="1">IFERROR(__xludf.DUMMYFUNCTION("""COMPUTED_VALUE"""),"DRE - ANANINDEUA / BELEMAnanindeua 1")</f>
        <v>DRE - ANANINDEUA / BELEMAnanindeua 1</v>
      </c>
      <c r="F105" s="1">
        <f ca="1">IFERROR(__xludf.DUMMYFUNCTION("""COMPUTED_VALUE"""),1)</f>
        <v>1</v>
      </c>
      <c r="G105" s="1" t="str">
        <f ca="1">IFERROR(__xludf.DUMMYFUNCTION("""COMPUTED_VALUE"""),"DRE ANANINDEUA 1")</f>
        <v>DRE ANANINDEUA 1</v>
      </c>
      <c r="H105" s="1" t="str">
        <f ca="1">IFERROR(__xludf.DUMMYFUNCTION("""COMPUTED_VALUE"""),"19A URE - BELEM")</f>
        <v>19A URE - BELEM</v>
      </c>
      <c r="I105" s="2" t="str">
        <f ca="1">IFERROR(__xludf.DUMMYFUNCTION("""COMPUTED_VALUE"""),"Unidade 12")</f>
        <v>Unidade 12</v>
      </c>
      <c r="J105" s="1" t="str">
        <f ca="1">IFERROR(__xludf.DUMMYFUNCTION("""COMPUTED_VALUE"""),"ANANINDEUA")</f>
        <v>ANANINDEUA</v>
      </c>
      <c r="K105" s="1">
        <f ca="1">IFERROR(__xludf.DUMMYFUNCTION("""COMPUTED_VALUE"""),15033830)</f>
        <v>15033830</v>
      </c>
      <c r="L105" s="2" t="str">
        <f ca="1">IFERROR(__xludf.DUMMYFUNCTION("""COMPUTED_VALUE"""),"001920933150000")</f>
        <v>001920933150000</v>
      </c>
      <c r="M105" s="2" t="str">
        <f ca="1">IFERROR(__xludf.DUMMYFUNCTION("""COMPUTED_VALUE"""),"1920933150000")</f>
        <v>1920933150000</v>
      </c>
      <c r="N105" s="1" t="str">
        <f ca="1">IFERROR(__xludf.DUMMYFUNCTION("""COMPUTED_VALUE"""),"EEEF PRINCESA ISABEL - CENTRO")</f>
        <v>EEEF PRINCESA ISABEL - CENTRO</v>
      </c>
      <c r="O105" s="1"/>
      <c r="P105" s="1"/>
      <c r="Q105" s="1" t="s">
        <v>99</v>
      </c>
    </row>
    <row r="106" spans="1:17" x14ac:dyDescent="0.25">
      <c r="A106" s="2" t="str">
        <f ca="1">IFERROR(__xludf.DUMMYFUNCTION("""COMPUTED_VALUE"""),"REG DE INTEGRA  METROPOLITANA")</f>
        <v>REG DE INTEGRA  METROPOLITANA</v>
      </c>
      <c r="B106" s="1" t="str">
        <f ca="1">IFERROR(__xludf.DUMMYFUNCTION("""COMPUTED_VALUE"""),"DRE ANANINDEUA 1")</f>
        <v>DRE ANANINDEUA 1</v>
      </c>
      <c r="C106" s="2" t="str">
        <f ca="1">IFERROR(__xludf.DUMMYFUNCTION("""COMPUTED_VALUE"""),"DRE - ANANINDEUA / BELEM")</f>
        <v>DRE - ANANINDEUA / BELEM</v>
      </c>
      <c r="D106" s="2" t="str">
        <f ca="1">IFERROR(__xludf.DUMMYFUNCTION("""COMPUTED_VALUE"""),"Ananindeua 1")</f>
        <v>Ananindeua 1</v>
      </c>
      <c r="E106" s="2" t="str">
        <f ca="1">IFERROR(__xludf.DUMMYFUNCTION("""COMPUTED_VALUE"""),"DRE - ANANINDEUA / BELEMAnanindeua 1")</f>
        <v>DRE - ANANINDEUA / BELEMAnanindeua 1</v>
      </c>
      <c r="F106" s="1">
        <f ca="1">IFERROR(__xludf.DUMMYFUNCTION("""COMPUTED_VALUE"""),1)</f>
        <v>1</v>
      </c>
      <c r="G106" s="1" t="str">
        <f ca="1">IFERROR(__xludf.DUMMYFUNCTION("""COMPUTED_VALUE"""),"DRE ANANINDEUA 1")</f>
        <v>DRE ANANINDEUA 1</v>
      </c>
      <c r="H106" s="1" t="str">
        <f ca="1">IFERROR(__xludf.DUMMYFUNCTION("""COMPUTED_VALUE"""),"19A URE - BELEM")</f>
        <v>19A URE - BELEM</v>
      </c>
      <c r="I106" s="2" t="str">
        <f ca="1">IFERROR(__xludf.DUMMYFUNCTION("""COMPUTED_VALUE"""),"Unidade 12")</f>
        <v>Unidade 12</v>
      </c>
      <c r="J106" s="1" t="str">
        <f ca="1">IFERROR(__xludf.DUMMYFUNCTION("""COMPUTED_VALUE"""),"ANANINDEUA")</f>
        <v>ANANINDEUA</v>
      </c>
      <c r="K106" s="1">
        <f ca="1">IFERROR(__xludf.DUMMYFUNCTION("""COMPUTED_VALUE"""),15034410)</f>
        <v>15034410</v>
      </c>
      <c r="L106" s="2" t="str">
        <f ca="1">IFERROR(__xludf.DUMMYFUNCTION("""COMPUTED_VALUE"""),"001920901130000")</f>
        <v>001920901130000</v>
      </c>
      <c r="M106" s="2" t="str">
        <f ca="1">IFERROR(__xludf.DUMMYFUNCTION("""COMPUTED_VALUE"""),"1920901130000")</f>
        <v>1920901130000</v>
      </c>
      <c r="N106" s="1" t="str">
        <f ca="1">IFERROR(__xludf.DUMMYFUNCTION("""COMPUTED_VALUE"""),"EEEFM ANTONIO TEIXEIRA GUEIROS")</f>
        <v>EEEFM ANTONIO TEIXEIRA GUEIROS</v>
      </c>
      <c r="O106" s="1"/>
      <c r="P106" s="1"/>
      <c r="Q106" s="1" t="s">
        <v>99</v>
      </c>
    </row>
    <row r="107" spans="1:17" x14ac:dyDescent="0.25">
      <c r="A107" s="2" t="str">
        <f ca="1">IFERROR(__xludf.DUMMYFUNCTION("""COMPUTED_VALUE"""),"REG DE INTEGRA  METROPOLITANA")</f>
        <v>REG DE INTEGRA  METROPOLITANA</v>
      </c>
      <c r="B107" s="1" t="str">
        <f ca="1">IFERROR(__xludf.DUMMYFUNCTION("""COMPUTED_VALUE"""),"DRE ANANINDEUA 1")</f>
        <v>DRE ANANINDEUA 1</v>
      </c>
      <c r="C107" s="2" t="str">
        <f ca="1">IFERROR(__xludf.DUMMYFUNCTION("""COMPUTED_VALUE"""),"DRE - ANANINDEUA / BELEM")</f>
        <v>DRE - ANANINDEUA / BELEM</v>
      </c>
      <c r="D107" s="2" t="str">
        <f ca="1">IFERROR(__xludf.DUMMYFUNCTION("""COMPUTED_VALUE"""),"Ananindeua 1")</f>
        <v>Ananindeua 1</v>
      </c>
      <c r="E107" s="2" t="str">
        <f ca="1">IFERROR(__xludf.DUMMYFUNCTION("""COMPUTED_VALUE"""),"DRE - ANANINDEUA / BELEMAnanindeua 1")</f>
        <v>DRE - ANANINDEUA / BELEMAnanindeua 1</v>
      </c>
      <c r="F107" s="1">
        <f ca="1">IFERROR(__xludf.DUMMYFUNCTION("""COMPUTED_VALUE"""),1)</f>
        <v>1</v>
      </c>
      <c r="G107" s="1" t="str">
        <f ca="1">IFERROR(__xludf.DUMMYFUNCTION("""COMPUTED_VALUE"""),"DRE ANANINDEUA 1")</f>
        <v>DRE ANANINDEUA 1</v>
      </c>
      <c r="H107" s="1" t="str">
        <f ca="1">IFERROR(__xludf.DUMMYFUNCTION("""COMPUTED_VALUE"""),"19A URE - BELEM")</f>
        <v>19A URE - BELEM</v>
      </c>
      <c r="I107" s="2" t="str">
        <f ca="1">IFERROR(__xludf.DUMMYFUNCTION("""COMPUTED_VALUE"""),"Unidade 12")</f>
        <v>Unidade 12</v>
      </c>
      <c r="J107" s="1" t="str">
        <f ca="1">IFERROR(__xludf.DUMMYFUNCTION("""COMPUTED_VALUE"""),"ANANINDEUA")</f>
        <v>ANANINDEUA</v>
      </c>
      <c r="K107" s="1">
        <f ca="1">IFERROR(__xludf.DUMMYFUNCTION("""COMPUTED_VALUE"""),15523420)</f>
        <v>15523420</v>
      </c>
      <c r="L107" s="2" t="str">
        <f ca="1">IFERROR(__xludf.DUMMYFUNCTION("""COMPUTED_VALUE"""),"001920931090000")</f>
        <v>001920931090000</v>
      </c>
      <c r="M107" s="2" t="str">
        <f ca="1">IFERROR(__xludf.DUMMYFUNCTION("""COMPUTED_VALUE"""),"1920931090000")</f>
        <v>1920931090000</v>
      </c>
      <c r="N107" s="1" t="str">
        <f ca="1">IFERROR(__xludf.DUMMYFUNCTION("""COMPUTED_VALUE"""),"EEEFM ARMANDO FAJARDO")</f>
        <v>EEEFM ARMANDO FAJARDO</v>
      </c>
      <c r="O107" s="1"/>
      <c r="P107" s="1"/>
      <c r="Q107" s="1" t="s">
        <v>99</v>
      </c>
    </row>
    <row r="108" spans="1:17" x14ac:dyDescent="0.25">
      <c r="A108" s="2" t="str">
        <f ca="1">IFERROR(__xludf.DUMMYFUNCTION("""COMPUTED_VALUE"""),"REG DE INTEGRA  METROPOLITANA")</f>
        <v>REG DE INTEGRA  METROPOLITANA</v>
      </c>
      <c r="B108" s="1" t="str">
        <f ca="1">IFERROR(__xludf.DUMMYFUNCTION("""COMPUTED_VALUE"""),"DRE ANANINDEUA 1")</f>
        <v>DRE ANANINDEUA 1</v>
      </c>
      <c r="C108" s="2" t="str">
        <f ca="1">IFERROR(__xludf.DUMMYFUNCTION("""COMPUTED_VALUE"""),"DRE - ANANINDEUA / BELEM")</f>
        <v>DRE - ANANINDEUA / BELEM</v>
      </c>
      <c r="D108" s="2" t="str">
        <f ca="1">IFERROR(__xludf.DUMMYFUNCTION("""COMPUTED_VALUE"""),"Ananindeua 1")</f>
        <v>Ananindeua 1</v>
      </c>
      <c r="E108" s="2" t="str">
        <f ca="1">IFERROR(__xludf.DUMMYFUNCTION("""COMPUTED_VALUE"""),"DRE - ANANINDEUA / BELEMAnanindeua 1")</f>
        <v>DRE - ANANINDEUA / BELEMAnanindeua 1</v>
      </c>
      <c r="F108" s="1">
        <f ca="1">IFERROR(__xludf.DUMMYFUNCTION("""COMPUTED_VALUE"""),1)</f>
        <v>1</v>
      </c>
      <c r="G108" s="1" t="str">
        <f ca="1">IFERROR(__xludf.DUMMYFUNCTION("""COMPUTED_VALUE"""),"DRE ANANINDEUA 1")</f>
        <v>DRE ANANINDEUA 1</v>
      </c>
      <c r="H108" s="1" t="str">
        <f ca="1">IFERROR(__xludf.DUMMYFUNCTION("""COMPUTED_VALUE"""),"19A URE - BELEM")</f>
        <v>19A URE - BELEM</v>
      </c>
      <c r="I108" s="2" t="str">
        <f ca="1">IFERROR(__xludf.DUMMYFUNCTION("""COMPUTED_VALUE"""),"Unidade 12")</f>
        <v>Unidade 12</v>
      </c>
      <c r="J108" s="1" t="str">
        <f ca="1">IFERROR(__xludf.DUMMYFUNCTION("""COMPUTED_VALUE"""),"ANANINDEUA")</f>
        <v>ANANINDEUA</v>
      </c>
      <c r="K108" s="1">
        <f ca="1">IFERROR(__xludf.DUMMYFUNCTION("""COMPUTED_VALUE"""),15578020)</f>
        <v>15578020</v>
      </c>
      <c r="L108" s="2" t="str">
        <f ca="1">IFERROR(__xludf.DUMMYFUNCTION("""COMPUTED_VALUE"""),"001920936210000")</f>
        <v>001920936210000</v>
      </c>
      <c r="M108" s="2" t="str">
        <f ca="1">IFERROR(__xludf.DUMMYFUNCTION("""COMPUTED_VALUE"""),"1920936210000")</f>
        <v>1920936210000</v>
      </c>
      <c r="N108" s="1" t="str">
        <f ca="1">IFERROR(__xludf.DUMMYFUNCTION("""COMPUTED_VALUE"""),"EEEFM IZABEL AMAZONAS")</f>
        <v>EEEFM IZABEL AMAZONAS</v>
      </c>
      <c r="O108" s="1"/>
      <c r="P108" s="1"/>
      <c r="Q108" s="1" t="s">
        <v>99</v>
      </c>
    </row>
    <row r="109" spans="1:17" x14ac:dyDescent="0.25">
      <c r="A109" s="2" t="str">
        <f ca="1">IFERROR(__xludf.DUMMYFUNCTION("""COMPUTED_VALUE"""),"REG DE INTEGRA  METROPOLITANA")</f>
        <v>REG DE INTEGRA  METROPOLITANA</v>
      </c>
      <c r="B109" s="1" t="str">
        <f ca="1">IFERROR(__xludf.DUMMYFUNCTION("""COMPUTED_VALUE"""),"DRE ANANINDEUA 1")</f>
        <v>DRE ANANINDEUA 1</v>
      </c>
      <c r="C109" s="2" t="str">
        <f ca="1">IFERROR(__xludf.DUMMYFUNCTION("""COMPUTED_VALUE"""),"DRE - ANANINDEUA / BELEM")</f>
        <v>DRE - ANANINDEUA / BELEM</v>
      </c>
      <c r="D109" s="2" t="str">
        <f ca="1">IFERROR(__xludf.DUMMYFUNCTION("""COMPUTED_VALUE"""),"Ananindeua 1")</f>
        <v>Ananindeua 1</v>
      </c>
      <c r="E109" s="2" t="str">
        <f ca="1">IFERROR(__xludf.DUMMYFUNCTION("""COMPUTED_VALUE"""),"DRE - ANANINDEUA / BELEMAnanindeua 1")</f>
        <v>DRE - ANANINDEUA / BELEMAnanindeua 1</v>
      </c>
      <c r="F109" s="1">
        <f ca="1">IFERROR(__xludf.DUMMYFUNCTION("""COMPUTED_VALUE"""),1)</f>
        <v>1</v>
      </c>
      <c r="G109" s="1" t="str">
        <f ca="1">IFERROR(__xludf.DUMMYFUNCTION("""COMPUTED_VALUE"""),"DRE ANANINDEUA 1")</f>
        <v>DRE ANANINDEUA 1</v>
      </c>
      <c r="H109" s="1" t="str">
        <f ca="1">IFERROR(__xludf.DUMMYFUNCTION("""COMPUTED_VALUE"""),"19A URE - BELEM")</f>
        <v>19A URE - BELEM</v>
      </c>
      <c r="I109" s="2" t="str">
        <f ca="1">IFERROR(__xludf.DUMMYFUNCTION("""COMPUTED_VALUE"""),"Unidade 12")</f>
        <v>Unidade 12</v>
      </c>
      <c r="J109" s="1" t="str">
        <f ca="1">IFERROR(__xludf.DUMMYFUNCTION("""COMPUTED_VALUE"""),"ANANINDEUA")</f>
        <v>ANANINDEUA</v>
      </c>
      <c r="K109" s="1">
        <f ca="1">IFERROR(__xludf.DUMMYFUNCTION("""COMPUTED_VALUE"""),15034755)</f>
        <v>15034755</v>
      </c>
      <c r="L109" s="2" t="str">
        <f ca="1">IFERROR(__xludf.DUMMYFUNCTION("""COMPUTED_VALUE"""),"001920902420000")</f>
        <v>001920902420000</v>
      </c>
      <c r="M109" s="2" t="str">
        <f ca="1">IFERROR(__xludf.DUMMYFUNCTION("""COMPUTED_VALUE"""),"1920902420000")</f>
        <v>1920902420000</v>
      </c>
      <c r="N109" s="1" t="str">
        <f ca="1">IFERROR(__xludf.DUMMYFUNCTION("""COMPUTED_VALUE"""),"EEEFM JOSE MARCELINO DE OLIVEIRA")</f>
        <v>EEEFM JOSE MARCELINO DE OLIVEIRA</v>
      </c>
      <c r="O109" s="1"/>
      <c r="P109" s="1"/>
      <c r="Q109" s="1" t="s">
        <v>99</v>
      </c>
    </row>
    <row r="110" spans="1:17" x14ac:dyDescent="0.25">
      <c r="A110" s="2" t="str">
        <f ca="1">IFERROR(__xludf.DUMMYFUNCTION("""COMPUTED_VALUE"""),"REG DE INTEGRA  METROPOLITANA")</f>
        <v>REG DE INTEGRA  METROPOLITANA</v>
      </c>
      <c r="B110" s="1" t="str">
        <f ca="1">IFERROR(__xludf.DUMMYFUNCTION("""COMPUTED_VALUE"""),"DRE ANANINDEUA 1")</f>
        <v>DRE ANANINDEUA 1</v>
      </c>
      <c r="C110" s="2" t="str">
        <f ca="1">IFERROR(__xludf.DUMMYFUNCTION("""COMPUTED_VALUE"""),"DRE - ANANINDEUA / BELEM")</f>
        <v>DRE - ANANINDEUA / BELEM</v>
      </c>
      <c r="D110" s="2" t="str">
        <f ca="1">IFERROR(__xludf.DUMMYFUNCTION("""COMPUTED_VALUE"""),"Ananindeua 1")</f>
        <v>Ananindeua 1</v>
      </c>
      <c r="E110" s="2" t="str">
        <f ca="1">IFERROR(__xludf.DUMMYFUNCTION("""COMPUTED_VALUE"""),"DRE - ANANINDEUA / BELEMAnanindeua 1")</f>
        <v>DRE - ANANINDEUA / BELEMAnanindeua 1</v>
      </c>
      <c r="F110" s="1">
        <f ca="1">IFERROR(__xludf.DUMMYFUNCTION("""COMPUTED_VALUE"""),1)</f>
        <v>1</v>
      </c>
      <c r="G110" s="1" t="str">
        <f ca="1">IFERROR(__xludf.DUMMYFUNCTION("""COMPUTED_VALUE"""),"DRE ANANINDEUA 1")</f>
        <v>DRE ANANINDEUA 1</v>
      </c>
      <c r="H110" s="1" t="str">
        <f ca="1">IFERROR(__xludf.DUMMYFUNCTION("""COMPUTED_VALUE"""),"19A URE - BELEM")</f>
        <v>19A URE - BELEM</v>
      </c>
      <c r="I110" s="2" t="str">
        <f ca="1">IFERROR(__xludf.DUMMYFUNCTION("""COMPUTED_VALUE"""),"Unidade 12")</f>
        <v>Unidade 12</v>
      </c>
      <c r="J110" s="1" t="str">
        <f ca="1">IFERROR(__xludf.DUMMYFUNCTION("""COMPUTED_VALUE"""),"ANANINDEUA")</f>
        <v>ANANINDEUA</v>
      </c>
      <c r="K110" s="1">
        <f ca="1">IFERROR(__xludf.DUMMYFUNCTION("""COMPUTED_VALUE"""),15167054)</f>
        <v>15167054</v>
      </c>
      <c r="L110" s="2" t="str">
        <f ca="1">IFERROR(__xludf.DUMMYFUNCTION("""COMPUTED_VALUE"""),"001920937830000")</f>
        <v>001920937830000</v>
      </c>
      <c r="M110" s="2" t="str">
        <f ca="1">IFERROR(__xludf.DUMMYFUNCTION("""COMPUTED_VALUE"""),"1920937830000")</f>
        <v>1920937830000</v>
      </c>
      <c r="N110" s="1" t="str">
        <f ca="1">IFERROR(__xludf.DUMMYFUNCTION("""COMPUTED_VALUE"""),"EEEFM PROF ANTONIO CARLOS GOMES DA COSTA")</f>
        <v>EEEFM PROF ANTONIO CARLOS GOMES DA COSTA</v>
      </c>
      <c r="O110" s="1"/>
      <c r="P110" s="1"/>
      <c r="Q110" s="1" t="s">
        <v>99</v>
      </c>
    </row>
    <row r="111" spans="1:17" x14ac:dyDescent="0.25">
      <c r="A111" s="2" t="str">
        <f ca="1">IFERROR(__xludf.DUMMYFUNCTION("""COMPUTED_VALUE"""),"REG DE INTEGRA  METROPOLITANA")</f>
        <v>REG DE INTEGRA  METROPOLITANA</v>
      </c>
      <c r="B111" s="1" t="str">
        <f ca="1">IFERROR(__xludf.DUMMYFUNCTION("""COMPUTED_VALUE"""),"DRE ANANINDEUA 1")</f>
        <v>DRE ANANINDEUA 1</v>
      </c>
      <c r="C111" s="2" t="str">
        <f ca="1">IFERROR(__xludf.DUMMYFUNCTION("""COMPUTED_VALUE"""),"DRE - ANANINDEUA / BELEM")</f>
        <v>DRE - ANANINDEUA / BELEM</v>
      </c>
      <c r="D111" s="2" t="str">
        <f ca="1">IFERROR(__xludf.DUMMYFUNCTION("""COMPUTED_VALUE"""),"Ananindeua 1")</f>
        <v>Ananindeua 1</v>
      </c>
      <c r="E111" s="2" t="str">
        <f ca="1">IFERROR(__xludf.DUMMYFUNCTION("""COMPUTED_VALUE"""),"DRE - ANANINDEUA / BELEMAnanindeua 1")</f>
        <v>DRE - ANANINDEUA / BELEMAnanindeua 1</v>
      </c>
      <c r="F111" s="1">
        <f ca="1">IFERROR(__xludf.DUMMYFUNCTION("""COMPUTED_VALUE"""),1)</f>
        <v>1</v>
      </c>
      <c r="G111" s="1" t="str">
        <f ca="1">IFERROR(__xludf.DUMMYFUNCTION("""COMPUTED_VALUE"""),"DRE ANANINDEUA 1")</f>
        <v>DRE ANANINDEUA 1</v>
      </c>
      <c r="H111" s="1" t="str">
        <f ca="1">IFERROR(__xludf.DUMMYFUNCTION("""COMPUTED_VALUE"""),"19A URE - BELEM")</f>
        <v>19A URE - BELEM</v>
      </c>
      <c r="I111" s="2" t="str">
        <f ca="1">IFERROR(__xludf.DUMMYFUNCTION("""COMPUTED_VALUE"""),"Unidade 12")</f>
        <v>Unidade 12</v>
      </c>
      <c r="J111" s="1" t="str">
        <f ca="1">IFERROR(__xludf.DUMMYFUNCTION("""COMPUTED_VALUE"""),"ANANINDEUA")</f>
        <v>ANANINDEUA</v>
      </c>
      <c r="K111" s="1">
        <f ca="1">IFERROR(__xludf.DUMMYFUNCTION("""COMPUTED_VALUE"""),15574199)</f>
        <v>15574199</v>
      </c>
      <c r="L111" s="2" t="str">
        <f ca="1">IFERROR(__xludf.DUMMYFUNCTION("""COMPUTED_VALUE"""),"001920930110000")</f>
        <v>001920930110000</v>
      </c>
      <c r="M111" s="2" t="str">
        <f ca="1">IFERROR(__xludf.DUMMYFUNCTION("""COMPUTED_VALUE"""),"1920930110000")</f>
        <v>1920930110000</v>
      </c>
      <c r="N111" s="1" t="str">
        <f ca="1">IFERROR(__xludf.DUMMYFUNCTION("""COMPUTED_VALUE"""),"EEEFM RAIMUNDO VERA CRUZ")</f>
        <v>EEEFM RAIMUNDO VERA CRUZ</v>
      </c>
      <c r="O111" s="1"/>
      <c r="P111" s="1"/>
      <c r="Q111" s="1" t="s">
        <v>99</v>
      </c>
    </row>
    <row r="112" spans="1:17" x14ac:dyDescent="0.25">
      <c r="A112" s="2" t="str">
        <f ca="1">IFERROR(__xludf.DUMMYFUNCTION("""COMPUTED_VALUE"""),"REG DE INTEGRA  METROPOLITANA")</f>
        <v>REG DE INTEGRA  METROPOLITANA</v>
      </c>
      <c r="B112" s="1" t="str">
        <f ca="1">IFERROR(__xludf.DUMMYFUNCTION("""COMPUTED_VALUE"""),"DRE ANANINDEUA 1")</f>
        <v>DRE ANANINDEUA 1</v>
      </c>
      <c r="C112" s="2" t="str">
        <f ca="1">IFERROR(__xludf.DUMMYFUNCTION("""COMPUTED_VALUE"""),"DRE - ANANINDEUA / BELEM")</f>
        <v>DRE - ANANINDEUA / BELEM</v>
      </c>
      <c r="D112" s="2" t="str">
        <f ca="1">IFERROR(__xludf.DUMMYFUNCTION("""COMPUTED_VALUE"""),"Ananindeua 1")</f>
        <v>Ananindeua 1</v>
      </c>
      <c r="E112" s="2" t="str">
        <f ca="1">IFERROR(__xludf.DUMMYFUNCTION("""COMPUTED_VALUE"""),"DRE - ANANINDEUA / BELEMAnanindeua 1")</f>
        <v>DRE - ANANINDEUA / BELEMAnanindeua 1</v>
      </c>
      <c r="F112" s="1">
        <f ca="1">IFERROR(__xludf.DUMMYFUNCTION("""COMPUTED_VALUE"""),1)</f>
        <v>1</v>
      </c>
      <c r="G112" s="1" t="str">
        <f ca="1">IFERROR(__xludf.DUMMYFUNCTION("""COMPUTED_VALUE"""),"DRE ANANINDEUA 1")</f>
        <v>DRE ANANINDEUA 1</v>
      </c>
      <c r="H112" s="1" t="str">
        <f ca="1">IFERROR(__xludf.DUMMYFUNCTION("""COMPUTED_VALUE"""),"19A URE - BELEM")</f>
        <v>19A URE - BELEM</v>
      </c>
      <c r="I112" s="2" t="str">
        <f ca="1">IFERROR(__xludf.DUMMYFUNCTION("""COMPUTED_VALUE"""),"Unidade 12")</f>
        <v>Unidade 12</v>
      </c>
      <c r="J112" s="1" t="str">
        <f ca="1">IFERROR(__xludf.DUMMYFUNCTION("""COMPUTED_VALUE"""),"ANANINDEUA")</f>
        <v>ANANINDEUA</v>
      </c>
      <c r="K112" s="1">
        <f ca="1">IFERROR(__xludf.DUMMYFUNCTION("""COMPUTED_VALUE"""),15034909)</f>
        <v>15034909</v>
      </c>
      <c r="L112" s="2" t="str">
        <f ca="1">IFERROR(__xludf.DUMMYFUNCTION("""COMPUTED_VALUE"""),"001920902660000")</f>
        <v>001920902660000</v>
      </c>
      <c r="M112" s="2" t="str">
        <f ca="1">IFERROR(__xludf.DUMMYFUNCTION("""COMPUTED_VALUE"""),"1920902660000")</f>
        <v>1920902660000</v>
      </c>
      <c r="N112" s="1" t="str">
        <f ca="1">IFERROR(__xludf.DUMMYFUNCTION("""COMPUTED_VALUE"""),"EEEFM WALTER BEZERRA FALCAO")</f>
        <v>EEEFM WALTER BEZERRA FALCAO</v>
      </c>
      <c r="O112" s="1"/>
      <c r="P112" s="1"/>
      <c r="Q112" s="1" t="s">
        <v>99</v>
      </c>
    </row>
    <row r="113" spans="1:17" x14ac:dyDescent="0.25">
      <c r="A113" s="2" t="str">
        <f ca="1">IFERROR(__xludf.DUMMYFUNCTION("""COMPUTED_VALUE"""),"REG DE INTEGRA  METROPOLITANA")</f>
        <v>REG DE INTEGRA  METROPOLITANA</v>
      </c>
      <c r="B113" s="1" t="str">
        <f ca="1">IFERROR(__xludf.DUMMYFUNCTION("""COMPUTED_VALUE"""),"DRE ANANINDEUA 1")</f>
        <v>DRE ANANINDEUA 1</v>
      </c>
      <c r="C113" s="2" t="str">
        <f ca="1">IFERROR(__xludf.DUMMYFUNCTION("""COMPUTED_VALUE"""),"DRE - ANANINDEUA / BELEM")</f>
        <v>DRE - ANANINDEUA / BELEM</v>
      </c>
      <c r="D113" s="2" t="str">
        <f ca="1">IFERROR(__xludf.DUMMYFUNCTION("""COMPUTED_VALUE"""),"Ananindeua 1")</f>
        <v>Ananindeua 1</v>
      </c>
      <c r="E113" s="2" t="str">
        <f ca="1">IFERROR(__xludf.DUMMYFUNCTION("""COMPUTED_VALUE"""),"DRE - ANANINDEUA / BELEMAnanindeua 1")</f>
        <v>DRE - ANANINDEUA / BELEMAnanindeua 1</v>
      </c>
      <c r="F113" s="1">
        <f ca="1">IFERROR(__xludf.DUMMYFUNCTION("""COMPUTED_VALUE"""),1)</f>
        <v>1</v>
      </c>
      <c r="G113" s="1" t="str">
        <f ca="1">IFERROR(__xludf.DUMMYFUNCTION("""COMPUTED_VALUE"""),"DRE ANANINDEUA 1")</f>
        <v>DRE ANANINDEUA 1</v>
      </c>
      <c r="H113" s="1" t="str">
        <f ca="1">IFERROR(__xludf.DUMMYFUNCTION("""COMPUTED_VALUE"""),"19A URE - BELEM")</f>
        <v>19A URE - BELEM</v>
      </c>
      <c r="I113" s="2" t="str">
        <f ca="1">IFERROR(__xludf.DUMMYFUNCTION("""COMPUTED_VALUE"""),"Unidade 12")</f>
        <v>Unidade 12</v>
      </c>
      <c r="J113" s="1" t="str">
        <f ca="1">IFERROR(__xludf.DUMMYFUNCTION("""COMPUTED_VALUE"""),"ANANINDEUA")</f>
        <v>ANANINDEUA</v>
      </c>
      <c r="K113" s="1">
        <f ca="1">IFERROR(__xludf.DUMMYFUNCTION("""COMPUTED_VALUE"""),15581853)</f>
        <v>15581853</v>
      </c>
      <c r="L113" s="2" t="str">
        <f ca="1">IFERROR(__xludf.DUMMYFUNCTION("""COMPUTED_VALUE"""),"001920936640000")</f>
        <v>001920936640000</v>
      </c>
      <c r="M113" s="2" t="str">
        <f ca="1">IFERROR(__xludf.DUMMYFUNCTION("""COMPUTED_VALUE"""),"1920936640000")</f>
        <v>1920936640000</v>
      </c>
      <c r="N113" s="1" t="str">
        <f ca="1">IFERROR(__xludf.DUMMYFUNCTION("""COMPUTED_VALUE"""),"EEEM PROFA MARIA HELENA VALENTE TAVARES")</f>
        <v>EEEM PROFA MARIA HELENA VALENTE TAVARES</v>
      </c>
      <c r="O113" s="1"/>
      <c r="P113" s="1"/>
      <c r="Q113" s="1" t="s">
        <v>99</v>
      </c>
    </row>
    <row r="114" spans="1:17" x14ac:dyDescent="0.25">
      <c r="A114" s="2" t="str">
        <f ca="1">IFERROR(__xludf.DUMMYFUNCTION("""COMPUTED_VALUE"""),"REG DE INTEGRA  METROPOLITANA")</f>
        <v>REG DE INTEGRA  METROPOLITANA</v>
      </c>
      <c r="B114" s="1" t="str">
        <f ca="1">IFERROR(__xludf.DUMMYFUNCTION("""COMPUTED_VALUE"""),"DRE ANANINDEUA 2")</f>
        <v>DRE ANANINDEUA 2</v>
      </c>
      <c r="C114" s="2" t="str">
        <f ca="1">IFERROR(__xludf.DUMMYFUNCTION("""COMPUTED_VALUE"""),"DRE - ANANINDEUA / BELEM")</f>
        <v>DRE - ANANINDEUA / BELEM</v>
      </c>
      <c r="D114" s="2" t="str">
        <f ca="1">IFERROR(__xludf.DUMMYFUNCTION("""COMPUTED_VALUE"""),"Ananindeua 2")</f>
        <v>Ananindeua 2</v>
      </c>
      <c r="E114" s="2" t="str">
        <f ca="1">IFERROR(__xludf.DUMMYFUNCTION("""COMPUTED_VALUE"""),"DRE - ANANINDEUA / BELEMAnanindeua 2")</f>
        <v>DRE - ANANINDEUA / BELEMAnanindeua 2</v>
      </c>
      <c r="F114" s="1">
        <f ca="1">IFERROR(__xludf.DUMMYFUNCTION("""COMPUTED_VALUE"""),2)</f>
        <v>2</v>
      </c>
      <c r="G114" s="1" t="str">
        <f ca="1">IFERROR(__xludf.DUMMYFUNCTION("""COMPUTED_VALUE"""),"DRE ANANINDEUA 2")</f>
        <v>DRE ANANINDEUA 2</v>
      </c>
      <c r="H114" s="1" t="str">
        <f ca="1">IFERROR(__xludf.DUMMYFUNCTION("""COMPUTED_VALUE"""),"19A URE - BELEM")</f>
        <v>19A URE - BELEM</v>
      </c>
      <c r="I114" s="2" t="str">
        <f ca="1">IFERROR(__xludf.DUMMYFUNCTION("""COMPUTED_VALUE"""),"Unidade 13")</f>
        <v>Unidade 13</v>
      </c>
      <c r="J114" s="1" t="str">
        <f ca="1">IFERROR(__xludf.DUMMYFUNCTION("""COMPUTED_VALUE"""),"ANANINDEUA")</f>
        <v>ANANINDEUA</v>
      </c>
      <c r="K114" s="1">
        <f ca="1">IFERROR(__xludf.DUMMYFUNCTION("""COMPUTED_VALUE"""),15035530)</f>
        <v>15035530</v>
      </c>
      <c r="L114" s="2" t="str">
        <f ca="1">IFERROR(__xludf.DUMMYFUNCTION("""COMPUTED_VALUE"""),"001920933970000")</f>
        <v>001920933970000</v>
      </c>
      <c r="M114" s="2" t="str">
        <f ca="1">IFERROR(__xludf.DUMMYFUNCTION("""COMPUTED_VALUE"""),"1920933970000")</f>
        <v>1920933970000</v>
      </c>
      <c r="N114" s="1" t="str">
        <f ca="1">IFERROR(__xludf.DUMMYFUNCTION("""COMPUTED_VALUE"""),"EEEF ANTONIO SAMPAIO")</f>
        <v>EEEF ANTONIO SAMPAIO</v>
      </c>
      <c r="O114" s="1"/>
      <c r="P114" s="1"/>
      <c r="Q114" s="1" t="s">
        <v>117</v>
      </c>
    </row>
    <row r="115" spans="1:17" x14ac:dyDescent="0.25">
      <c r="A115" s="2" t="str">
        <f ca="1">IFERROR(__xludf.DUMMYFUNCTION("""COMPUTED_VALUE"""),"REG DE INTEGRA  METROPOLITANA")</f>
        <v>REG DE INTEGRA  METROPOLITANA</v>
      </c>
      <c r="B115" s="1" t="str">
        <f ca="1">IFERROR(__xludf.DUMMYFUNCTION("""COMPUTED_VALUE"""),"DRE ANANINDEUA 2")</f>
        <v>DRE ANANINDEUA 2</v>
      </c>
      <c r="C115" s="2" t="str">
        <f ca="1">IFERROR(__xludf.DUMMYFUNCTION("""COMPUTED_VALUE"""),"DRE - ANANINDEUA / BELEM")</f>
        <v>DRE - ANANINDEUA / BELEM</v>
      </c>
      <c r="D115" s="2" t="str">
        <f ca="1">IFERROR(__xludf.DUMMYFUNCTION("""COMPUTED_VALUE"""),"Ananindeua 2")</f>
        <v>Ananindeua 2</v>
      </c>
      <c r="E115" s="2" t="str">
        <f ca="1">IFERROR(__xludf.DUMMYFUNCTION("""COMPUTED_VALUE"""),"DRE - ANANINDEUA / BELEMAnanindeua 2")</f>
        <v>DRE - ANANINDEUA / BELEMAnanindeua 2</v>
      </c>
      <c r="F115" s="1">
        <f ca="1">IFERROR(__xludf.DUMMYFUNCTION("""COMPUTED_VALUE"""),2)</f>
        <v>2</v>
      </c>
      <c r="G115" s="1" t="str">
        <f ca="1">IFERROR(__xludf.DUMMYFUNCTION("""COMPUTED_VALUE"""),"DRE ANANINDEUA 2")</f>
        <v>DRE ANANINDEUA 2</v>
      </c>
      <c r="H115" s="1" t="str">
        <f ca="1">IFERROR(__xludf.DUMMYFUNCTION("""COMPUTED_VALUE"""),"19A URE - BELEM")</f>
        <v>19A URE - BELEM</v>
      </c>
      <c r="I115" s="2" t="str">
        <f ca="1">IFERROR(__xludf.DUMMYFUNCTION("""COMPUTED_VALUE"""),"Unidade 13")</f>
        <v>Unidade 13</v>
      </c>
      <c r="J115" s="1" t="str">
        <f ca="1">IFERROR(__xludf.DUMMYFUNCTION("""COMPUTED_VALUE"""),"ANANINDEUA")</f>
        <v>ANANINDEUA</v>
      </c>
      <c r="K115" s="1">
        <f ca="1">IFERROR(__xludf.DUMMYFUNCTION("""COMPUTED_VALUE"""),15034330)</f>
        <v>15034330</v>
      </c>
      <c r="L115" s="2" t="str">
        <f ca="1">IFERROR(__xludf.DUMMYFUNCTION("""COMPUTED_VALUE"""),"001920931110000")</f>
        <v>001920931110000</v>
      </c>
      <c r="M115" s="2" t="str">
        <f ca="1">IFERROR(__xludf.DUMMYFUNCTION("""COMPUTED_VALUE"""),"1920931110000")</f>
        <v>1920931110000</v>
      </c>
      <c r="N115" s="1" t="str">
        <f ca="1">IFERROR(__xludf.DUMMYFUNCTION("""COMPUTED_VALUE"""),"EEEF CELINA DEL TETTO")</f>
        <v>EEEF CELINA DEL TETTO</v>
      </c>
      <c r="O115" s="1"/>
      <c r="P115" s="1"/>
      <c r="Q115" s="1" t="s">
        <v>117</v>
      </c>
    </row>
    <row r="116" spans="1:17" x14ac:dyDescent="0.25">
      <c r="A116" s="2" t="str">
        <f ca="1">IFERROR(__xludf.DUMMYFUNCTION("""COMPUTED_VALUE"""),"REG DE INTEGRA  METROPOLITANA")</f>
        <v>REG DE INTEGRA  METROPOLITANA</v>
      </c>
      <c r="B116" s="1" t="str">
        <f ca="1">IFERROR(__xludf.DUMMYFUNCTION("""COMPUTED_VALUE"""),"DRE ANANINDEUA 2")</f>
        <v>DRE ANANINDEUA 2</v>
      </c>
      <c r="C116" s="2" t="str">
        <f ca="1">IFERROR(__xludf.DUMMYFUNCTION("""COMPUTED_VALUE"""),"DRE - ANANINDEUA / BELEM")</f>
        <v>DRE - ANANINDEUA / BELEM</v>
      </c>
      <c r="D116" s="2" t="str">
        <f ca="1">IFERROR(__xludf.DUMMYFUNCTION("""COMPUTED_VALUE"""),"Ananindeua 2")</f>
        <v>Ananindeua 2</v>
      </c>
      <c r="E116" s="2" t="str">
        <f ca="1">IFERROR(__xludf.DUMMYFUNCTION("""COMPUTED_VALUE"""),"DRE - ANANINDEUA / BELEMAnanindeua 2")</f>
        <v>DRE - ANANINDEUA / BELEMAnanindeua 2</v>
      </c>
      <c r="F116" s="1">
        <f ca="1">IFERROR(__xludf.DUMMYFUNCTION("""COMPUTED_VALUE"""),2)</f>
        <v>2</v>
      </c>
      <c r="G116" s="1" t="str">
        <f ca="1">IFERROR(__xludf.DUMMYFUNCTION("""COMPUTED_VALUE"""),"DRE ANANINDEUA 2")</f>
        <v>DRE ANANINDEUA 2</v>
      </c>
      <c r="H116" s="1" t="str">
        <f ca="1">IFERROR(__xludf.DUMMYFUNCTION("""COMPUTED_VALUE"""),"19A URE - BELEM")</f>
        <v>19A URE - BELEM</v>
      </c>
      <c r="I116" s="2" t="str">
        <f ca="1">IFERROR(__xludf.DUMMYFUNCTION("""COMPUTED_VALUE"""),"Unidade 13")</f>
        <v>Unidade 13</v>
      </c>
      <c r="J116" s="1" t="str">
        <f ca="1">IFERROR(__xludf.DUMMYFUNCTION("""COMPUTED_VALUE"""),"ANANINDEUA")</f>
        <v>ANANINDEUA</v>
      </c>
      <c r="K116" s="1">
        <f ca="1">IFERROR(__xludf.DUMMYFUNCTION("""COMPUTED_VALUE"""),15034550)</f>
        <v>15034550</v>
      </c>
      <c r="L116" s="2" t="str">
        <f ca="1">IFERROR(__xludf.DUMMYFUNCTION("""COMPUTED_VALUE"""),"001920902690000")</f>
        <v>001920902690000</v>
      </c>
      <c r="M116" s="2" t="str">
        <f ca="1">IFERROR(__xludf.DUMMYFUNCTION("""COMPUTED_VALUE"""),"1920902690000")</f>
        <v>1920902690000</v>
      </c>
      <c r="N116" s="1" t="str">
        <f ca="1">IFERROR(__xludf.DUMMYFUNCTION("""COMPUTED_VALUE"""),"EEEF DEP ARMANDO CORREA")</f>
        <v>EEEF DEP ARMANDO CORREA</v>
      </c>
      <c r="O116" s="1"/>
      <c r="P116" s="1"/>
      <c r="Q116" s="1" t="s">
        <v>117</v>
      </c>
    </row>
    <row r="117" spans="1:17" x14ac:dyDescent="0.25">
      <c r="A117" s="2" t="str">
        <f ca="1">IFERROR(__xludf.DUMMYFUNCTION("""COMPUTED_VALUE"""),"REG DE INTEGRA  METROPOLITANA")</f>
        <v>REG DE INTEGRA  METROPOLITANA</v>
      </c>
      <c r="B117" s="1" t="str">
        <f ca="1">IFERROR(__xludf.DUMMYFUNCTION("""COMPUTED_VALUE"""),"DRE ANANINDEUA 2")</f>
        <v>DRE ANANINDEUA 2</v>
      </c>
      <c r="C117" s="2" t="str">
        <f ca="1">IFERROR(__xludf.DUMMYFUNCTION("""COMPUTED_VALUE"""),"DRE - ANANINDEUA / BELEM")</f>
        <v>DRE - ANANINDEUA / BELEM</v>
      </c>
      <c r="D117" s="2" t="str">
        <f ca="1">IFERROR(__xludf.DUMMYFUNCTION("""COMPUTED_VALUE"""),"Ananindeua 2")</f>
        <v>Ananindeua 2</v>
      </c>
      <c r="E117" s="2" t="str">
        <f ca="1">IFERROR(__xludf.DUMMYFUNCTION("""COMPUTED_VALUE"""),"DRE - ANANINDEUA / BELEMAnanindeua 2")</f>
        <v>DRE - ANANINDEUA / BELEMAnanindeua 2</v>
      </c>
      <c r="F117" s="1">
        <f ca="1">IFERROR(__xludf.DUMMYFUNCTION("""COMPUTED_VALUE"""),2)</f>
        <v>2</v>
      </c>
      <c r="G117" s="1" t="str">
        <f ca="1">IFERROR(__xludf.DUMMYFUNCTION("""COMPUTED_VALUE"""),"DRE ANANINDEUA 2")</f>
        <v>DRE ANANINDEUA 2</v>
      </c>
      <c r="H117" s="1" t="str">
        <f ca="1">IFERROR(__xludf.DUMMYFUNCTION("""COMPUTED_VALUE"""),"19A URE - BELEM")</f>
        <v>19A URE - BELEM</v>
      </c>
      <c r="I117" s="2" t="str">
        <f ca="1">IFERROR(__xludf.DUMMYFUNCTION("""COMPUTED_VALUE"""),"Unidade 13")</f>
        <v>Unidade 13</v>
      </c>
      <c r="J117" s="1" t="str">
        <f ca="1">IFERROR(__xludf.DUMMYFUNCTION("""COMPUTED_VALUE"""),"ANANINDEUA")</f>
        <v>ANANINDEUA</v>
      </c>
      <c r="K117" s="1">
        <f ca="1">IFERROR(__xludf.DUMMYFUNCTION("""COMPUTED_VALUE"""),15034585)</f>
        <v>15034585</v>
      </c>
      <c r="L117" s="2" t="str">
        <f ca="1">IFERROR(__xludf.DUMMYFUNCTION("""COMPUTED_VALUE"""),"001920902550000")</f>
        <v>001920902550000</v>
      </c>
      <c r="M117" s="2" t="str">
        <f ca="1">IFERROR(__xludf.DUMMYFUNCTION("""COMPUTED_VALUE"""),"1920902550000")</f>
        <v>1920902550000</v>
      </c>
      <c r="N117" s="1" t="str">
        <f ca="1">IFERROR(__xludf.DUMMYFUNCTION("""COMPUTED_VALUE"""),"EEEF DR GASPAR VIANNA")</f>
        <v>EEEF DR GASPAR VIANNA</v>
      </c>
      <c r="O117" s="1"/>
      <c r="P117" s="1"/>
      <c r="Q117" s="1" t="s">
        <v>117</v>
      </c>
    </row>
    <row r="118" spans="1:17" x14ac:dyDescent="0.25">
      <c r="A118" s="2" t="str">
        <f ca="1">IFERROR(__xludf.DUMMYFUNCTION("""COMPUTED_VALUE"""),"REG DE INTEGRA  METROPOLITANA")</f>
        <v>REG DE INTEGRA  METROPOLITANA</v>
      </c>
      <c r="B118" s="1" t="str">
        <f ca="1">IFERROR(__xludf.DUMMYFUNCTION("""COMPUTED_VALUE"""),"DRE ANANINDEUA 2")</f>
        <v>DRE ANANINDEUA 2</v>
      </c>
      <c r="C118" s="2" t="str">
        <f ca="1">IFERROR(__xludf.DUMMYFUNCTION("""COMPUTED_VALUE"""),"DRE - ANANINDEUA / BELEM")</f>
        <v>DRE - ANANINDEUA / BELEM</v>
      </c>
      <c r="D118" s="2" t="str">
        <f ca="1">IFERROR(__xludf.DUMMYFUNCTION("""COMPUTED_VALUE"""),"Ananindeua 2")</f>
        <v>Ananindeua 2</v>
      </c>
      <c r="E118" s="2" t="str">
        <f ca="1">IFERROR(__xludf.DUMMYFUNCTION("""COMPUTED_VALUE"""),"DRE - ANANINDEUA / BELEMAnanindeua 2")</f>
        <v>DRE - ANANINDEUA / BELEMAnanindeua 2</v>
      </c>
      <c r="F118" s="1">
        <f ca="1">IFERROR(__xludf.DUMMYFUNCTION("""COMPUTED_VALUE"""),2)</f>
        <v>2</v>
      </c>
      <c r="G118" s="1" t="str">
        <f ca="1">IFERROR(__xludf.DUMMYFUNCTION("""COMPUTED_VALUE"""),"DRE ANANINDEUA 2")</f>
        <v>DRE ANANINDEUA 2</v>
      </c>
      <c r="H118" s="1" t="str">
        <f ca="1">IFERROR(__xludf.DUMMYFUNCTION("""COMPUTED_VALUE"""),"19A URE - BELEM")</f>
        <v>19A URE - BELEM</v>
      </c>
      <c r="I118" s="2" t="str">
        <f ca="1">IFERROR(__xludf.DUMMYFUNCTION("""COMPUTED_VALUE"""),"Unidade 13")</f>
        <v>Unidade 13</v>
      </c>
      <c r="J118" s="1" t="str">
        <f ca="1">IFERROR(__xludf.DUMMYFUNCTION("""COMPUTED_VALUE"""),"ANANINDEUA")</f>
        <v>ANANINDEUA</v>
      </c>
      <c r="K118" s="1">
        <f ca="1">IFERROR(__xludf.DUMMYFUNCTION("""COMPUTED_VALUE"""),15035425)</f>
        <v>15035425</v>
      </c>
      <c r="L118" s="2" t="str">
        <f ca="1">IFERROR(__xludf.DUMMYFUNCTION("""COMPUTED_VALUE"""),"001920928120000")</f>
        <v>001920928120000</v>
      </c>
      <c r="M118" s="2" t="str">
        <f ca="1">IFERROR(__xludf.DUMMYFUNCTION("""COMPUTED_VALUE"""),"1920928120000")</f>
        <v>1920928120000</v>
      </c>
      <c r="N118" s="1" t="str">
        <f ca="1">IFERROR(__xludf.DUMMYFUNCTION("""COMPUTED_VALUE"""),"EEEF ELAINE ISMAELINO DE FREITAS")</f>
        <v>EEEF ELAINE ISMAELINO DE FREITAS</v>
      </c>
      <c r="O118" s="1"/>
      <c r="P118" s="1"/>
      <c r="Q118" s="1" t="s">
        <v>117</v>
      </c>
    </row>
    <row r="119" spans="1:17" x14ac:dyDescent="0.25">
      <c r="A119" s="2" t="str">
        <f ca="1">IFERROR(__xludf.DUMMYFUNCTION("""COMPUTED_VALUE"""),"REG DE INTEGRA  METROPOLITANA")</f>
        <v>REG DE INTEGRA  METROPOLITANA</v>
      </c>
      <c r="B119" s="1" t="str">
        <f ca="1">IFERROR(__xludf.DUMMYFUNCTION("""COMPUTED_VALUE"""),"DRE ANANINDEUA 2")</f>
        <v>DRE ANANINDEUA 2</v>
      </c>
      <c r="C119" s="2" t="str">
        <f ca="1">IFERROR(__xludf.DUMMYFUNCTION("""COMPUTED_VALUE"""),"DRE - ANANINDEUA / BELEM")</f>
        <v>DRE - ANANINDEUA / BELEM</v>
      </c>
      <c r="D119" s="2" t="str">
        <f ca="1">IFERROR(__xludf.DUMMYFUNCTION("""COMPUTED_VALUE"""),"Ananindeua 2")</f>
        <v>Ananindeua 2</v>
      </c>
      <c r="E119" s="2" t="str">
        <f ca="1">IFERROR(__xludf.DUMMYFUNCTION("""COMPUTED_VALUE"""),"DRE - ANANINDEUA / BELEMAnanindeua 2")</f>
        <v>DRE - ANANINDEUA / BELEMAnanindeua 2</v>
      </c>
      <c r="F119" s="1">
        <f ca="1">IFERROR(__xludf.DUMMYFUNCTION("""COMPUTED_VALUE"""),2)</f>
        <v>2</v>
      </c>
      <c r="G119" s="1" t="str">
        <f ca="1">IFERROR(__xludf.DUMMYFUNCTION("""COMPUTED_VALUE"""),"DRE ANANINDEUA 2")</f>
        <v>DRE ANANINDEUA 2</v>
      </c>
      <c r="H119" s="1" t="str">
        <f ca="1">IFERROR(__xludf.DUMMYFUNCTION("""COMPUTED_VALUE"""),"19A URE - BELEM")</f>
        <v>19A URE - BELEM</v>
      </c>
      <c r="I119" s="2" t="str">
        <f ca="1">IFERROR(__xludf.DUMMYFUNCTION("""COMPUTED_VALUE"""),"Unidade 13")</f>
        <v>Unidade 13</v>
      </c>
      <c r="J119" s="1" t="str">
        <f ca="1">IFERROR(__xludf.DUMMYFUNCTION("""COMPUTED_VALUE"""),"ANANINDEUA")</f>
        <v>ANANINDEUA</v>
      </c>
      <c r="K119" s="1">
        <f ca="1">IFERROR(__xludf.DUMMYFUNCTION("""COMPUTED_VALUE"""),15034763)</f>
        <v>15034763</v>
      </c>
      <c r="L119" s="2" t="str">
        <f ca="1">IFERROR(__xludf.DUMMYFUNCTION("""COMPUTED_VALUE"""),"001920902630000")</f>
        <v>001920902630000</v>
      </c>
      <c r="M119" s="2" t="str">
        <f ca="1">IFERROR(__xludf.DUMMYFUNCTION("""COMPUTED_VALUE"""),"1920902630000")</f>
        <v>1920902630000</v>
      </c>
      <c r="N119" s="1" t="str">
        <f ca="1">IFERROR(__xludf.DUMMYFUNCTION("""COMPUTED_VALUE"""),"EEEF LUCY CORREA DE ARAUJO")</f>
        <v>EEEF LUCY CORREA DE ARAUJO</v>
      </c>
      <c r="O119" s="1"/>
      <c r="P119" s="1"/>
      <c r="Q119" s="1" t="s">
        <v>117</v>
      </c>
    </row>
    <row r="120" spans="1:17" x14ac:dyDescent="0.25">
      <c r="A120" s="2" t="str">
        <f ca="1">IFERROR(__xludf.DUMMYFUNCTION("""COMPUTED_VALUE"""),"REG DE INTEGRA  METROPOLITANA")</f>
        <v>REG DE INTEGRA  METROPOLITANA</v>
      </c>
      <c r="B120" s="1" t="str">
        <f ca="1">IFERROR(__xludf.DUMMYFUNCTION("""COMPUTED_VALUE"""),"DRE ANANINDEUA 2")</f>
        <v>DRE ANANINDEUA 2</v>
      </c>
      <c r="C120" s="2" t="str">
        <f ca="1">IFERROR(__xludf.DUMMYFUNCTION("""COMPUTED_VALUE"""),"DRE - ANANINDEUA / BELEM")</f>
        <v>DRE - ANANINDEUA / BELEM</v>
      </c>
      <c r="D120" s="2" t="str">
        <f ca="1">IFERROR(__xludf.DUMMYFUNCTION("""COMPUTED_VALUE"""),"Ananindeua 2")</f>
        <v>Ananindeua 2</v>
      </c>
      <c r="E120" s="2" t="str">
        <f ca="1">IFERROR(__xludf.DUMMYFUNCTION("""COMPUTED_VALUE"""),"DRE - ANANINDEUA / BELEMAnanindeua 2")</f>
        <v>DRE - ANANINDEUA / BELEMAnanindeua 2</v>
      </c>
      <c r="F120" s="1">
        <f ca="1">IFERROR(__xludf.DUMMYFUNCTION("""COMPUTED_VALUE"""),2)</f>
        <v>2</v>
      </c>
      <c r="G120" s="1" t="str">
        <f ca="1">IFERROR(__xludf.DUMMYFUNCTION("""COMPUTED_VALUE"""),"DRE ANANINDEUA 2")</f>
        <v>DRE ANANINDEUA 2</v>
      </c>
      <c r="H120" s="1" t="str">
        <f ca="1">IFERROR(__xludf.DUMMYFUNCTION("""COMPUTED_VALUE"""),"19A URE - BELEM")</f>
        <v>19A URE - BELEM</v>
      </c>
      <c r="I120" s="2" t="str">
        <f ca="1">IFERROR(__xludf.DUMMYFUNCTION("""COMPUTED_VALUE"""),"Unidade 13")</f>
        <v>Unidade 13</v>
      </c>
      <c r="J120" s="1" t="str">
        <f ca="1">IFERROR(__xludf.DUMMYFUNCTION("""COMPUTED_VALUE"""),"ANANINDEUA")</f>
        <v>ANANINDEUA</v>
      </c>
      <c r="K120" s="1">
        <f ca="1">IFERROR(__xludf.DUMMYFUNCTION("""COMPUTED_VALUE"""),15539865)</f>
        <v>15539865</v>
      </c>
      <c r="L120" s="2" t="str">
        <f ca="1">IFERROR(__xludf.DUMMYFUNCTION("""COMPUTED_VALUE"""),"001920934970000")</f>
        <v>001920934970000</v>
      </c>
      <c r="M120" s="2" t="str">
        <f ca="1">IFERROR(__xludf.DUMMYFUNCTION("""COMPUTED_VALUE"""),"1920934970000")</f>
        <v>1920934970000</v>
      </c>
      <c r="N120" s="1" t="str">
        <f ca="1">IFERROR(__xludf.DUMMYFUNCTION("""COMPUTED_VALUE"""),"EEEF MORADORES CRISTO REI")</f>
        <v>EEEF MORADORES CRISTO REI</v>
      </c>
      <c r="O120" s="1"/>
      <c r="P120" s="1"/>
      <c r="Q120" s="1" t="s">
        <v>117</v>
      </c>
    </row>
    <row r="121" spans="1:17" x14ac:dyDescent="0.25">
      <c r="A121" s="2" t="str">
        <f ca="1">IFERROR(__xludf.DUMMYFUNCTION("""COMPUTED_VALUE"""),"REG DE INTEGRA  METROPOLITANA")</f>
        <v>REG DE INTEGRA  METROPOLITANA</v>
      </c>
      <c r="B121" s="1" t="str">
        <f ca="1">IFERROR(__xludf.DUMMYFUNCTION("""COMPUTED_VALUE"""),"DRE ANANINDEUA 2")</f>
        <v>DRE ANANINDEUA 2</v>
      </c>
      <c r="C121" s="2" t="str">
        <f ca="1">IFERROR(__xludf.DUMMYFUNCTION("""COMPUTED_VALUE"""),"DRE - ANANINDEUA / BELEM")</f>
        <v>DRE - ANANINDEUA / BELEM</v>
      </c>
      <c r="D121" s="2" t="str">
        <f ca="1">IFERROR(__xludf.DUMMYFUNCTION("""COMPUTED_VALUE"""),"Ananindeua 2")</f>
        <v>Ananindeua 2</v>
      </c>
      <c r="E121" s="2" t="str">
        <f ca="1">IFERROR(__xludf.DUMMYFUNCTION("""COMPUTED_VALUE"""),"DRE - ANANINDEUA / BELEMAnanindeua 2")</f>
        <v>DRE - ANANINDEUA / BELEMAnanindeua 2</v>
      </c>
      <c r="F121" s="1">
        <f ca="1">IFERROR(__xludf.DUMMYFUNCTION("""COMPUTED_VALUE"""),2)</f>
        <v>2</v>
      </c>
      <c r="G121" s="1" t="str">
        <f ca="1">IFERROR(__xludf.DUMMYFUNCTION("""COMPUTED_VALUE"""),"DRE ANANINDEUA 2")</f>
        <v>DRE ANANINDEUA 2</v>
      </c>
      <c r="H121" s="1" t="str">
        <f ca="1">IFERROR(__xludf.DUMMYFUNCTION("""COMPUTED_VALUE"""),"19A URE - BELEM")</f>
        <v>19A URE - BELEM</v>
      </c>
      <c r="I121" s="2" t="str">
        <f ca="1">IFERROR(__xludf.DUMMYFUNCTION("""COMPUTED_VALUE"""),"Unidade 13")</f>
        <v>Unidade 13</v>
      </c>
      <c r="J121" s="1" t="str">
        <f ca="1">IFERROR(__xludf.DUMMYFUNCTION("""COMPUTED_VALUE"""),"ANANINDEUA")</f>
        <v>ANANINDEUA</v>
      </c>
      <c r="K121" s="1">
        <f ca="1">IFERROR(__xludf.DUMMYFUNCTION("""COMPUTED_VALUE"""),15034380)</f>
        <v>15034380</v>
      </c>
      <c r="L121" s="2" t="str">
        <f ca="1">IFERROR(__xludf.DUMMYFUNCTION("""COMPUTED_VALUE"""),"001920927530000")</f>
        <v>001920927530000</v>
      </c>
      <c r="M121" s="2" t="str">
        <f ca="1">IFERROR(__xludf.DUMMYFUNCTION("""COMPUTED_VALUE"""),"1920927530000")</f>
        <v>1920927530000</v>
      </c>
      <c r="N121" s="1" t="str">
        <f ca="1">IFERROR(__xludf.DUMMYFUNCTION("""COMPUTED_VALUE"""),"EEEF PROF GELMIREZ MELO E SILVA")</f>
        <v>EEEF PROF GELMIREZ MELO E SILVA</v>
      </c>
      <c r="O121" s="1"/>
      <c r="P121" s="1"/>
      <c r="Q121" s="1" t="s">
        <v>117</v>
      </c>
    </row>
    <row r="122" spans="1:17" x14ac:dyDescent="0.25">
      <c r="A122" s="2" t="str">
        <f ca="1">IFERROR(__xludf.DUMMYFUNCTION("""COMPUTED_VALUE"""),"REG DE INTEGRA  METROPOLITANA")</f>
        <v>REG DE INTEGRA  METROPOLITANA</v>
      </c>
      <c r="B122" s="1" t="str">
        <f ca="1">IFERROR(__xludf.DUMMYFUNCTION("""COMPUTED_VALUE"""),"DRE ANANINDEUA 2")</f>
        <v>DRE ANANINDEUA 2</v>
      </c>
      <c r="C122" s="2" t="str">
        <f ca="1">IFERROR(__xludf.DUMMYFUNCTION("""COMPUTED_VALUE"""),"DRE - ANANINDEUA / BELEM")</f>
        <v>DRE - ANANINDEUA / BELEM</v>
      </c>
      <c r="D122" s="2" t="str">
        <f ca="1">IFERROR(__xludf.DUMMYFUNCTION("""COMPUTED_VALUE"""),"Ananindeua 2")</f>
        <v>Ananindeua 2</v>
      </c>
      <c r="E122" s="2" t="str">
        <f ca="1">IFERROR(__xludf.DUMMYFUNCTION("""COMPUTED_VALUE"""),"DRE - ANANINDEUA / BELEMAnanindeua 2")</f>
        <v>DRE - ANANINDEUA / BELEMAnanindeua 2</v>
      </c>
      <c r="F122" s="1">
        <f ca="1">IFERROR(__xludf.DUMMYFUNCTION("""COMPUTED_VALUE"""),2)</f>
        <v>2</v>
      </c>
      <c r="G122" s="1" t="str">
        <f ca="1">IFERROR(__xludf.DUMMYFUNCTION("""COMPUTED_VALUE"""),"DRE ANANINDEUA 2")</f>
        <v>DRE ANANINDEUA 2</v>
      </c>
      <c r="H122" s="1" t="str">
        <f ca="1">IFERROR(__xludf.DUMMYFUNCTION("""COMPUTED_VALUE"""),"19A URE - BELEM")</f>
        <v>19A URE - BELEM</v>
      </c>
      <c r="I122" s="2" t="str">
        <f ca="1">IFERROR(__xludf.DUMMYFUNCTION("""COMPUTED_VALUE"""),"Unidade 13")</f>
        <v>Unidade 13</v>
      </c>
      <c r="J122" s="1" t="str">
        <f ca="1">IFERROR(__xludf.DUMMYFUNCTION("""COMPUTED_VALUE"""),"ANANINDEUA")</f>
        <v>ANANINDEUA</v>
      </c>
      <c r="K122" s="1">
        <f ca="1">IFERROR(__xludf.DUMMYFUNCTION("""COMPUTED_VALUE"""),15034470)</f>
        <v>15034470</v>
      </c>
      <c r="L122" s="2" t="str">
        <f ca="1">IFERROR(__xludf.DUMMYFUNCTION("""COMPUTED_VALUE"""),"001920927540000")</f>
        <v>001920927540000</v>
      </c>
      <c r="M122" s="2" t="str">
        <f ca="1">IFERROR(__xludf.DUMMYFUNCTION("""COMPUTED_VALUE"""),"1920927540000")</f>
        <v>1920927540000</v>
      </c>
      <c r="N122" s="1" t="str">
        <f ca="1">IFERROR(__xludf.DUMMYFUNCTION("""COMPUTED_VALUE"""),"EEEF PROF JOSE ASSIS RIBEIRO")</f>
        <v>EEEF PROF JOSE ASSIS RIBEIRO</v>
      </c>
      <c r="O122" s="1"/>
      <c r="P122" s="1"/>
      <c r="Q122" s="1" t="s">
        <v>117</v>
      </c>
    </row>
    <row r="123" spans="1:17" x14ac:dyDescent="0.25">
      <c r="A123" s="2" t="str">
        <f ca="1">IFERROR(__xludf.DUMMYFUNCTION("""COMPUTED_VALUE"""),"REG DE INTEGRA  METROPOLITANA")</f>
        <v>REG DE INTEGRA  METROPOLITANA</v>
      </c>
      <c r="B123" s="1" t="str">
        <f ca="1">IFERROR(__xludf.DUMMYFUNCTION("""COMPUTED_VALUE"""),"DRE ANANINDEUA 2")</f>
        <v>DRE ANANINDEUA 2</v>
      </c>
      <c r="C123" s="2" t="str">
        <f ca="1">IFERROR(__xludf.DUMMYFUNCTION("""COMPUTED_VALUE"""),"DRE - ANANINDEUA / BELEM")</f>
        <v>DRE - ANANINDEUA / BELEM</v>
      </c>
      <c r="D123" s="2" t="str">
        <f ca="1">IFERROR(__xludf.DUMMYFUNCTION("""COMPUTED_VALUE"""),"Ananindeua 2")</f>
        <v>Ananindeua 2</v>
      </c>
      <c r="E123" s="2" t="str">
        <f ca="1">IFERROR(__xludf.DUMMYFUNCTION("""COMPUTED_VALUE"""),"DRE - ANANINDEUA / BELEMAnanindeua 2")</f>
        <v>DRE - ANANINDEUA / BELEMAnanindeua 2</v>
      </c>
      <c r="F123" s="1">
        <f ca="1">IFERROR(__xludf.DUMMYFUNCTION("""COMPUTED_VALUE"""),2)</f>
        <v>2</v>
      </c>
      <c r="G123" s="1" t="str">
        <f ca="1">IFERROR(__xludf.DUMMYFUNCTION("""COMPUTED_VALUE"""),"DRE ANANINDEUA 2")</f>
        <v>DRE ANANINDEUA 2</v>
      </c>
      <c r="H123" s="1" t="str">
        <f ca="1">IFERROR(__xludf.DUMMYFUNCTION("""COMPUTED_VALUE"""),"19A URE - BELEM")</f>
        <v>19A URE - BELEM</v>
      </c>
      <c r="I123" s="2" t="str">
        <f ca="1">IFERROR(__xludf.DUMMYFUNCTION("""COMPUTED_VALUE"""),"Unidade 13")</f>
        <v>Unidade 13</v>
      </c>
      <c r="J123" s="1" t="str">
        <f ca="1">IFERROR(__xludf.DUMMYFUNCTION("""COMPUTED_VALUE"""),"ANANINDEUA")</f>
        <v>ANANINDEUA</v>
      </c>
      <c r="K123" s="1">
        <f ca="1">IFERROR(__xludf.DUMMYFUNCTION("""COMPUTED_VALUE"""),15034046)</f>
        <v>15034046</v>
      </c>
      <c r="L123" s="2" t="str">
        <f ca="1">IFERROR(__xludf.DUMMYFUNCTION("""COMPUTED_VALUE"""),"001920927840000")</f>
        <v>001920927840000</v>
      </c>
      <c r="M123" s="2" t="str">
        <f ca="1">IFERROR(__xludf.DUMMYFUNCTION("""COMPUTED_VALUE"""),"1920927840000")</f>
        <v>1920927840000</v>
      </c>
      <c r="N123" s="1" t="str">
        <f ca="1">IFERROR(__xludf.DUMMYFUNCTION("""COMPUTED_VALUE"""),"EEEFM DOM ALBERTO GALDENCIO RAMOS")</f>
        <v>EEEFM DOM ALBERTO GALDENCIO RAMOS</v>
      </c>
      <c r="O123" s="1"/>
      <c r="P123" s="1"/>
      <c r="Q123" s="1" t="s">
        <v>117</v>
      </c>
    </row>
    <row r="124" spans="1:17" x14ac:dyDescent="0.25">
      <c r="A124" s="2" t="str">
        <f ca="1">IFERROR(__xludf.DUMMYFUNCTION("""COMPUTED_VALUE"""),"REG DE INTEGRA  METROPOLITANA")</f>
        <v>REG DE INTEGRA  METROPOLITANA</v>
      </c>
      <c r="B124" s="1" t="str">
        <f ca="1">IFERROR(__xludf.DUMMYFUNCTION("""COMPUTED_VALUE"""),"DRE ANANINDEUA 2")</f>
        <v>DRE ANANINDEUA 2</v>
      </c>
      <c r="C124" s="2" t="str">
        <f ca="1">IFERROR(__xludf.DUMMYFUNCTION("""COMPUTED_VALUE"""),"DRE - ANANINDEUA / BELEM")</f>
        <v>DRE - ANANINDEUA / BELEM</v>
      </c>
      <c r="D124" s="2" t="str">
        <f ca="1">IFERROR(__xludf.DUMMYFUNCTION("""COMPUTED_VALUE"""),"Ananindeua 2")</f>
        <v>Ananindeua 2</v>
      </c>
      <c r="E124" s="2" t="str">
        <f ca="1">IFERROR(__xludf.DUMMYFUNCTION("""COMPUTED_VALUE"""),"DRE - ANANINDEUA / BELEMAnanindeua 2")</f>
        <v>DRE - ANANINDEUA / BELEMAnanindeua 2</v>
      </c>
      <c r="F124" s="1">
        <f ca="1">IFERROR(__xludf.DUMMYFUNCTION("""COMPUTED_VALUE"""),2)</f>
        <v>2</v>
      </c>
      <c r="G124" s="1" t="str">
        <f ca="1">IFERROR(__xludf.DUMMYFUNCTION("""COMPUTED_VALUE"""),"DRE ANANINDEUA 2")</f>
        <v>DRE ANANINDEUA 2</v>
      </c>
      <c r="H124" s="1" t="str">
        <f ca="1">IFERROR(__xludf.DUMMYFUNCTION("""COMPUTED_VALUE"""),"19A URE - BELEM")</f>
        <v>19A URE - BELEM</v>
      </c>
      <c r="I124" s="2" t="str">
        <f ca="1">IFERROR(__xludf.DUMMYFUNCTION("""COMPUTED_VALUE"""),"Unidade 13")</f>
        <v>Unidade 13</v>
      </c>
      <c r="J124" s="1" t="str">
        <f ca="1">IFERROR(__xludf.DUMMYFUNCTION("""COMPUTED_VALUE"""),"ANANINDEUA")</f>
        <v>ANANINDEUA</v>
      </c>
      <c r="K124" s="1">
        <f ca="1">IFERROR(__xludf.DUMMYFUNCTION("""COMPUTED_VALUE"""),15034640)</f>
        <v>15034640</v>
      </c>
      <c r="L124" s="2" t="str">
        <f ca="1">IFERROR(__xludf.DUMMYFUNCTION("""COMPUTED_VALUE"""),"001920902610000")</f>
        <v>001920902610000</v>
      </c>
      <c r="M124" s="2" t="str">
        <f ca="1">IFERROR(__xludf.DUMMYFUNCTION("""COMPUTED_VALUE"""),"1920902610000")</f>
        <v>1920902610000</v>
      </c>
      <c r="N124" s="1" t="str">
        <f ca="1">IFERROR(__xludf.DUMMYFUNCTION("""COMPUTED_VALUE"""),"EEEFM LUIZ NUNES DIREITO")</f>
        <v>EEEFM LUIZ NUNES DIREITO</v>
      </c>
      <c r="O124" s="1"/>
      <c r="P124" s="1"/>
      <c r="Q124" s="1" t="s">
        <v>117</v>
      </c>
    </row>
    <row r="125" spans="1:17" x14ac:dyDescent="0.25">
      <c r="A125" s="2" t="str">
        <f ca="1">IFERROR(__xludf.DUMMYFUNCTION("""COMPUTED_VALUE"""),"REG DE INTEGRA  METROPOLITANA")</f>
        <v>REG DE INTEGRA  METROPOLITANA</v>
      </c>
      <c r="B125" s="1" t="str">
        <f ca="1">IFERROR(__xludf.DUMMYFUNCTION("""COMPUTED_VALUE"""),"DRE ANANINDEUA 2")</f>
        <v>DRE ANANINDEUA 2</v>
      </c>
      <c r="C125" s="2" t="str">
        <f ca="1">IFERROR(__xludf.DUMMYFUNCTION("""COMPUTED_VALUE"""),"DRE - ANANINDEUA / BELEM")</f>
        <v>DRE - ANANINDEUA / BELEM</v>
      </c>
      <c r="D125" s="2" t="str">
        <f ca="1">IFERROR(__xludf.DUMMYFUNCTION("""COMPUTED_VALUE"""),"Ananindeua 2")</f>
        <v>Ananindeua 2</v>
      </c>
      <c r="E125" s="2" t="str">
        <f ca="1">IFERROR(__xludf.DUMMYFUNCTION("""COMPUTED_VALUE"""),"DRE - ANANINDEUA / BELEMAnanindeua 2")</f>
        <v>DRE - ANANINDEUA / BELEMAnanindeua 2</v>
      </c>
      <c r="F125" s="1">
        <f ca="1">IFERROR(__xludf.DUMMYFUNCTION("""COMPUTED_VALUE"""),2)</f>
        <v>2</v>
      </c>
      <c r="G125" s="1" t="str">
        <f ca="1">IFERROR(__xludf.DUMMYFUNCTION("""COMPUTED_VALUE"""),"DRE ANANINDEUA 2")</f>
        <v>DRE ANANINDEUA 2</v>
      </c>
      <c r="H125" s="1" t="str">
        <f ca="1">IFERROR(__xludf.DUMMYFUNCTION("""COMPUTED_VALUE"""),"19A URE - BELEM")</f>
        <v>19A URE - BELEM</v>
      </c>
      <c r="I125" s="2" t="str">
        <f ca="1">IFERROR(__xludf.DUMMYFUNCTION("""COMPUTED_VALUE"""),"Unidade 13")</f>
        <v>Unidade 13</v>
      </c>
      <c r="J125" s="1" t="str">
        <f ca="1">IFERROR(__xludf.DUMMYFUNCTION("""COMPUTED_VALUE"""),"ANANINDEUA")</f>
        <v>ANANINDEUA</v>
      </c>
      <c r="K125" s="1">
        <f ca="1">IFERROR(__xludf.DUMMYFUNCTION("""COMPUTED_VALUE"""),15034364)</f>
        <v>15034364</v>
      </c>
      <c r="L125" s="2" t="str">
        <f ca="1">IFERROR(__xludf.DUMMYFUNCTION("""COMPUTED_VALUE"""),"001920902670000")</f>
        <v>001920902670000</v>
      </c>
      <c r="M125" s="2" t="str">
        <f ca="1">IFERROR(__xludf.DUMMYFUNCTION("""COMPUTED_VALUE"""),"1920902670000")</f>
        <v>1920902670000</v>
      </c>
      <c r="N125" s="1" t="str">
        <f ca="1">IFERROR(__xludf.DUMMYFUNCTION("""COMPUTED_VALUE"""),"EEEFM ONEIDE DE SOUZA TAVARES")</f>
        <v>EEEFM ONEIDE DE SOUZA TAVARES</v>
      </c>
      <c r="O125" s="1"/>
      <c r="P125" s="1"/>
      <c r="Q125" s="1" t="s">
        <v>117</v>
      </c>
    </row>
    <row r="126" spans="1:17" x14ac:dyDescent="0.25">
      <c r="A126" s="2" t="str">
        <f ca="1">IFERROR(__xludf.DUMMYFUNCTION("""COMPUTED_VALUE"""),"REG DE INTEGRA  METROPOLITANA")</f>
        <v>REG DE INTEGRA  METROPOLITANA</v>
      </c>
      <c r="B126" s="1" t="str">
        <f ca="1">IFERROR(__xludf.DUMMYFUNCTION("""COMPUTED_VALUE"""),"DRE ANANINDEUA 2")</f>
        <v>DRE ANANINDEUA 2</v>
      </c>
      <c r="C126" s="2" t="str">
        <f ca="1">IFERROR(__xludf.DUMMYFUNCTION("""COMPUTED_VALUE"""),"DRE - ANANINDEUA / BELEM")</f>
        <v>DRE - ANANINDEUA / BELEM</v>
      </c>
      <c r="D126" s="2" t="str">
        <f ca="1">IFERROR(__xludf.DUMMYFUNCTION("""COMPUTED_VALUE"""),"Ananindeua 2")</f>
        <v>Ananindeua 2</v>
      </c>
      <c r="E126" s="2" t="str">
        <f ca="1">IFERROR(__xludf.DUMMYFUNCTION("""COMPUTED_VALUE"""),"DRE - ANANINDEUA / BELEMAnanindeua 2")</f>
        <v>DRE - ANANINDEUA / BELEMAnanindeua 2</v>
      </c>
      <c r="F126" s="1">
        <f ca="1">IFERROR(__xludf.DUMMYFUNCTION("""COMPUTED_VALUE"""),2)</f>
        <v>2</v>
      </c>
      <c r="G126" s="1" t="str">
        <f ca="1">IFERROR(__xludf.DUMMYFUNCTION("""COMPUTED_VALUE"""),"DRE ANANINDEUA 2")</f>
        <v>DRE ANANINDEUA 2</v>
      </c>
      <c r="H126" s="1" t="str">
        <f ca="1">IFERROR(__xludf.DUMMYFUNCTION("""COMPUTED_VALUE"""),"19A URE - BELEM")</f>
        <v>19A URE - BELEM</v>
      </c>
      <c r="I126" s="2" t="str">
        <f ca="1">IFERROR(__xludf.DUMMYFUNCTION("""COMPUTED_VALUE"""),"Unidade 13")</f>
        <v>Unidade 13</v>
      </c>
      <c r="J126" s="1" t="str">
        <f ca="1">IFERROR(__xludf.DUMMYFUNCTION("""COMPUTED_VALUE"""),"ANANINDEUA")</f>
        <v>ANANINDEUA</v>
      </c>
      <c r="K126" s="1">
        <f ca="1">IFERROR(__xludf.DUMMYFUNCTION("""COMPUTED_VALUE"""),15586332)</f>
        <v>15586332</v>
      </c>
      <c r="L126" s="2" t="str">
        <f ca="1">IFERROR(__xludf.DUMMYFUNCTION("""COMPUTED_VALUE"""),"001920936650000")</f>
        <v>001920936650000</v>
      </c>
      <c r="M126" s="2" t="str">
        <f ca="1">IFERROR(__xludf.DUMMYFUNCTION("""COMPUTED_VALUE"""),"1920936650000")</f>
        <v>1920936650000</v>
      </c>
      <c r="N126" s="1" t="str">
        <f ca="1">IFERROR(__xludf.DUMMYFUNCTION("""COMPUTED_VALUE"""),"EEEFM PARAENSE")</f>
        <v>EEEFM PARAENSE</v>
      </c>
      <c r="O126" s="1"/>
      <c r="P126" s="1"/>
      <c r="Q126" s="1" t="s">
        <v>117</v>
      </c>
    </row>
    <row r="127" spans="1:17" x14ac:dyDescent="0.25">
      <c r="A127" s="2" t="str">
        <f ca="1">IFERROR(__xludf.DUMMYFUNCTION("""COMPUTED_VALUE"""),"REG DE INTEGRA  METROPOLITANA")</f>
        <v>REG DE INTEGRA  METROPOLITANA</v>
      </c>
      <c r="B127" s="1" t="str">
        <f ca="1">IFERROR(__xludf.DUMMYFUNCTION("""COMPUTED_VALUE"""),"DRE ANANINDEUA 2")</f>
        <v>DRE ANANINDEUA 2</v>
      </c>
      <c r="C127" s="2" t="str">
        <f ca="1">IFERROR(__xludf.DUMMYFUNCTION("""COMPUTED_VALUE"""),"DRE - ANANINDEUA / BELEM")</f>
        <v>DRE - ANANINDEUA / BELEM</v>
      </c>
      <c r="D127" s="2" t="str">
        <f ca="1">IFERROR(__xludf.DUMMYFUNCTION("""COMPUTED_VALUE"""),"Ananindeua 2")</f>
        <v>Ananindeua 2</v>
      </c>
      <c r="E127" s="2" t="str">
        <f ca="1">IFERROR(__xludf.DUMMYFUNCTION("""COMPUTED_VALUE"""),"DRE - ANANINDEUA / BELEMAnanindeua 2")</f>
        <v>DRE - ANANINDEUA / BELEMAnanindeua 2</v>
      </c>
      <c r="F127" s="1">
        <f ca="1">IFERROR(__xludf.DUMMYFUNCTION("""COMPUTED_VALUE"""),2)</f>
        <v>2</v>
      </c>
      <c r="G127" s="1" t="str">
        <f ca="1">IFERROR(__xludf.DUMMYFUNCTION("""COMPUTED_VALUE"""),"DRE ANANINDEUA 2")</f>
        <v>DRE ANANINDEUA 2</v>
      </c>
      <c r="H127" s="1" t="str">
        <f ca="1">IFERROR(__xludf.DUMMYFUNCTION("""COMPUTED_VALUE"""),"19A URE - BELEM")</f>
        <v>19A URE - BELEM</v>
      </c>
      <c r="I127" s="2" t="str">
        <f ca="1">IFERROR(__xludf.DUMMYFUNCTION("""COMPUTED_VALUE"""),"Unidade 13")</f>
        <v>Unidade 13</v>
      </c>
      <c r="J127" s="1" t="str">
        <f ca="1">IFERROR(__xludf.DUMMYFUNCTION("""COMPUTED_VALUE"""),"ANANINDEUA")</f>
        <v>ANANINDEUA</v>
      </c>
      <c r="K127" s="1">
        <f ca="1">IFERROR(__xludf.DUMMYFUNCTION("""COMPUTED_VALUE"""),15564363)</f>
        <v>15564363</v>
      </c>
      <c r="L127" s="2" t="str">
        <f ca="1">IFERROR(__xludf.DUMMYFUNCTION("""COMPUTED_VALUE"""),"001920930010000")</f>
        <v>001920930010000</v>
      </c>
      <c r="M127" s="2" t="str">
        <f ca="1">IFERROR(__xludf.DUMMYFUNCTION("""COMPUTED_VALUE"""),"1920930010000")</f>
        <v>1920930010000</v>
      </c>
      <c r="N127" s="1" t="str">
        <f ca="1">IFERROR(__xludf.DUMMYFUNCTION("""COMPUTED_VALUE"""),"EEEFM PROF FRANCISCO PAULO DO NASCIMENTO MENDES")</f>
        <v>EEEFM PROF FRANCISCO PAULO DO NASCIMENTO MENDES</v>
      </c>
      <c r="O127" s="1"/>
      <c r="P127" s="1"/>
      <c r="Q127" s="1" t="s">
        <v>117</v>
      </c>
    </row>
    <row r="128" spans="1:17" x14ac:dyDescent="0.25">
      <c r="A128" s="2" t="str">
        <f ca="1">IFERROR(__xludf.DUMMYFUNCTION("""COMPUTED_VALUE"""),"REG DE INTEGRA  METROPOLITANA")</f>
        <v>REG DE INTEGRA  METROPOLITANA</v>
      </c>
      <c r="B128" s="1" t="str">
        <f ca="1">IFERROR(__xludf.DUMMYFUNCTION("""COMPUTED_VALUE"""),"DRE ANANINDEUA 2")</f>
        <v>DRE ANANINDEUA 2</v>
      </c>
      <c r="C128" s="2" t="str">
        <f ca="1">IFERROR(__xludf.DUMMYFUNCTION("""COMPUTED_VALUE"""),"DRE - ANANINDEUA / BELEM")</f>
        <v>DRE - ANANINDEUA / BELEM</v>
      </c>
      <c r="D128" s="2" t="str">
        <f ca="1">IFERROR(__xludf.DUMMYFUNCTION("""COMPUTED_VALUE"""),"Ananindeua 2")</f>
        <v>Ananindeua 2</v>
      </c>
      <c r="E128" s="2" t="str">
        <f ca="1">IFERROR(__xludf.DUMMYFUNCTION("""COMPUTED_VALUE"""),"DRE - ANANINDEUA / BELEMAnanindeua 2")</f>
        <v>DRE - ANANINDEUA / BELEMAnanindeua 2</v>
      </c>
      <c r="F128" s="1">
        <f ca="1">IFERROR(__xludf.DUMMYFUNCTION("""COMPUTED_VALUE"""),2)</f>
        <v>2</v>
      </c>
      <c r="G128" s="1" t="str">
        <f ca="1">IFERROR(__xludf.DUMMYFUNCTION("""COMPUTED_VALUE"""),"DRE ANANINDEUA 2")</f>
        <v>DRE ANANINDEUA 2</v>
      </c>
      <c r="H128" s="1" t="str">
        <f ca="1">IFERROR(__xludf.DUMMYFUNCTION("""COMPUTED_VALUE"""),"19A URE - BELEM")</f>
        <v>19A URE - BELEM</v>
      </c>
      <c r="I128" s="2" t="str">
        <f ca="1">IFERROR(__xludf.DUMMYFUNCTION("""COMPUTED_VALUE"""),"Unidade 13")</f>
        <v>Unidade 13</v>
      </c>
      <c r="J128" s="1" t="str">
        <f ca="1">IFERROR(__xludf.DUMMYFUNCTION("""COMPUTED_VALUE"""),"ANANINDEUA")</f>
        <v>ANANINDEUA</v>
      </c>
      <c r="K128" s="1">
        <f ca="1">IFERROR(__xludf.DUMMYFUNCTION("""COMPUTED_VALUE"""),15590917)</f>
        <v>15590917</v>
      </c>
      <c r="L128" s="2" t="str">
        <f ca="1">IFERROR(__xludf.DUMMYFUNCTION("""COMPUTED_VALUE"""),"001920937280000")</f>
        <v>001920937280000</v>
      </c>
      <c r="M128" s="2" t="str">
        <f ca="1">IFERROR(__xludf.DUMMYFUNCTION("""COMPUTED_VALUE"""),"1920937280000")</f>
        <v>1920937280000</v>
      </c>
      <c r="N128" s="1" t="str">
        <f ca="1">IFERROR(__xludf.DUMMYFUNCTION("""COMPUTED_VALUE"""),"EEEFM PROF MANOEL SATURNINO DE ANDRADE FAVACHO")</f>
        <v>EEEFM PROF MANOEL SATURNINO DE ANDRADE FAVACHO</v>
      </c>
      <c r="O128" s="1"/>
      <c r="P128" s="1"/>
      <c r="Q128" s="1" t="s">
        <v>117</v>
      </c>
    </row>
    <row r="129" spans="1:17" x14ac:dyDescent="0.25">
      <c r="A129" s="2" t="str">
        <f ca="1">IFERROR(__xludf.DUMMYFUNCTION("""COMPUTED_VALUE"""),"REG DE INTEGRA  METROPOLITANA")</f>
        <v>REG DE INTEGRA  METROPOLITANA</v>
      </c>
      <c r="B129" s="1" t="str">
        <f ca="1">IFERROR(__xludf.DUMMYFUNCTION("""COMPUTED_VALUE"""),"DRE ANANINDEUA 2")</f>
        <v>DRE ANANINDEUA 2</v>
      </c>
      <c r="C129" s="2" t="str">
        <f ca="1">IFERROR(__xludf.DUMMYFUNCTION("""COMPUTED_VALUE"""),"DRE - ANANINDEUA / BELEM")</f>
        <v>DRE - ANANINDEUA / BELEM</v>
      </c>
      <c r="D129" s="2" t="str">
        <f ca="1">IFERROR(__xludf.DUMMYFUNCTION("""COMPUTED_VALUE"""),"Ananindeua 2")</f>
        <v>Ananindeua 2</v>
      </c>
      <c r="E129" s="2" t="str">
        <f ca="1">IFERROR(__xludf.DUMMYFUNCTION("""COMPUTED_VALUE"""),"DRE - ANANINDEUA / BELEMAnanindeua 2")</f>
        <v>DRE - ANANINDEUA / BELEMAnanindeua 2</v>
      </c>
      <c r="F129" s="1">
        <f ca="1">IFERROR(__xludf.DUMMYFUNCTION("""COMPUTED_VALUE"""),2)</f>
        <v>2</v>
      </c>
      <c r="G129" s="1" t="str">
        <f ca="1">IFERROR(__xludf.DUMMYFUNCTION("""COMPUTED_VALUE"""),"DRE ANANINDEUA 2")</f>
        <v>DRE ANANINDEUA 2</v>
      </c>
      <c r="H129" s="1" t="str">
        <f ca="1">IFERROR(__xludf.DUMMYFUNCTION("""COMPUTED_VALUE"""),"19A URE - BELEM")</f>
        <v>19A URE - BELEM</v>
      </c>
      <c r="I129" s="2" t="str">
        <f ca="1">IFERROR(__xludf.DUMMYFUNCTION("""COMPUTED_VALUE"""),"Unidade 13")</f>
        <v>Unidade 13</v>
      </c>
      <c r="J129" s="1" t="str">
        <f ca="1">IFERROR(__xludf.DUMMYFUNCTION("""COMPUTED_VALUE"""),"ANANINDEUA")</f>
        <v>ANANINDEUA</v>
      </c>
      <c r="K129" s="1">
        <f ca="1">IFERROR(__xludf.DUMMYFUNCTION("""COMPUTED_VALUE"""),15034500)</f>
        <v>15034500</v>
      </c>
      <c r="L129" s="2" t="str">
        <f ca="1">IFERROR(__xludf.DUMMYFUNCTION("""COMPUTED_VALUE"""),"001920928030000")</f>
        <v>001920928030000</v>
      </c>
      <c r="M129" s="2" t="str">
        <f ca="1">IFERROR(__xludf.DUMMYFUNCTION("""COMPUTED_VALUE"""),"1920928030000")</f>
        <v>1920928030000</v>
      </c>
      <c r="N129" s="1" t="str">
        <f ca="1">IFERROR(__xludf.DUMMYFUNCTION("""COMPUTED_VALUE"""),"EEEFM PROFA REGINA COELI SOUZA SILVA")</f>
        <v>EEEFM PROFA REGINA COELI SOUZA SILVA</v>
      </c>
      <c r="O129" s="1"/>
      <c r="P129" s="1"/>
      <c r="Q129" s="1" t="s">
        <v>117</v>
      </c>
    </row>
    <row r="130" spans="1:17" x14ac:dyDescent="0.25">
      <c r="A130" s="2" t="str">
        <f ca="1">IFERROR(__xludf.DUMMYFUNCTION("""COMPUTED_VALUE"""),"REG DE INTEGRA  METROPOLITANA")</f>
        <v>REG DE INTEGRA  METROPOLITANA</v>
      </c>
      <c r="B130" s="1" t="str">
        <f ca="1">IFERROR(__xludf.DUMMYFUNCTION("""COMPUTED_VALUE"""),"DRE ANANINDEUA 2")</f>
        <v>DRE ANANINDEUA 2</v>
      </c>
      <c r="C130" s="2" t="str">
        <f ca="1">IFERROR(__xludf.DUMMYFUNCTION("""COMPUTED_VALUE"""),"DRE - ANANINDEUA / BELEM")</f>
        <v>DRE - ANANINDEUA / BELEM</v>
      </c>
      <c r="D130" s="2" t="str">
        <f ca="1">IFERROR(__xludf.DUMMYFUNCTION("""COMPUTED_VALUE"""),"Ananindeua 2")</f>
        <v>Ananindeua 2</v>
      </c>
      <c r="E130" s="2" t="str">
        <f ca="1">IFERROR(__xludf.DUMMYFUNCTION("""COMPUTED_VALUE"""),"DRE - ANANINDEUA / BELEMAnanindeua 2")</f>
        <v>DRE - ANANINDEUA / BELEMAnanindeua 2</v>
      </c>
      <c r="F130" s="1">
        <f ca="1">IFERROR(__xludf.DUMMYFUNCTION("""COMPUTED_VALUE"""),2)</f>
        <v>2</v>
      </c>
      <c r="G130" s="1" t="str">
        <f ca="1">IFERROR(__xludf.DUMMYFUNCTION("""COMPUTED_VALUE"""),"DRE ANANINDEUA 2")</f>
        <v>DRE ANANINDEUA 2</v>
      </c>
      <c r="H130" s="1" t="str">
        <f ca="1">IFERROR(__xludf.DUMMYFUNCTION("""COMPUTED_VALUE"""),"19A URE - BELEM")</f>
        <v>19A URE - BELEM</v>
      </c>
      <c r="I130" s="2" t="str">
        <f ca="1">IFERROR(__xludf.DUMMYFUNCTION("""COMPUTED_VALUE"""),"Unidade 13")</f>
        <v>Unidade 13</v>
      </c>
      <c r="J130" s="1" t="str">
        <f ca="1">IFERROR(__xludf.DUMMYFUNCTION("""COMPUTED_VALUE"""),"ANANINDEUA")</f>
        <v>ANANINDEUA</v>
      </c>
      <c r="K130" s="1">
        <f ca="1">IFERROR(__xludf.DUMMYFUNCTION("""COMPUTED_VALUE"""),15034844)</f>
        <v>15034844</v>
      </c>
      <c r="L130" s="2" t="str">
        <f ca="1">IFERROR(__xludf.DUMMYFUNCTION("""COMPUTED_VALUE"""),"001920902300000")</f>
        <v>001920902300000</v>
      </c>
      <c r="M130" s="2" t="str">
        <f ca="1">IFERROR(__xludf.DUMMYFUNCTION("""COMPUTED_VALUE"""),"1920902300000")</f>
        <v>1920902300000</v>
      </c>
      <c r="N130" s="1" t="str">
        <f ca="1">IFERROR(__xludf.DUMMYFUNCTION("""COMPUTED_VALUE"""),"EEEM PROF ANTONIO GONDIM LINS")</f>
        <v>EEEM PROF ANTONIO GONDIM LINS</v>
      </c>
      <c r="O130" s="1"/>
      <c r="P130" s="1"/>
      <c r="Q130" s="1" t="s">
        <v>117</v>
      </c>
    </row>
    <row r="131" spans="1:17" x14ac:dyDescent="0.25">
      <c r="A131" s="2" t="str">
        <f ca="1">IFERROR(__xludf.DUMMYFUNCTION("""COMPUTED_VALUE"""),"REG DE INTEGRA  METROPOLITANA")</f>
        <v>REG DE INTEGRA  METROPOLITANA</v>
      </c>
      <c r="B131" s="1" t="str">
        <f ca="1">IFERROR(__xludf.DUMMYFUNCTION("""COMPUTED_VALUE"""),"DRE ANANINDEUA 3")</f>
        <v>DRE ANANINDEUA 3</v>
      </c>
      <c r="C131" s="2" t="str">
        <f ca="1">IFERROR(__xludf.DUMMYFUNCTION("""COMPUTED_VALUE"""),"DRE - ANANINDEUA / BELEM")</f>
        <v>DRE - ANANINDEUA / BELEM</v>
      </c>
      <c r="D131" s="2" t="str">
        <f ca="1">IFERROR(__xludf.DUMMYFUNCTION("""COMPUTED_VALUE"""),"Ananindeua 3")</f>
        <v>Ananindeua 3</v>
      </c>
      <c r="E131" s="2" t="str">
        <f ca="1">IFERROR(__xludf.DUMMYFUNCTION("""COMPUTED_VALUE"""),"DRE - ANANINDEUA / BELEMAnanindeua 3")</f>
        <v>DRE - ANANINDEUA / BELEMAnanindeua 3</v>
      </c>
      <c r="F131" s="1">
        <f ca="1">IFERROR(__xludf.DUMMYFUNCTION("""COMPUTED_VALUE"""),1)</f>
        <v>1</v>
      </c>
      <c r="G131" s="1" t="str">
        <f ca="1">IFERROR(__xludf.DUMMYFUNCTION("""COMPUTED_VALUE"""),"DRE ANANINDEUA 3")</f>
        <v>DRE ANANINDEUA 3</v>
      </c>
      <c r="H131" s="1" t="str">
        <f ca="1">IFERROR(__xludf.DUMMYFUNCTION("""COMPUTED_VALUE"""),"19A URE - BELEM")</f>
        <v>19A URE - BELEM</v>
      </c>
      <c r="I131" s="2" t="str">
        <f ca="1">IFERROR(__xludf.DUMMYFUNCTION("""COMPUTED_VALUE"""),"Unidade 14")</f>
        <v>Unidade 14</v>
      </c>
      <c r="J131" s="1" t="str">
        <f ca="1">IFERROR(__xludf.DUMMYFUNCTION("""COMPUTED_VALUE"""),"ANANINDEUA")</f>
        <v>ANANINDEUA</v>
      </c>
      <c r="K131" s="1">
        <f ca="1">IFERROR(__xludf.DUMMYFUNCTION("""COMPUTED_VALUE"""),15034437)</f>
        <v>15034437</v>
      </c>
      <c r="L131" s="2" t="str">
        <f ca="1">IFERROR(__xludf.DUMMYFUNCTION("""COMPUTED_VALUE"""),"001920902380000")</f>
        <v>001920902380000</v>
      </c>
      <c r="M131" s="2" t="str">
        <f ca="1">IFERROR(__xludf.DUMMYFUNCTION("""COMPUTED_VALUE"""),"1920902380000")</f>
        <v>1920902380000</v>
      </c>
      <c r="N131" s="1" t="str">
        <f ca="1">IFERROR(__xludf.DUMMYFUNCTION("""COMPUTED_VALUE"""),"EEEF ARIRI")</f>
        <v>EEEF ARIRI</v>
      </c>
      <c r="O131" s="1"/>
      <c r="P131" s="1"/>
      <c r="Q131" s="1" t="s">
        <v>135</v>
      </c>
    </row>
    <row r="132" spans="1:17" x14ac:dyDescent="0.25">
      <c r="A132" s="2" t="str">
        <f ca="1">IFERROR(__xludf.DUMMYFUNCTION("""COMPUTED_VALUE"""),"REG DE INTEGRA  METROPOLITANA")</f>
        <v>REG DE INTEGRA  METROPOLITANA</v>
      </c>
      <c r="B132" s="1" t="str">
        <f ca="1">IFERROR(__xludf.DUMMYFUNCTION("""COMPUTED_VALUE"""),"DRE ANANINDEUA 3")</f>
        <v>DRE ANANINDEUA 3</v>
      </c>
      <c r="C132" s="2" t="str">
        <f ca="1">IFERROR(__xludf.DUMMYFUNCTION("""COMPUTED_VALUE"""),"DRE - ANANINDEUA / BELEM")</f>
        <v>DRE - ANANINDEUA / BELEM</v>
      </c>
      <c r="D132" s="2" t="str">
        <f ca="1">IFERROR(__xludf.DUMMYFUNCTION("""COMPUTED_VALUE"""),"Ananindeua 3")</f>
        <v>Ananindeua 3</v>
      </c>
      <c r="E132" s="2" t="str">
        <f ca="1">IFERROR(__xludf.DUMMYFUNCTION("""COMPUTED_VALUE"""),"DRE - ANANINDEUA / BELEMAnanindeua 3")</f>
        <v>DRE - ANANINDEUA / BELEMAnanindeua 3</v>
      </c>
      <c r="F132" s="1">
        <f ca="1">IFERROR(__xludf.DUMMYFUNCTION("""COMPUTED_VALUE"""),1)</f>
        <v>1</v>
      </c>
      <c r="G132" s="1" t="str">
        <f ca="1">IFERROR(__xludf.DUMMYFUNCTION("""COMPUTED_VALUE"""),"DRE ANANINDEUA 3")</f>
        <v>DRE ANANINDEUA 3</v>
      </c>
      <c r="H132" s="1" t="str">
        <f ca="1">IFERROR(__xludf.DUMMYFUNCTION("""COMPUTED_VALUE"""),"19A URE - BELEM")</f>
        <v>19A URE - BELEM</v>
      </c>
      <c r="I132" s="2" t="str">
        <f ca="1">IFERROR(__xludf.DUMMYFUNCTION("""COMPUTED_VALUE"""),"Unidade 14")</f>
        <v>Unidade 14</v>
      </c>
      <c r="J132" s="1" t="str">
        <f ca="1">IFERROR(__xludf.DUMMYFUNCTION("""COMPUTED_VALUE"""),"ANANINDEUA")</f>
        <v>ANANINDEUA</v>
      </c>
      <c r="K132" s="1">
        <f ca="1">IFERROR(__xludf.DUMMYFUNCTION("""COMPUTED_VALUE"""),15515613)</f>
        <v>15515613</v>
      </c>
      <c r="L132" s="2" t="str">
        <f ca="1">IFERROR(__xludf.DUMMYFUNCTION("""COMPUTED_VALUE"""),"001920934850000")</f>
        <v>001920934850000</v>
      </c>
      <c r="M132" s="2" t="str">
        <f ca="1">IFERROR(__xludf.DUMMYFUNCTION("""COMPUTED_VALUE"""),"1920934850000")</f>
        <v>1920934850000</v>
      </c>
      <c r="N132" s="1" t="str">
        <f ca="1">IFERROR(__xludf.DUMMYFUNCTION("""COMPUTED_VALUE"""),"EEEF CENTRO EDUCACIONAL AMAZONIA")</f>
        <v>EEEF CENTRO EDUCACIONAL AMAZONIA</v>
      </c>
      <c r="O132" s="1"/>
      <c r="P132" s="1"/>
      <c r="Q132" s="1" t="s">
        <v>135</v>
      </c>
    </row>
    <row r="133" spans="1:17" x14ac:dyDescent="0.25">
      <c r="A133" s="2" t="str">
        <f ca="1">IFERROR(__xludf.DUMMYFUNCTION("""COMPUTED_VALUE"""),"REG DE INTEGRA  METROPOLITANA")</f>
        <v>REG DE INTEGRA  METROPOLITANA</v>
      </c>
      <c r="B133" s="1" t="str">
        <f ca="1">IFERROR(__xludf.DUMMYFUNCTION("""COMPUTED_VALUE"""),"DRE ANANINDEUA 3")</f>
        <v>DRE ANANINDEUA 3</v>
      </c>
      <c r="C133" s="2" t="str">
        <f ca="1">IFERROR(__xludf.DUMMYFUNCTION("""COMPUTED_VALUE"""),"DRE - ANANINDEUA / BELEM")</f>
        <v>DRE - ANANINDEUA / BELEM</v>
      </c>
      <c r="D133" s="2" t="str">
        <f ca="1">IFERROR(__xludf.DUMMYFUNCTION("""COMPUTED_VALUE"""),"Ananindeua 3")</f>
        <v>Ananindeua 3</v>
      </c>
      <c r="E133" s="2" t="str">
        <f ca="1">IFERROR(__xludf.DUMMYFUNCTION("""COMPUTED_VALUE"""),"DRE - ANANINDEUA / BELEMAnanindeua 3")</f>
        <v>DRE - ANANINDEUA / BELEMAnanindeua 3</v>
      </c>
      <c r="F133" s="1">
        <f ca="1">IFERROR(__xludf.DUMMYFUNCTION("""COMPUTED_VALUE"""),1)</f>
        <v>1</v>
      </c>
      <c r="G133" s="1" t="str">
        <f ca="1">IFERROR(__xludf.DUMMYFUNCTION("""COMPUTED_VALUE"""),"DRE ANANINDEUA 3")</f>
        <v>DRE ANANINDEUA 3</v>
      </c>
      <c r="H133" s="1" t="str">
        <f ca="1">IFERROR(__xludf.DUMMYFUNCTION("""COMPUTED_VALUE"""),"19A URE - BELEM")</f>
        <v>19A URE - BELEM</v>
      </c>
      <c r="I133" s="2" t="str">
        <f ca="1">IFERROR(__xludf.DUMMYFUNCTION("""COMPUTED_VALUE"""),"Unidade 14")</f>
        <v>Unidade 14</v>
      </c>
      <c r="J133" s="1" t="str">
        <f ca="1">IFERROR(__xludf.DUMMYFUNCTION("""COMPUTED_VALUE"""),"ANANINDEUA")</f>
        <v>ANANINDEUA</v>
      </c>
      <c r="K133" s="1">
        <f ca="1">IFERROR(__xludf.DUMMYFUNCTION("""COMPUTED_VALUE"""),15035042)</f>
        <v>15035042</v>
      </c>
      <c r="L133" s="2" t="str">
        <f ca="1">IFERROR(__xludf.DUMMYFUNCTION("""COMPUTED_VALUE"""),"001920934630000")</f>
        <v>001920934630000</v>
      </c>
      <c r="M133" s="2" t="str">
        <f ca="1">IFERROR(__xludf.DUMMYFUNCTION("""COMPUTED_VALUE"""),"1920934630000")</f>
        <v>1920934630000</v>
      </c>
      <c r="N133" s="1" t="str">
        <f ca="1">IFERROR(__xludf.DUMMYFUNCTION("""COMPUTED_VALUE"""),"EEEF ELCIONE BARBALHO")</f>
        <v>EEEF ELCIONE BARBALHO</v>
      </c>
      <c r="O133" s="1"/>
      <c r="P133" s="1"/>
      <c r="Q133" s="1" t="s">
        <v>135</v>
      </c>
    </row>
    <row r="134" spans="1:17" x14ac:dyDescent="0.25">
      <c r="A134" s="2" t="str">
        <f ca="1">IFERROR(__xludf.DUMMYFUNCTION("""COMPUTED_VALUE"""),"REG DE INTEGRA  METROPOLITANA")</f>
        <v>REG DE INTEGRA  METROPOLITANA</v>
      </c>
      <c r="B134" s="1" t="str">
        <f ca="1">IFERROR(__xludf.DUMMYFUNCTION("""COMPUTED_VALUE"""),"DRE ANANINDEUA 3")</f>
        <v>DRE ANANINDEUA 3</v>
      </c>
      <c r="C134" s="2" t="str">
        <f ca="1">IFERROR(__xludf.DUMMYFUNCTION("""COMPUTED_VALUE"""),"DRE - ANANINDEUA / BELEM")</f>
        <v>DRE - ANANINDEUA / BELEM</v>
      </c>
      <c r="D134" s="2" t="str">
        <f ca="1">IFERROR(__xludf.DUMMYFUNCTION("""COMPUTED_VALUE"""),"Ananindeua 3")</f>
        <v>Ananindeua 3</v>
      </c>
      <c r="E134" s="2" t="str">
        <f ca="1">IFERROR(__xludf.DUMMYFUNCTION("""COMPUTED_VALUE"""),"DRE - ANANINDEUA / BELEMAnanindeua 3")</f>
        <v>DRE - ANANINDEUA / BELEMAnanindeua 3</v>
      </c>
      <c r="F134" s="1">
        <f ca="1">IFERROR(__xludf.DUMMYFUNCTION("""COMPUTED_VALUE"""),1)</f>
        <v>1</v>
      </c>
      <c r="G134" s="1" t="str">
        <f ca="1">IFERROR(__xludf.DUMMYFUNCTION("""COMPUTED_VALUE"""),"DRE ANANINDEUA 3")</f>
        <v>DRE ANANINDEUA 3</v>
      </c>
      <c r="H134" s="1" t="str">
        <f ca="1">IFERROR(__xludf.DUMMYFUNCTION("""COMPUTED_VALUE"""),"19A URE - BELEM")</f>
        <v>19A URE - BELEM</v>
      </c>
      <c r="I134" s="2" t="str">
        <f ca="1">IFERROR(__xludf.DUMMYFUNCTION("""COMPUTED_VALUE"""),"Unidade 14")</f>
        <v>Unidade 14</v>
      </c>
      <c r="J134" s="1" t="str">
        <f ca="1">IFERROR(__xludf.DUMMYFUNCTION("""COMPUTED_VALUE"""),"ANANINDEUA")</f>
        <v>ANANINDEUA</v>
      </c>
      <c r="K134" s="1">
        <f ca="1">IFERROR(__xludf.DUMMYFUNCTION("""COMPUTED_VALUE"""),15516954)</f>
        <v>15516954</v>
      </c>
      <c r="L134" s="2" t="str">
        <f ca="1">IFERROR(__xludf.DUMMYFUNCTION("""COMPUTED_VALUE"""),"001920928890000")</f>
        <v>001920928890000</v>
      </c>
      <c r="M134" s="2" t="str">
        <f ca="1">IFERROR(__xludf.DUMMYFUNCTION("""COMPUTED_VALUE"""),"1920928890000")</f>
        <v>1920928890000</v>
      </c>
      <c r="N134" s="1" t="str">
        <f ca="1">IFERROR(__xludf.DUMMYFUNCTION("""COMPUTED_VALUE"""),"EEEF NAIR RODRIGUES DE CALDAS BRITO ZALUTH")</f>
        <v>EEEF NAIR RODRIGUES DE CALDAS BRITO ZALUTH</v>
      </c>
      <c r="O134" s="1"/>
      <c r="P134" s="1"/>
      <c r="Q134" s="1" t="s">
        <v>135</v>
      </c>
    </row>
    <row r="135" spans="1:17" x14ac:dyDescent="0.25">
      <c r="A135" s="2" t="str">
        <f ca="1">IFERROR(__xludf.DUMMYFUNCTION("""COMPUTED_VALUE"""),"REG DE INTEGRA  METROPOLITANA")</f>
        <v>REG DE INTEGRA  METROPOLITANA</v>
      </c>
      <c r="B135" s="1" t="str">
        <f ca="1">IFERROR(__xludf.DUMMYFUNCTION("""COMPUTED_VALUE"""),"DRE ANANINDEUA 3")</f>
        <v>DRE ANANINDEUA 3</v>
      </c>
      <c r="C135" s="2" t="str">
        <f ca="1">IFERROR(__xludf.DUMMYFUNCTION("""COMPUTED_VALUE"""),"DRE - ANANINDEUA / BELEM")</f>
        <v>DRE - ANANINDEUA / BELEM</v>
      </c>
      <c r="D135" s="2" t="str">
        <f ca="1">IFERROR(__xludf.DUMMYFUNCTION("""COMPUTED_VALUE"""),"Ananindeua 3")</f>
        <v>Ananindeua 3</v>
      </c>
      <c r="E135" s="2" t="str">
        <f ca="1">IFERROR(__xludf.DUMMYFUNCTION("""COMPUTED_VALUE"""),"DRE - ANANINDEUA / BELEMAnanindeua 3")</f>
        <v>DRE - ANANINDEUA / BELEMAnanindeua 3</v>
      </c>
      <c r="F135" s="1">
        <f ca="1">IFERROR(__xludf.DUMMYFUNCTION("""COMPUTED_VALUE"""),1)</f>
        <v>1</v>
      </c>
      <c r="G135" s="1" t="str">
        <f ca="1">IFERROR(__xludf.DUMMYFUNCTION("""COMPUTED_VALUE"""),"DRE ANANINDEUA 3")</f>
        <v>DRE ANANINDEUA 3</v>
      </c>
      <c r="H135" s="1" t="str">
        <f ca="1">IFERROR(__xludf.DUMMYFUNCTION("""COMPUTED_VALUE"""),"19A URE - BELEM")</f>
        <v>19A URE - BELEM</v>
      </c>
      <c r="I135" s="2" t="str">
        <f ca="1">IFERROR(__xludf.DUMMYFUNCTION("""COMPUTED_VALUE"""),"Unidade 14")</f>
        <v>Unidade 14</v>
      </c>
      <c r="J135" s="1" t="str">
        <f ca="1">IFERROR(__xludf.DUMMYFUNCTION("""COMPUTED_VALUE"""),"ANANINDEUA")</f>
        <v>ANANINDEUA</v>
      </c>
      <c r="K135" s="1">
        <f ca="1">IFERROR(__xludf.DUMMYFUNCTION("""COMPUTED_VALUE"""),15037991)</f>
        <v>15037991</v>
      </c>
      <c r="L135" s="2" t="str">
        <f ca="1">IFERROR(__xludf.DUMMYFUNCTION("""COMPUTED_VALUE"""),"001920931860000")</f>
        <v>001920931860000</v>
      </c>
      <c r="M135" s="2" t="str">
        <f ca="1">IFERROR(__xludf.DUMMYFUNCTION("""COMPUTED_VALUE"""),"1920931860000")</f>
        <v>1920931860000</v>
      </c>
      <c r="N135" s="1" t="str">
        <f ca="1">IFERROR(__xludf.DUMMYFUNCTION("""COMPUTED_VALUE"""),"EEEFM CONEGO BATISTA CAMPOS")</f>
        <v>EEEFM CONEGO BATISTA CAMPOS</v>
      </c>
      <c r="O135" s="1"/>
      <c r="P135" s="1"/>
      <c r="Q135" s="1" t="s">
        <v>135</v>
      </c>
    </row>
    <row r="136" spans="1:17" x14ac:dyDescent="0.25">
      <c r="A136" s="2" t="str">
        <f ca="1">IFERROR(__xludf.DUMMYFUNCTION("""COMPUTED_VALUE"""),"REG DE INTEGRA  METROPOLITANA")</f>
        <v>REG DE INTEGRA  METROPOLITANA</v>
      </c>
      <c r="B136" s="1" t="str">
        <f ca="1">IFERROR(__xludf.DUMMYFUNCTION("""COMPUTED_VALUE"""),"DRE ANANINDEUA 3")</f>
        <v>DRE ANANINDEUA 3</v>
      </c>
      <c r="C136" s="2" t="str">
        <f ca="1">IFERROR(__xludf.DUMMYFUNCTION("""COMPUTED_VALUE"""),"DRE - ANANINDEUA / BELEM")</f>
        <v>DRE - ANANINDEUA / BELEM</v>
      </c>
      <c r="D136" s="2" t="str">
        <f ca="1">IFERROR(__xludf.DUMMYFUNCTION("""COMPUTED_VALUE"""),"Ananindeua 3")</f>
        <v>Ananindeua 3</v>
      </c>
      <c r="E136" s="2" t="str">
        <f ca="1">IFERROR(__xludf.DUMMYFUNCTION("""COMPUTED_VALUE"""),"DRE - ANANINDEUA / BELEMAnanindeua 3")</f>
        <v>DRE - ANANINDEUA / BELEMAnanindeua 3</v>
      </c>
      <c r="F136" s="1">
        <f ca="1">IFERROR(__xludf.DUMMYFUNCTION("""COMPUTED_VALUE"""),1)</f>
        <v>1</v>
      </c>
      <c r="G136" s="1" t="str">
        <f ca="1">IFERROR(__xludf.DUMMYFUNCTION("""COMPUTED_VALUE"""),"DRE ANANINDEUA 3")</f>
        <v>DRE ANANINDEUA 3</v>
      </c>
      <c r="H136" s="1" t="str">
        <f ca="1">IFERROR(__xludf.DUMMYFUNCTION("""COMPUTED_VALUE"""),"19A URE - BELEM")</f>
        <v>19A URE - BELEM</v>
      </c>
      <c r="I136" s="2" t="str">
        <f ca="1">IFERROR(__xludf.DUMMYFUNCTION("""COMPUTED_VALUE"""),"Unidade 14")</f>
        <v>Unidade 14</v>
      </c>
      <c r="J136" s="1" t="str">
        <f ca="1">IFERROR(__xludf.DUMMYFUNCTION("""COMPUTED_VALUE"""),"ANANINDEUA")</f>
        <v>ANANINDEUA</v>
      </c>
      <c r="K136" s="1">
        <f ca="1">IFERROR(__xludf.DUMMYFUNCTION("""COMPUTED_VALUE"""),15521117)</f>
        <v>15521117</v>
      </c>
      <c r="L136" s="2" t="str">
        <f ca="1">IFERROR(__xludf.DUMMYFUNCTION("""COMPUTED_VALUE"""),"001920928050000")</f>
        <v>001920928050000</v>
      </c>
      <c r="M136" s="2" t="str">
        <f ca="1">IFERROR(__xludf.DUMMYFUNCTION("""COMPUTED_VALUE"""),"1920928050000")</f>
        <v>1920928050000</v>
      </c>
      <c r="N136" s="1" t="str">
        <f ca="1">IFERROR(__xludf.DUMMYFUNCTION("""COMPUTED_VALUE"""),"EEEFM CONSUELO COELHO E SOUZA")</f>
        <v>EEEFM CONSUELO COELHO E SOUZA</v>
      </c>
      <c r="O136" s="1"/>
      <c r="P136" s="1"/>
      <c r="Q136" s="1" t="s">
        <v>135</v>
      </c>
    </row>
    <row r="137" spans="1:17" x14ac:dyDescent="0.25">
      <c r="A137" s="2" t="str">
        <f ca="1">IFERROR(__xludf.DUMMYFUNCTION("""COMPUTED_VALUE"""),"REG DE INTEGRA  METROPOLITANA")</f>
        <v>REG DE INTEGRA  METROPOLITANA</v>
      </c>
      <c r="B137" s="1" t="str">
        <f ca="1">IFERROR(__xludf.DUMMYFUNCTION("""COMPUTED_VALUE"""),"DRE ANANINDEUA 3")</f>
        <v>DRE ANANINDEUA 3</v>
      </c>
      <c r="C137" s="2" t="str">
        <f ca="1">IFERROR(__xludf.DUMMYFUNCTION("""COMPUTED_VALUE"""),"DRE - ANANINDEUA / BELEM")</f>
        <v>DRE - ANANINDEUA / BELEM</v>
      </c>
      <c r="D137" s="2" t="str">
        <f ca="1">IFERROR(__xludf.DUMMYFUNCTION("""COMPUTED_VALUE"""),"Ananindeua 3")</f>
        <v>Ananindeua 3</v>
      </c>
      <c r="E137" s="2" t="str">
        <f ca="1">IFERROR(__xludf.DUMMYFUNCTION("""COMPUTED_VALUE"""),"DRE - ANANINDEUA / BELEMAnanindeua 3")</f>
        <v>DRE - ANANINDEUA / BELEMAnanindeua 3</v>
      </c>
      <c r="F137" s="1">
        <f ca="1">IFERROR(__xludf.DUMMYFUNCTION("""COMPUTED_VALUE"""),1)</f>
        <v>1</v>
      </c>
      <c r="G137" s="1" t="str">
        <f ca="1">IFERROR(__xludf.DUMMYFUNCTION("""COMPUTED_VALUE"""),"DRE ANANINDEUA 3")</f>
        <v>DRE ANANINDEUA 3</v>
      </c>
      <c r="H137" s="1" t="str">
        <f ca="1">IFERROR(__xludf.DUMMYFUNCTION("""COMPUTED_VALUE"""),"19A URE - BELEM")</f>
        <v>19A URE - BELEM</v>
      </c>
      <c r="I137" s="2" t="str">
        <f ca="1">IFERROR(__xludf.DUMMYFUNCTION("""COMPUTED_VALUE"""),"Unidade 14")</f>
        <v>Unidade 14</v>
      </c>
      <c r="J137" s="1" t="str">
        <f ca="1">IFERROR(__xludf.DUMMYFUNCTION("""COMPUTED_VALUE"""),"ANANINDEUA")</f>
        <v>ANANINDEUA</v>
      </c>
      <c r="K137" s="1">
        <f ca="1">IFERROR(__xludf.DUMMYFUNCTION("""COMPUTED_VALUE"""),15035646)</f>
        <v>15035646</v>
      </c>
      <c r="L137" s="2" t="str">
        <f ca="1">IFERROR(__xludf.DUMMYFUNCTION("""COMPUTED_VALUE"""),"001920931120000")</f>
        <v>001920931120000</v>
      </c>
      <c r="M137" s="2" t="str">
        <f ca="1">IFERROR(__xludf.DUMMYFUNCTION("""COMPUTED_VALUE"""),"1920931120000")</f>
        <v>1920931120000</v>
      </c>
      <c r="N137" s="1" t="str">
        <f ca="1">IFERROR(__xludf.DUMMYFUNCTION("""COMPUTED_VALUE"""),"EEEFM CRISTO REDENTOR")</f>
        <v>EEEFM CRISTO REDENTOR</v>
      </c>
      <c r="O137" s="1"/>
      <c r="P137" s="1"/>
      <c r="Q137" s="1" t="s">
        <v>135</v>
      </c>
    </row>
    <row r="138" spans="1:17" x14ac:dyDescent="0.25">
      <c r="A138" s="2" t="str">
        <f ca="1">IFERROR(__xludf.DUMMYFUNCTION("""COMPUTED_VALUE"""),"REG DE INTEGRA  METROPOLITANA")</f>
        <v>REG DE INTEGRA  METROPOLITANA</v>
      </c>
      <c r="B138" s="1" t="str">
        <f ca="1">IFERROR(__xludf.DUMMYFUNCTION("""COMPUTED_VALUE"""),"DRE ANANINDEUA 3")</f>
        <v>DRE ANANINDEUA 3</v>
      </c>
      <c r="C138" s="2" t="str">
        <f ca="1">IFERROR(__xludf.DUMMYFUNCTION("""COMPUTED_VALUE"""),"DRE - ANANINDEUA / BELEM")</f>
        <v>DRE - ANANINDEUA / BELEM</v>
      </c>
      <c r="D138" s="2" t="str">
        <f ca="1">IFERROR(__xludf.DUMMYFUNCTION("""COMPUTED_VALUE"""),"Ananindeua 3")</f>
        <v>Ananindeua 3</v>
      </c>
      <c r="E138" s="2" t="str">
        <f ca="1">IFERROR(__xludf.DUMMYFUNCTION("""COMPUTED_VALUE"""),"DRE - ANANINDEUA / BELEMAnanindeua 3")</f>
        <v>DRE - ANANINDEUA / BELEMAnanindeua 3</v>
      </c>
      <c r="F138" s="1">
        <f ca="1">IFERROR(__xludf.DUMMYFUNCTION("""COMPUTED_VALUE"""),1)</f>
        <v>1</v>
      </c>
      <c r="G138" s="1" t="str">
        <f ca="1">IFERROR(__xludf.DUMMYFUNCTION("""COMPUTED_VALUE"""),"DRE ANANINDEUA 3")</f>
        <v>DRE ANANINDEUA 3</v>
      </c>
      <c r="H138" s="1" t="str">
        <f ca="1">IFERROR(__xludf.DUMMYFUNCTION("""COMPUTED_VALUE"""),"19A URE - BELEM")</f>
        <v>19A URE - BELEM</v>
      </c>
      <c r="I138" s="2" t="str">
        <f ca="1">IFERROR(__xludf.DUMMYFUNCTION("""COMPUTED_VALUE"""),"Unidade 14")</f>
        <v>Unidade 14</v>
      </c>
      <c r="J138" s="1" t="str">
        <f ca="1">IFERROR(__xludf.DUMMYFUNCTION("""COMPUTED_VALUE"""),"ANANINDEUA")</f>
        <v>ANANINDEUA</v>
      </c>
      <c r="K138" s="1">
        <f ca="1">IFERROR(__xludf.DUMMYFUNCTION("""COMPUTED_VALUE"""),15034372)</f>
        <v>15034372</v>
      </c>
      <c r="L138" s="2" t="str">
        <f ca="1">IFERROR(__xludf.DUMMYFUNCTION("""COMPUTED_VALUE"""),"001920930530000")</f>
        <v>001920930530000</v>
      </c>
      <c r="M138" s="2" t="str">
        <f ca="1">IFERROR(__xludf.DUMMYFUNCTION("""COMPUTED_VALUE"""),"1920930530000")</f>
        <v>1920930530000</v>
      </c>
      <c r="N138" s="1" t="str">
        <f ca="1">IFERROR(__xludf.DUMMYFUNCTION("""COMPUTED_VALUE"""),"EEEFM JOAO CARLOS BATISTA")</f>
        <v>EEEFM JOAO CARLOS BATISTA</v>
      </c>
      <c r="O138" s="1"/>
      <c r="P138" s="1"/>
      <c r="Q138" s="1" t="s">
        <v>135</v>
      </c>
    </row>
    <row r="139" spans="1:17" x14ac:dyDescent="0.25">
      <c r="A139" s="2" t="str">
        <f ca="1">IFERROR(__xludf.DUMMYFUNCTION("""COMPUTED_VALUE"""),"REG DE INTEGRA  METROPOLITANA")</f>
        <v>REG DE INTEGRA  METROPOLITANA</v>
      </c>
      <c r="B139" s="1" t="str">
        <f ca="1">IFERROR(__xludf.DUMMYFUNCTION("""COMPUTED_VALUE"""),"DRE ANANINDEUA 3")</f>
        <v>DRE ANANINDEUA 3</v>
      </c>
      <c r="C139" s="2" t="str">
        <f ca="1">IFERROR(__xludf.DUMMYFUNCTION("""COMPUTED_VALUE"""),"DRE - ANANINDEUA / BELEM")</f>
        <v>DRE - ANANINDEUA / BELEM</v>
      </c>
      <c r="D139" s="2" t="str">
        <f ca="1">IFERROR(__xludf.DUMMYFUNCTION("""COMPUTED_VALUE"""),"Ananindeua 3")</f>
        <v>Ananindeua 3</v>
      </c>
      <c r="E139" s="2" t="str">
        <f ca="1">IFERROR(__xludf.DUMMYFUNCTION("""COMPUTED_VALUE"""),"DRE - ANANINDEUA / BELEMAnanindeua 3")</f>
        <v>DRE - ANANINDEUA / BELEMAnanindeua 3</v>
      </c>
      <c r="F139" s="1">
        <f ca="1">IFERROR(__xludf.DUMMYFUNCTION("""COMPUTED_VALUE"""),1)</f>
        <v>1</v>
      </c>
      <c r="G139" s="1" t="str">
        <f ca="1">IFERROR(__xludf.DUMMYFUNCTION("""COMPUTED_VALUE"""),"DRE ANANINDEUA 3")</f>
        <v>DRE ANANINDEUA 3</v>
      </c>
      <c r="H139" s="1" t="str">
        <f ca="1">IFERROR(__xludf.DUMMYFUNCTION("""COMPUTED_VALUE"""),"19A URE - BELEM")</f>
        <v>19A URE - BELEM</v>
      </c>
      <c r="I139" s="2" t="str">
        <f ca="1">IFERROR(__xludf.DUMMYFUNCTION("""COMPUTED_VALUE"""),"Unidade 14")</f>
        <v>Unidade 14</v>
      </c>
      <c r="J139" s="1" t="str">
        <f ca="1">IFERROR(__xludf.DUMMYFUNCTION("""COMPUTED_VALUE"""),"ANANINDEUA")</f>
        <v>ANANINDEUA</v>
      </c>
      <c r="K139" s="1">
        <f ca="1">IFERROR(__xludf.DUMMYFUNCTION("""COMPUTED_VALUE"""),15034445)</f>
        <v>15034445</v>
      </c>
      <c r="L139" s="2" t="str">
        <f ca="1">IFERROR(__xludf.DUMMYFUNCTION("""COMPUTED_VALUE"""),"001920902640000")</f>
        <v>001920902640000</v>
      </c>
      <c r="M139" s="2" t="str">
        <f ca="1">IFERROR(__xludf.DUMMYFUNCTION("""COMPUTED_VALUE"""),"1920902640000")</f>
        <v>1920902640000</v>
      </c>
      <c r="N139" s="1" t="str">
        <f ca="1">IFERROR(__xludf.DUMMYFUNCTION("""COMPUTED_VALUE"""),"EEEFM JOAQUIM VIANA")</f>
        <v>EEEFM JOAQUIM VIANA</v>
      </c>
      <c r="O139" s="1"/>
      <c r="P139" s="1"/>
      <c r="Q139" s="1" t="s">
        <v>135</v>
      </c>
    </row>
    <row r="140" spans="1:17" x14ac:dyDescent="0.25">
      <c r="A140" s="2" t="str">
        <f ca="1">IFERROR(__xludf.DUMMYFUNCTION("""COMPUTED_VALUE"""),"REG DE INTEGRA  METROPOLITANA")</f>
        <v>REG DE INTEGRA  METROPOLITANA</v>
      </c>
      <c r="B140" s="1" t="str">
        <f ca="1">IFERROR(__xludf.DUMMYFUNCTION("""COMPUTED_VALUE"""),"DRE ANANINDEUA 3")</f>
        <v>DRE ANANINDEUA 3</v>
      </c>
      <c r="C140" s="2" t="str">
        <f ca="1">IFERROR(__xludf.DUMMYFUNCTION("""COMPUTED_VALUE"""),"DRE - ANANINDEUA / BELEM")</f>
        <v>DRE - ANANINDEUA / BELEM</v>
      </c>
      <c r="D140" s="2" t="str">
        <f ca="1">IFERROR(__xludf.DUMMYFUNCTION("""COMPUTED_VALUE"""),"Ananindeua 3")</f>
        <v>Ananindeua 3</v>
      </c>
      <c r="E140" s="2" t="str">
        <f ca="1">IFERROR(__xludf.DUMMYFUNCTION("""COMPUTED_VALUE"""),"DRE - ANANINDEUA / BELEMAnanindeua 3")</f>
        <v>DRE - ANANINDEUA / BELEMAnanindeua 3</v>
      </c>
      <c r="F140" s="1">
        <f ca="1">IFERROR(__xludf.DUMMYFUNCTION("""COMPUTED_VALUE"""),1)</f>
        <v>1</v>
      </c>
      <c r="G140" s="1" t="str">
        <f ca="1">IFERROR(__xludf.DUMMYFUNCTION("""COMPUTED_VALUE"""),"DRE ANANINDEUA 3")</f>
        <v>DRE ANANINDEUA 3</v>
      </c>
      <c r="H140" s="1" t="str">
        <f ca="1">IFERROR(__xludf.DUMMYFUNCTION("""COMPUTED_VALUE"""),"19A URE - BELEM")</f>
        <v>19A URE - BELEM</v>
      </c>
      <c r="I140" s="2" t="str">
        <f ca="1">IFERROR(__xludf.DUMMYFUNCTION("""COMPUTED_VALUE"""),"Unidade 14")</f>
        <v>Unidade 14</v>
      </c>
      <c r="J140" s="1" t="str">
        <f ca="1">IFERROR(__xludf.DUMMYFUNCTION("""COMPUTED_VALUE"""),"ANANINDEUA")</f>
        <v>ANANINDEUA</v>
      </c>
      <c r="K140" s="1">
        <f ca="1">IFERROR(__xludf.DUMMYFUNCTION("""COMPUTED_VALUE"""),15034186)</f>
        <v>15034186</v>
      </c>
      <c r="L140" s="2" t="str">
        <f ca="1">IFERROR(__xludf.DUMMYFUNCTION("""COMPUTED_VALUE"""),"001920931170000")</f>
        <v>001920931170000</v>
      </c>
      <c r="M140" s="2" t="str">
        <f ca="1">IFERROR(__xludf.DUMMYFUNCTION("""COMPUTED_VALUE"""),"1920931170000")</f>
        <v>1920931170000</v>
      </c>
      <c r="N140" s="1" t="str">
        <f ca="1">IFERROR(__xludf.DUMMYFUNCTION("""COMPUTED_VALUE"""),"EEEFM MINISTRO ALCIDES CARNEIRO")</f>
        <v>EEEFM MINISTRO ALCIDES CARNEIRO</v>
      </c>
      <c r="O140" s="1"/>
      <c r="P140" s="1"/>
      <c r="Q140" s="1" t="s">
        <v>135</v>
      </c>
    </row>
    <row r="141" spans="1:17" x14ac:dyDescent="0.25">
      <c r="A141" s="2" t="str">
        <f ca="1">IFERROR(__xludf.DUMMYFUNCTION("""COMPUTED_VALUE"""),"REG DE INTEGRA  METROPOLITANA")</f>
        <v>REG DE INTEGRA  METROPOLITANA</v>
      </c>
      <c r="B141" s="1" t="str">
        <f ca="1">IFERROR(__xludf.DUMMYFUNCTION("""COMPUTED_VALUE"""),"DRE ANANINDEUA 3")</f>
        <v>DRE ANANINDEUA 3</v>
      </c>
      <c r="C141" s="2" t="str">
        <f ca="1">IFERROR(__xludf.DUMMYFUNCTION("""COMPUTED_VALUE"""),"DRE - ANANINDEUA / BELEM")</f>
        <v>DRE - ANANINDEUA / BELEM</v>
      </c>
      <c r="D141" s="2" t="str">
        <f ca="1">IFERROR(__xludf.DUMMYFUNCTION("""COMPUTED_VALUE"""),"Ananindeua 3")</f>
        <v>Ananindeua 3</v>
      </c>
      <c r="E141" s="2" t="str">
        <f ca="1">IFERROR(__xludf.DUMMYFUNCTION("""COMPUTED_VALUE"""),"DRE - ANANINDEUA / BELEMAnanindeua 3")</f>
        <v>DRE - ANANINDEUA / BELEMAnanindeua 3</v>
      </c>
      <c r="F141" s="1">
        <f ca="1">IFERROR(__xludf.DUMMYFUNCTION("""COMPUTED_VALUE"""),1)</f>
        <v>1</v>
      </c>
      <c r="G141" s="1" t="str">
        <f ca="1">IFERROR(__xludf.DUMMYFUNCTION("""COMPUTED_VALUE"""),"DRE ANANINDEUA 3")</f>
        <v>DRE ANANINDEUA 3</v>
      </c>
      <c r="H141" s="1" t="str">
        <f ca="1">IFERROR(__xludf.DUMMYFUNCTION("""COMPUTED_VALUE"""),"19A URE - BELEM")</f>
        <v>19A URE - BELEM</v>
      </c>
      <c r="I141" s="2" t="str">
        <f ca="1">IFERROR(__xludf.DUMMYFUNCTION("""COMPUTED_VALUE"""),"Unidade 14")</f>
        <v>Unidade 14</v>
      </c>
      <c r="J141" s="1" t="str">
        <f ca="1">IFERROR(__xludf.DUMMYFUNCTION("""COMPUTED_VALUE"""),"ANANINDEUA")</f>
        <v>ANANINDEUA</v>
      </c>
      <c r="K141" s="1">
        <f ca="1">IFERROR(__xludf.DUMMYFUNCTION("""COMPUTED_VALUE"""),15034054)</f>
        <v>15034054</v>
      </c>
      <c r="L141" s="2" t="str">
        <f ca="1">IFERROR(__xludf.DUMMYFUNCTION("""COMPUTED_VALUE"""),"001920928630000")</f>
        <v>001920928630000</v>
      </c>
      <c r="M141" s="2" t="str">
        <f ca="1">IFERROR(__xludf.DUMMYFUNCTION("""COMPUTED_VALUE"""),"1920928630000")</f>
        <v>1920928630000</v>
      </c>
      <c r="N141" s="1" t="str">
        <f ca="1">IFERROR(__xludf.DUMMYFUNCTION("""COMPUTED_VALUE"""),"EEEFM PROF JOSE VALENTE RIBEIRO")</f>
        <v>EEEFM PROF JOSE VALENTE RIBEIRO</v>
      </c>
      <c r="O141" s="1"/>
      <c r="P141" s="1"/>
      <c r="Q141" s="1" t="s">
        <v>135</v>
      </c>
    </row>
    <row r="142" spans="1:17" x14ac:dyDescent="0.25">
      <c r="A142" s="2" t="str">
        <f ca="1">IFERROR(__xludf.DUMMYFUNCTION("""COMPUTED_VALUE"""),"REG DE INTEGRA  METROPOLITANA")</f>
        <v>REG DE INTEGRA  METROPOLITANA</v>
      </c>
      <c r="B142" s="1" t="str">
        <f ca="1">IFERROR(__xludf.DUMMYFUNCTION("""COMPUTED_VALUE"""),"DRE ANANINDEUA 3")</f>
        <v>DRE ANANINDEUA 3</v>
      </c>
      <c r="C142" s="2" t="str">
        <f ca="1">IFERROR(__xludf.DUMMYFUNCTION("""COMPUTED_VALUE"""),"DRE - ANANINDEUA / BELEM")</f>
        <v>DRE - ANANINDEUA / BELEM</v>
      </c>
      <c r="D142" s="2" t="str">
        <f ca="1">IFERROR(__xludf.DUMMYFUNCTION("""COMPUTED_VALUE"""),"Ananindeua 3")</f>
        <v>Ananindeua 3</v>
      </c>
      <c r="E142" s="2" t="str">
        <f ca="1">IFERROR(__xludf.DUMMYFUNCTION("""COMPUTED_VALUE"""),"DRE - ANANINDEUA / BELEMAnanindeua 3")</f>
        <v>DRE - ANANINDEUA / BELEMAnanindeua 3</v>
      </c>
      <c r="F142" s="1">
        <f ca="1">IFERROR(__xludf.DUMMYFUNCTION("""COMPUTED_VALUE"""),1)</f>
        <v>1</v>
      </c>
      <c r="G142" s="1" t="str">
        <f ca="1">IFERROR(__xludf.DUMMYFUNCTION("""COMPUTED_VALUE"""),"DRE ANANINDEUA 3")</f>
        <v>DRE ANANINDEUA 3</v>
      </c>
      <c r="H142" s="1" t="str">
        <f ca="1">IFERROR(__xludf.DUMMYFUNCTION("""COMPUTED_VALUE"""),"19A URE - BELEM")</f>
        <v>19A URE - BELEM</v>
      </c>
      <c r="I142" s="2" t="str">
        <f ca="1">IFERROR(__xludf.DUMMYFUNCTION("""COMPUTED_VALUE"""),"Unidade 14")</f>
        <v>Unidade 14</v>
      </c>
      <c r="J142" s="1" t="str">
        <f ca="1">IFERROR(__xludf.DUMMYFUNCTION("""COMPUTED_VALUE"""),"BELEM")</f>
        <v>BELEM</v>
      </c>
      <c r="K142" s="1">
        <f ca="1">IFERROR(__xludf.DUMMYFUNCTION("""COMPUTED_VALUE"""),15521125)</f>
        <v>15521125</v>
      </c>
      <c r="L142" s="2" t="str">
        <f ca="1">IFERROR(__xludf.DUMMYFUNCTION("""COMPUTED_VALUE"""),"001920934660000")</f>
        <v>001920934660000</v>
      </c>
      <c r="M142" s="2" t="str">
        <f ca="1">IFERROR(__xludf.DUMMYFUNCTION("""COMPUTED_VALUE"""),"1920934660000")</f>
        <v>1920934660000</v>
      </c>
      <c r="N142" s="1" t="str">
        <f ca="1">IFERROR(__xludf.DUMMYFUNCTION("""COMPUTED_VALUE"""),"EEEF ALEXANDRE NICOMEDES DA CUNHA")</f>
        <v>EEEF ALEXANDRE NICOMEDES DA CUNHA</v>
      </c>
      <c r="O142" s="1"/>
      <c r="P142" s="1"/>
      <c r="Q142" s="1" t="s">
        <v>135</v>
      </c>
    </row>
    <row r="143" spans="1:17" x14ac:dyDescent="0.25">
      <c r="A143" s="2" t="str">
        <f ca="1">IFERROR(__xludf.DUMMYFUNCTION("""COMPUTED_VALUE"""),"REG DE INTEGRA  METROPOLITANA")</f>
        <v>REG DE INTEGRA  METROPOLITANA</v>
      </c>
      <c r="B143" s="1" t="str">
        <f ca="1">IFERROR(__xludf.DUMMYFUNCTION("""COMPUTED_VALUE"""),"DRE ANANINDEUA 3")</f>
        <v>DRE ANANINDEUA 3</v>
      </c>
      <c r="C143" s="2" t="str">
        <f ca="1">IFERROR(__xludf.DUMMYFUNCTION("""COMPUTED_VALUE"""),"DRE - ANANINDEUA / BELEM")</f>
        <v>DRE - ANANINDEUA / BELEM</v>
      </c>
      <c r="D143" s="2" t="str">
        <f ca="1">IFERROR(__xludf.DUMMYFUNCTION("""COMPUTED_VALUE"""),"Ananindeua 3")</f>
        <v>Ananindeua 3</v>
      </c>
      <c r="E143" s="2" t="str">
        <f ca="1">IFERROR(__xludf.DUMMYFUNCTION("""COMPUTED_VALUE"""),"DRE - ANANINDEUA / BELEMAnanindeua 3")</f>
        <v>DRE - ANANINDEUA / BELEMAnanindeua 3</v>
      </c>
      <c r="F143" s="1">
        <f ca="1">IFERROR(__xludf.DUMMYFUNCTION("""COMPUTED_VALUE"""),1)</f>
        <v>1</v>
      </c>
      <c r="G143" s="1" t="str">
        <f ca="1">IFERROR(__xludf.DUMMYFUNCTION("""COMPUTED_VALUE"""),"DRE ANANINDEUA 3")</f>
        <v>DRE ANANINDEUA 3</v>
      </c>
      <c r="H143" s="1" t="str">
        <f ca="1">IFERROR(__xludf.DUMMYFUNCTION("""COMPUTED_VALUE"""),"19A URE - BELEM")</f>
        <v>19A URE - BELEM</v>
      </c>
      <c r="I143" s="2" t="str">
        <f ca="1">IFERROR(__xludf.DUMMYFUNCTION("""COMPUTED_VALUE"""),"Unidade 14")</f>
        <v>Unidade 14</v>
      </c>
      <c r="J143" s="1" t="str">
        <f ca="1">IFERROR(__xludf.DUMMYFUNCTION("""COMPUTED_VALUE"""),"BELEM")</f>
        <v>BELEM</v>
      </c>
      <c r="K143" s="1">
        <f ca="1">IFERROR(__xludf.DUMMYFUNCTION("""COMPUTED_VALUE"""),15535304)</f>
        <v>15535304</v>
      </c>
      <c r="L143" s="2" t="str">
        <f ca="1">IFERROR(__xludf.DUMMYFUNCTION("""COMPUTED_VALUE"""),"001920932300000")</f>
        <v>001920932300000</v>
      </c>
      <c r="M143" s="2" t="str">
        <f ca="1">IFERROR(__xludf.DUMMYFUNCTION("""COMPUTED_VALUE"""),"1920932300000")</f>
        <v>1920932300000</v>
      </c>
      <c r="N143" s="1" t="str">
        <f ca="1">IFERROR(__xludf.DUMMYFUNCTION("""COMPUTED_VALUE"""),"EEEF GENERAL HENRIQUE GURJAO")</f>
        <v>EEEF GENERAL HENRIQUE GURJAO</v>
      </c>
      <c r="O143" s="1"/>
      <c r="P143" s="1"/>
      <c r="Q143" s="1" t="s">
        <v>135</v>
      </c>
    </row>
    <row r="144" spans="1:17" x14ac:dyDescent="0.25">
      <c r="A144" s="2" t="str">
        <f ca="1">IFERROR(__xludf.DUMMYFUNCTION("""COMPUTED_VALUE"""),"REG DE INTEGRA  METROPOLITANA")</f>
        <v>REG DE INTEGRA  METROPOLITANA</v>
      </c>
      <c r="B144" s="1" t="str">
        <f ca="1">IFERROR(__xludf.DUMMYFUNCTION("""COMPUTED_VALUE"""),"DRE ANANINDEUA 3")</f>
        <v>DRE ANANINDEUA 3</v>
      </c>
      <c r="C144" s="2" t="str">
        <f ca="1">IFERROR(__xludf.DUMMYFUNCTION("""COMPUTED_VALUE"""),"DRE - ANANINDEUA / BELEM")</f>
        <v>DRE - ANANINDEUA / BELEM</v>
      </c>
      <c r="D144" s="2" t="str">
        <f ca="1">IFERROR(__xludf.DUMMYFUNCTION("""COMPUTED_VALUE"""),"Ananindeua 3")</f>
        <v>Ananindeua 3</v>
      </c>
      <c r="E144" s="2" t="str">
        <f ca="1">IFERROR(__xludf.DUMMYFUNCTION("""COMPUTED_VALUE"""),"DRE - ANANINDEUA / BELEMAnanindeua 3")</f>
        <v>DRE - ANANINDEUA / BELEMAnanindeua 3</v>
      </c>
      <c r="F144" s="1">
        <f ca="1">IFERROR(__xludf.DUMMYFUNCTION("""COMPUTED_VALUE"""),1)</f>
        <v>1</v>
      </c>
      <c r="G144" s="1" t="str">
        <f ca="1">IFERROR(__xludf.DUMMYFUNCTION("""COMPUTED_VALUE"""),"DRE ANANINDEUA 3")</f>
        <v>DRE ANANINDEUA 3</v>
      </c>
      <c r="H144" s="1" t="str">
        <f ca="1">IFERROR(__xludf.DUMMYFUNCTION("""COMPUTED_VALUE"""),"19A URE - BELEM")</f>
        <v>19A URE - BELEM</v>
      </c>
      <c r="I144" s="2" t="str">
        <f ca="1">IFERROR(__xludf.DUMMYFUNCTION("""COMPUTED_VALUE"""),"Unidade 14")</f>
        <v>Unidade 14</v>
      </c>
      <c r="J144" s="1" t="str">
        <f ca="1">IFERROR(__xludf.DUMMYFUNCTION("""COMPUTED_VALUE"""),"BELEM")</f>
        <v>BELEM</v>
      </c>
      <c r="K144" s="1">
        <f ca="1">IFERROR(__xludf.DUMMYFUNCTION("""COMPUTED_VALUE"""),15035239)</f>
        <v>15035239</v>
      </c>
      <c r="L144" s="2" t="str">
        <f ca="1">IFERROR(__xludf.DUMMYFUNCTION("""COMPUTED_VALUE"""),"001920934650000")</f>
        <v>001920934650000</v>
      </c>
      <c r="M144" s="2" t="str">
        <f ca="1">IFERROR(__xludf.DUMMYFUNCTION("""COMPUTED_VALUE"""),"1920934650000")</f>
        <v>1920934650000</v>
      </c>
      <c r="N144" s="1" t="str">
        <f ca="1">IFERROR(__xludf.DUMMYFUNCTION("""COMPUTED_VALUE"""),"EEEF PEDRO MARQUES DE MESQUITA")</f>
        <v>EEEF PEDRO MARQUES DE MESQUITA</v>
      </c>
      <c r="O144" s="1"/>
      <c r="P144" s="1"/>
      <c r="Q144" s="1" t="s">
        <v>135</v>
      </c>
    </row>
    <row r="145" spans="1:17" x14ac:dyDescent="0.25">
      <c r="A145" s="2" t="str">
        <f ca="1">IFERROR(__xludf.DUMMYFUNCTION("""COMPUTED_VALUE"""),"REG DE INTEGRA  METROPOLITANA")</f>
        <v>REG DE INTEGRA  METROPOLITANA</v>
      </c>
      <c r="B145" s="1" t="str">
        <f ca="1">IFERROR(__xludf.DUMMYFUNCTION("""COMPUTED_VALUE"""),"DRE ANANINDEUA 3")</f>
        <v>DRE ANANINDEUA 3</v>
      </c>
      <c r="C145" s="2" t="str">
        <f ca="1">IFERROR(__xludf.DUMMYFUNCTION("""COMPUTED_VALUE"""),"DRE - ANANINDEUA / BELEM")</f>
        <v>DRE - ANANINDEUA / BELEM</v>
      </c>
      <c r="D145" s="2" t="str">
        <f ca="1">IFERROR(__xludf.DUMMYFUNCTION("""COMPUTED_VALUE"""),"Ananindeua 3")</f>
        <v>Ananindeua 3</v>
      </c>
      <c r="E145" s="2" t="str">
        <f ca="1">IFERROR(__xludf.DUMMYFUNCTION("""COMPUTED_VALUE"""),"DRE - ANANINDEUA / BELEMAnanindeua 3")</f>
        <v>DRE - ANANINDEUA / BELEMAnanindeua 3</v>
      </c>
      <c r="F145" s="1">
        <f ca="1">IFERROR(__xludf.DUMMYFUNCTION("""COMPUTED_VALUE"""),1)</f>
        <v>1</v>
      </c>
      <c r="G145" s="1" t="str">
        <f ca="1">IFERROR(__xludf.DUMMYFUNCTION("""COMPUTED_VALUE"""),"DRE ANANINDEUA 3")</f>
        <v>DRE ANANINDEUA 3</v>
      </c>
      <c r="H145" s="1" t="str">
        <f ca="1">IFERROR(__xludf.DUMMYFUNCTION("""COMPUTED_VALUE"""),"19A URE - BELEM")</f>
        <v>19A URE - BELEM</v>
      </c>
      <c r="I145" s="2" t="str">
        <f ca="1">IFERROR(__xludf.DUMMYFUNCTION("""COMPUTED_VALUE"""),"Unidade 14")</f>
        <v>Unidade 14</v>
      </c>
      <c r="J145" s="1" t="str">
        <f ca="1">IFERROR(__xludf.DUMMYFUNCTION("""COMPUTED_VALUE"""),"BELEM")</f>
        <v>BELEM</v>
      </c>
      <c r="K145" s="1">
        <f ca="1">IFERROR(__xludf.DUMMYFUNCTION("""COMPUTED_VALUE"""),15042480)</f>
        <v>15042480</v>
      </c>
      <c r="L145" s="2" t="str">
        <f ca="1">IFERROR(__xludf.DUMMYFUNCTION("""COMPUTED_VALUE"""),"001920934640000")</f>
        <v>001920934640000</v>
      </c>
      <c r="M145" s="2" t="str">
        <f ca="1">IFERROR(__xludf.DUMMYFUNCTION("""COMPUTED_VALUE"""),"1920934640000")</f>
        <v>1920934640000</v>
      </c>
      <c r="N145" s="1" t="str">
        <f ca="1">IFERROR(__xludf.DUMMYFUNCTION("""COMPUTED_VALUE"""),"EEEFM ALMIRANTE JOAO FARIA DE LIMA")</f>
        <v>EEEFM ALMIRANTE JOAO FARIA DE LIMA</v>
      </c>
      <c r="O145" s="1"/>
      <c r="P145" s="1"/>
      <c r="Q145" s="1" t="s">
        <v>135</v>
      </c>
    </row>
    <row r="146" spans="1:17" x14ac:dyDescent="0.25">
      <c r="A146" s="2" t="str">
        <f ca="1">IFERROR(__xludf.DUMMYFUNCTION("""COMPUTED_VALUE"""),"REG DE INTEGRA  METROPOLITANA")</f>
        <v>REG DE INTEGRA  METROPOLITANA</v>
      </c>
      <c r="B146" s="1" t="str">
        <f ca="1">IFERROR(__xludf.DUMMYFUNCTION("""COMPUTED_VALUE"""),"DRE ANANINDEUA 3")</f>
        <v>DRE ANANINDEUA 3</v>
      </c>
      <c r="C146" s="2" t="str">
        <f ca="1">IFERROR(__xludf.DUMMYFUNCTION("""COMPUTED_VALUE"""),"DRE - ANANINDEUA / BELEM")</f>
        <v>DRE - ANANINDEUA / BELEM</v>
      </c>
      <c r="D146" s="2" t="str">
        <f ca="1">IFERROR(__xludf.DUMMYFUNCTION("""COMPUTED_VALUE"""),"Ananindeua 3")</f>
        <v>Ananindeua 3</v>
      </c>
      <c r="E146" s="2" t="str">
        <f ca="1">IFERROR(__xludf.DUMMYFUNCTION("""COMPUTED_VALUE"""),"DRE - ANANINDEUA / BELEMAnanindeua 3")</f>
        <v>DRE - ANANINDEUA / BELEMAnanindeua 3</v>
      </c>
      <c r="F146" s="1">
        <f ca="1">IFERROR(__xludf.DUMMYFUNCTION("""COMPUTED_VALUE"""),1)</f>
        <v>1</v>
      </c>
      <c r="G146" s="1" t="str">
        <f ca="1">IFERROR(__xludf.DUMMYFUNCTION("""COMPUTED_VALUE"""),"DRE ANANINDEUA 3")</f>
        <v>DRE ANANINDEUA 3</v>
      </c>
      <c r="H146" s="1" t="str">
        <f ca="1">IFERROR(__xludf.DUMMYFUNCTION("""COMPUTED_VALUE"""),"19A URE - BELEM")</f>
        <v>19A URE - BELEM</v>
      </c>
      <c r="I146" s="2" t="str">
        <f ca="1">IFERROR(__xludf.DUMMYFUNCTION("""COMPUTED_VALUE"""),"Unidade 14")</f>
        <v>Unidade 14</v>
      </c>
      <c r="J146" s="1" t="str">
        <f ca="1">IFERROR(__xludf.DUMMYFUNCTION("""COMPUTED_VALUE"""),"BELEM")</f>
        <v>BELEM</v>
      </c>
      <c r="K146" s="1">
        <f ca="1">IFERROR(__xludf.DUMMYFUNCTION("""COMPUTED_VALUE"""),15042855)</f>
        <v>15042855</v>
      </c>
      <c r="L146" s="2" t="str">
        <f ca="1">IFERROR(__xludf.DUMMYFUNCTION("""COMPUTED_VALUE"""),"001920902570000")</f>
        <v>001920902570000</v>
      </c>
      <c r="M146" s="2" t="str">
        <f ca="1">IFERROR(__xludf.DUMMYFUNCTION("""COMPUTED_VALUE"""),"1920902570000")</f>
        <v>1920902570000</v>
      </c>
      <c r="N146" s="1" t="str">
        <f ca="1">IFERROR(__xludf.DUMMYFUNCTION("""COMPUTED_VALUE"""),"EEEFM DONA HELENA GUILHON")</f>
        <v>EEEFM DONA HELENA GUILHON</v>
      </c>
      <c r="O146" s="1"/>
      <c r="P146" s="1"/>
      <c r="Q146" s="1" t="s">
        <v>135</v>
      </c>
    </row>
    <row r="147" spans="1:17" x14ac:dyDescent="0.25">
      <c r="A147" s="2" t="str">
        <f ca="1">IFERROR(__xludf.DUMMYFUNCTION("""COMPUTED_VALUE"""),"REG DE INTEGRA  METROPOLITANA")</f>
        <v>REG DE INTEGRA  METROPOLITANA</v>
      </c>
      <c r="B147" s="1" t="str">
        <f ca="1">IFERROR(__xludf.DUMMYFUNCTION("""COMPUTED_VALUE"""),"DRE ANANINDEUA 3")</f>
        <v>DRE ANANINDEUA 3</v>
      </c>
      <c r="C147" s="2" t="str">
        <f ca="1">IFERROR(__xludf.DUMMYFUNCTION("""COMPUTED_VALUE"""),"DRE - ANANINDEUA / BELEM")</f>
        <v>DRE - ANANINDEUA / BELEM</v>
      </c>
      <c r="D147" s="2" t="str">
        <f ca="1">IFERROR(__xludf.DUMMYFUNCTION("""COMPUTED_VALUE"""),"Ananindeua 3")</f>
        <v>Ananindeua 3</v>
      </c>
      <c r="E147" s="2" t="str">
        <f ca="1">IFERROR(__xludf.DUMMYFUNCTION("""COMPUTED_VALUE"""),"DRE - ANANINDEUA / BELEMAnanindeua 3")</f>
        <v>DRE - ANANINDEUA / BELEMAnanindeua 3</v>
      </c>
      <c r="F147" s="1">
        <f ca="1">IFERROR(__xludf.DUMMYFUNCTION("""COMPUTED_VALUE"""),1)</f>
        <v>1</v>
      </c>
      <c r="G147" s="1" t="str">
        <f ca="1">IFERROR(__xludf.DUMMYFUNCTION("""COMPUTED_VALUE"""),"DRE ANANINDEUA 3")</f>
        <v>DRE ANANINDEUA 3</v>
      </c>
      <c r="H147" s="1" t="str">
        <f ca="1">IFERROR(__xludf.DUMMYFUNCTION("""COMPUTED_VALUE"""),"19A URE - BELEM")</f>
        <v>19A URE - BELEM</v>
      </c>
      <c r="I147" s="2" t="str">
        <f ca="1">IFERROR(__xludf.DUMMYFUNCTION("""COMPUTED_VALUE"""),"Unidade 14")</f>
        <v>Unidade 14</v>
      </c>
      <c r="J147" s="1" t="str">
        <f ca="1">IFERROR(__xludf.DUMMYFUNCTION("""COMPUTED_VALUE"""),"BELEM")</f>
        <v>BELEM</v>
      </c>
      <c r="K147" s="1">
        <f ca="1">IFERROR(__xludf.DUMMYFUNCTION("""COMPUTED_VALUE"""),15034151)</f>
        <v>15034151</v>
      </c>
      <c r="L147" s="2" t="str">
        <f ca="1">IFERROR(__xludf.DUMMYFUNCTION("""COMPUTED_VALUE"""),"001920937060000")</f>
        <v>001920937060000</v>
      </c>
      <c r="M147" s="2" t="str">
        <f ca="1">IFERROR(__xludf.DUMMYFUNCTION("""COMPUTED_VALUE"""),"1920937060000")</f>
        <v>1920937060000</v>
      </c>
      <c r="N147" s="1" t="str">
        <f ca="1">IFERROR(__xludf.DUMMYFUNCTION("""COMPUTED_VALUE"""),"EEEFM JARDIM SIDERAL")</f>
        <v>EEEFM JARDIM SIDERAL</v>
      </c>
      <c r="O147" s="1"/>
      <c r="P147" s="1"/>
      <c r="Q147" s="1" t="s">
        <v>135</v>
      </c>
    </row>
    <row r="148" spans="1:17" x14ac:dyDescent="0.25">
      <c r="A148" s="2" t="str">
        <f ca="1">IFERROR(__xludf.DUMMYFUNCTION("""COMPUTED_VALUE"""),"REG DE INTEGRA  METROPOLITANA")</f>
        <v>REG DE INTEGRA  METROPOLITANA</v>
      </c>
      <c r="B148" s="1" t="str">
        <f ca="1">IFERROR(__xludf.DUMMYFUNCTION("""COMPUTED_VALUE"""),"DRE ANANINDEUA 3")</f>
        <v>DRE ANANINDEUA 3</v>
      </c>
      <c r="C148" s="2" t="str">
        <f ca="1">IFERROR(__xludf.DUMMYFUNCTION("""COMPUTED_VALUE"""),"DRE - ANANINDEUA / BELEM")</f>
        <v>DRE - ANANINDEUA / BELEM</v>
      </c>
      <c r="D148" s="2" t="str">
        <f ca="1">IFERROR(__xludf.DUMMYFUNCTION("""COMPUTED_VALUE"""),"Ananindeua 3")</f>
        <v>Ananindeua 3</v>
      </c>
      <c r="E148" s="2" t="str">
        <f ca="1">IFERROR(__xludf.DUMMYFUNCTION("""COMPUTED_VALUE"""),"DRE - ANANINDEUA / BELEMAnanindeua 3")</f>
        <v>DRE - ANANINDEUA / BELEMAnanindeua 3</v>
      </c>
      <c r="F148" s="1">
        <f ca="1">IFERROR(__xludf.DUMMYFUNCTION("""COMPUTED_VALUE"""),1)</f>
        <v>1</v>
      </c>
      <c r="G148" s="1" t="str">
        <f ca="1">IFERROR(__xludf.DUMMYFUNCTION("""COMPUTED_VALUE"""),"DRE ANANINDEUA 3")</f>
        <v>DRE ANANINDEUA 3</v>
      </c>
      <c r="H148" s="1" t="str">
        <f ca="1">IFERROR(__xludf.DUMMYFUNCTION("""COMPUTED_VALUE"""),"19A URE - BELEM")</f>
        <v>19A URE - BELEM</v>
      </c>
      <c r="I148" s="2" t="str">
        <f ca="1">IFERROR(__xludf.DUMMYFUNCTION("""COMPUTED_VALUE"""),"Unidade 14")</f>
        <v>Unidade 14</v>
      </c>
      <c r="J148" s="1" t="str">
        <f ca="1">IFERROR(__xludf.DUMMYFUNCTION("""COMPUTED_VALUE"""),"BELEM")</f>
        <v>BELEM</v>
      </c>
      <c r="K148" s="1">
        <f ca="1">IFERROR(__xludf.DUMMYFUNCTION("""COMPUTED_VALUE"""),15564371)</f>
        <v>15564371</v>
      </c>
      <c r="L148" s="2" t="str">
        <f ca="1">IFERROR(__xludf.DUMMYFUNCTION("""COMPUTED_VALUE"""),"001920930000000")</f>
        <v>001920930000000</v>
      </c>
      <c r="M148" s="2" t="str">
        <f ca="1">IFERROR(__xludf.DUMMYFUNCTION("""COMPUTED_VALUE"""),"1920930000000")</f>
        <v>1920930000000</v>
      </c>
      <c r="N148" s="1" t="str">
        <f ca="1">IFERROR(__xludf.DUMMYFUNCTION("""COMPUTED_VALUE"""),"EEEFM PROF NAGIB COELHO MATNI")</f>
        <v>EEEFM PROF NAGIB COELHO MATNI</v>
      </c>
      <c r="O148" s="1"/>
      <c r="P148" s="1"/>
      <c r="Q148" s="1" t="s">
        <v>135</v>
      </c>
    </row>
    <row r="149" spans="1:17" x14ac:dyDescent="0.25">
      <c r="A149" s="2" t="str">
        <f ca="1">IFERROR(__xludf.DUMMYFUNCTION("""COMPUTED_VALUE"""),"REG DE INTEGRA  METROPOLITANA")</f>
        <v>REG DE INTEGRA  METROPOLITANA</v>
      </c>
      <c r="B149" s="1" t="str">
        <f ca="1">IFERROR(__xludf.DUMMYFUNCTION("""COMPUTED_VALUE"""),"DRE ANANINDEUA 3")</f>
        <v>DRE ANANINDEUA 3</v>
      </c>
      <c r="C149" s="2" t="str">
        <f ca="1">IFERROR(__xludf.DUMMYFUNCTION("""COMPUTED_VALUE"""),"DRE - ANANINDEUA / BELEM")</f>
        <v>DRE - ANANINDEUA / BELEM</v>
      </c>
      <c r="D149" s="2" t="str">
        <f ca="1">IFERROR(__xludf.DUMMYFUNCTION("""COMPUTED_VALUE"""),"Ananindeua 3")</f>
        <v>Ananindeua 3</v>
      </c>
      <c r="E149" s="2" t="str">
        <f ca="1">IFERROR(__xludf.DUMMYFUNCTION("""COMPUTED_VALUE"""),"DRE - ANANINDEUA / BELEMAnanindeua 3")</f>
        <v>DRE - ANANINDEUA / BELEMAnanindeua 3</v>
      </c>
      <c r="F149" s="1">
        <f ca="1">IFERROR(__xludf.DUMMYFUNCTION("""COMPUTED_VALUE"""),1)</f>
        <v>1</v>
      </c>
      <c r="G149" s="1" t="str">
        <f ca="1">IFERROR(__xludf.DUMMYFUNCTION("""COMPUTED_VALUE"""),"DRE ANANINDEUA 3")</f>
        <v>DRE ANANINDEUA 3</v>
      </c>
      <c r="H149" s="1" t="str">
        <f ca="1">IFERROR(__xludf.DUMMYFUNCTION("""COMPUTED_VALUE"""),"19A URE - BELEM")</f>
        <v>19A URE - BELEM</v>
      </c>
      <c r="I149" s="2" t="str">
        <f ca="1">IFERROR(__xludf.DUMMYFUNCTION("""COMPUTED_VALUE"""),"Unidade 14")</f>
        <v>Unidade 14</v>
      </c>
      <c r="J149" s="1" t="str">
        <f ca="1">IFERROR(__xludf.DUMMYFUNCTION("""COMPUTED_VALUE"""),"BELEM")</f>
        <v>BELEM</v>
      </c>
      <c r="K149" s="1">
        <f ca="1">IFERROR(__xludf.DUMMYFUNCTION("""COMPUTED_VALUE"""),15042898)</f>
        <v>15042898</v>
      </c>
      <c r="L149" s="2" t="str">
        <f ca="1">IFERROR(__xludf.DUMMYFUNCTION("""COMPUTED_VALUE"""),"001920902500000")</f>
        <v>001920902500000</v>
      </c>
      <c r="M149" s="2" t="str">
        <f ca="1">IFERROR(__xludf.DUMMYFUNCTION("""COMPUTED_VALUE"""),"1920902500000")</f>
        <v>1920902500000</v>
      </c>
      <c r="N149" s="1" t="str">
        <f ca="1">IFERROR(__xludf.DUMMYFUNCTION("""COMPUTED_VALUE"""),"EEEFM PROFA DILMA DE SOUZA CATTETE")</f>
        <v>EEEFM PROFA DILMA DE SOUZA CATTETE</v>
      </c>
      <c r="O149" s="1"/>
      <c r="P149" s="1"/>
      <c r="Q149" s="1" t="s">
        <v>135</v>
      </c>
    </row>
    <row r="150" spans="1:17" x14ac:dyDescent="0.25">
      <c r="A150" s="2" t="str">
        <f ca="1">IFERROR(__xludf.DUMMYFUNCTION("""COMPUTED_VALUE"""),"REG DE INTEGRA  METROPOLITANA")</f>
        <v>REG DE INTEGRA  METROPOLITANA</v>
      </c>
      <c r="B150" s="1" t="str">
        <f ca="1">IFERROR(__xludf.DUMMYFUNCTION("""COMPUTED_VALUE"""),"DRE ANANINDEUA 4")</f>
        <v>DRE ANANINDEUA 4</v>
      </c>
      <c r="C150" s="2" t="str">
        <f ca="1">IFERROR(__xludf.DUMMYFUNCTION("""COMPUTED_VALUE"""),"DRE - ANANINDEUA / BELEM")</f>
        <v>DRE - ANANINDEUA / BELEM</v>
      </c>
      <c r="D150" s="2" t="str">
        <f ca="1">IFERROR(__xludf.DUMMYFUNCTION("""COMPUTED_VALUE"""),"Ananindeua 4")</f>
        <v>Ananindeua 4</v>
      </c>
      <c r="E150" s="2" t="str">
        <f ca="1">IFERROR(__xludf.DUMMYFUNCTION("""COMPUTED_VALUE"""),"DRE - ANANINDEUA / BELEMAnanindeua 4")</f>
        <v>DRE - ANANINDEUA / BELEMAnanindeua 4</v>
      </c>
      <c r="F150" s="1">
        <f ca="1">IFERROR(__xludf.DUMMYFUNCTION("""COMPUTED_VALUE"""),1)</f>
        <v>1</v>
      </c>
      <c r="G150" s="1" t="str">
        <f ca="1">IFERROR(__xludf.DUMMYFUNCTION("""COMPUTED_VALUE"""),"DRE ANANINDEUA 4")</f>
        <v>DRE ANANINDEUA 4</v>
      </c>
      <c r="H150" s="1" t="str">
        <f ca="1">IFERROR(__xludf.DUMMYFUNCTION("""COMPUTED_VALUE"""),"19A URE - BELEM")</f>
        <v>19A URE - BELEM</v>
      </c>
      <c r="I150" s="2" t="str">
        <f ca="1">IFERROR(__xludf.DUMMYFUNCTION("""COMPUTED_VALUE"""),"Unidade 15")</f>
        <v>Unidade 15</v>
      </c>
      <c r="J150" s="1" t="str">
        <f ca="1">IFERROR(__xludf.DUMMYFUNCTION("""COMPUTED_VALUE"""),"ANANINDEUA")</f>
        <v>ANANINDEUA</v>
      </c>
      <c r="K150" s="1">
        <f ca="1">IFERROR(__xludf.DUMMYFUNCTION("""COMPUTED_VALUE"""),15163989)</f>
        <v>15163989</v>
      </c>
      <c r="L150" s="2" t="str">
        <f ca="1">IFERROR(__xludf.DUMMYFUNCTION("""COMPUTED_VALUE"""),"001920938100000")</f>
        <v>001920938100000</v>
      </c>
      <c r="M150" s="2" t="str">
        <f ca="1">IFERROR(__xludf.DUMMYFUNCTION("""COMPUTED_VALUE"""),"1920938100000")</f>
        <v>1920938100000</v>
      </c>
      <c r="N150" s="1" t="str">
        <f ca="1">IFERROR(__xludf.DUMMYFUNCTION("""COMPUTED_VALUE"""),"CEE MATEUS  HENRIQUE FURTADO APAE DE ANANINDEUA")</f>
        <v>CEE MATEUS  HENRIQUE FURTADO APAE DE ANANINDEUA</v>
      </c>
      <c r="O150" s="1"/>
      <c r="P150" s="1"/>
      <c r="Q150" s="1" t="s">
        <v>155</v>
      </c>
    </row>
    <row r="151" spans="1:17" x14ac:dyDescent="0.25">
      <c r="A151" s="2" t="str">
        <f ca="1">IFERROR(__xludf.DUMMYFUNCTION("""COMPUTED_VALUE"""),"REG DE INTEGRA  METROPOLITANA")</f>
        <v>REG DE INTEGRA  METROPOLITANA</v>
      </c>
      <c r="B151" s="1" t="str">
        <f ca="1">IFERROR(__xludf.DUMMYFUNCTION("""COMPUTED_VALUE"""),"DRE ANANINDEUA 4")</f>
        <v>DRE ANANINDEUA 4</v>
      </c>
      <c r="C151" s="2" t="str">
        <f ca="1">IFERROR(__xludf.DUMMYFUNCTION("""COMPUTED_VALUE"""),"DRE - ANANINDEUA / BELEM")</f>
        <v>DRE - ANANINDEUA / BELEM</v>
      </c>
      <c r="D151" s="2" t="str">
        <f ca="1">IFERROR(__xludf.DUMMYFUNCTION("""COMPUTED_VALUE"""),"Ananindeua 4")</f>
        <v>Ananindeua 4</v>
      </c>
      <c r="E151" s="2" t="str">
        <f ca="1">IFERROR(__xludf.DUMMYFUNCTION("""COMPUTED_VALUE"""),"DRE - ANANINDEUA / BELEMAnanindeua 4")</f>
        <v>DRE - ANANINDEUA / BELEMAnanindeua 4</v>
      </c>
      <c r="F151" s="1">
        <f ca="1">IFERROR(__xludf.DUMMYFUNCTION("""COMPUTED_VALUE"""),1)</f>
        <v>1</v>
      </c>
      <c r="G151" s="1" t="str">
        <f ca="1">IFERROR(__xludf.DUMMYFUNCTION("""COMPUTED_VALUE"""),"DRE ANANINDEUA 4")</f>
        <v>DRE ANANINDEUA 4</v>
      </c>
      <c r="H151" s="1" t="str">
        <f ca="1">IFERROR(__xludf.DUMMYFUNCTION("""COMPUTED_VALUE"""),"19A URE - BELEM")</f>
        <v>19A URE - BELEM</v>
      </c>
      <c r="I151" s="2" t="str">
        <f ca="1">IFERROR(__xludf.DUMMYFUNCTION("""COMPUTED_VALUE"""),"Unidade 15")</f>
        <v>Unidade 15</v>
      </c>
      <c r="J151" s="1" t="str">
        <f ca="1">IFERROR(__xludf.DUMMYFUNCTION("""COMPUTED_VALUE"""),"ANANINDEUA")</f>
        <v>ANANINDEUA</v>
      </c>
      <c r="K151" s="1">
        <f ca="1">IFERROR(__xludf.DUMMYFUNCTION("""COMPUTED_VALUE"""),15034321)</f>
        <v>15034321</v>
      </c>
      <c r="L151" s="2" t="str">
        <f ca="1">IFERROR(__xludf.DUMMYFUNCTION("""COMPUTED_VALUE"""),"001920931810000")</f>
        <v>001920931810000</v>
      </c>
      <c r="M151" s="2" t="str">
        <f ca="1">IFERROR(__xludf.DUMMYFUNCTION("""COMPUTED_VALUE"""),"1920931810000")</f>
        <v>1920931810000</v>
      </c>
      <c r="N151" s="1" t="str">
        <f ca="1">IFERROR(__xludf.DUMMYFUNCTION("""COMPUTED_VALUE"""),"EEEF CANDIDO HORACIO EVELIN")</f>
        <v>EEEF CANDIDO HORACIO EVELIN</v>
      </c>
      <c r="O151" s="1"/>
      <c r="P151" s="1"/>
      <c r="Q151" s="1" t="s">
        <v>155</v>
      </c>
    </row>
    <row r="152" spans="1:17" x14ac:dyDescent="0.25">
      <c r="A152" s="2" t="str">
        <f ca="1">IFERROR(__xludf.DUMMYFUNCTION("""COMPUTED_VALUE"""),"REG DE INTEGRA  METROPOLITANA")</f>
        <v>REG DE INTEGRA  METROPOLITANA</v>
      </c>
      <c r="B152" s="1" t="str">
        <f ca="1">IFERROR(__xludf.DUMMYFUNCTION("""COMPUTED_VALUE"""),"DRE ANANINDEUA 4")</f>
        <v>DRE ANANINDEUA 4</v>
      </c>
      <c r="C152" s="2" t="str">
        <f ca="1">IFERROR(__xludf.DUMMYFUNCTION("""COMPUTED_VALUE"""),"DRE - ANANINDEUA / BELEM")</f>
        <v>DRE - ANANINDEUA / BELEM</v>
      </c>
      <c r="D152" s="2" t="str">
        <f ca="1">IFERROR(__xludf.DUMMYFUNCTION("""COMPUTED_VALUE"""),"Ananindeua 4")</f>
        <v>Ananindeua 4</v>
      </c>
      <c r="E152" s="2" t="str">
        <f ca="1">IFERROR(__xludf.DUMMYFUNCTION("""COMPUTED_VALUE"""),"DRE - ANANINDEUA / BELEMAnanindeua 4")</f>
        <v>DRE - ANANINDEUA / BELEMAnanindeua 4</v>
      </c>
      <c r="F152" s="1">
        <f ca="1">IFERROR(__xludf.DUMMYFUNCTION("""COMPUTED_VALUE"""),1)</f>
        <v>1</v>
      </c>
      <c r="G152" s="1" t="str">
        <f ca="1">IFERROR(__xludf.DUMMYFUNCTION("""COMPUTED_VALUE"""),"DRE ANANINDEUA 4")</f>
        <v>DRE ANANINDEUA 4</v>
      </c>
      <c r="H152" s="1" t="str">
        <f ca="1">IFERROR(__xludf.DUMMYFUNCTION("""COMPUTED_VALUE"""),"19A URE - BELEM")</f>
        <v>19A URE - BELEM</v>
      </c>
      <c r="I152" s="2" t="str">
        <f ca="1">IFERROR(__xludf.DUMMYFUNCTION("""COMPUTED_VALUE"""),"Unidade 15")</f>
        <v>Unidade 15</v>
      </c>
      <c r="J152" s="1" t="str">
        <f ca="1">IFERROR(__xludf.DUMMYFUNCTION("""COMPUTED_VALUE"""),"ANANINDEUA")</f>
        <v>ANANINDEUA</v>
      </c>
      <c r="K152" s="1">
        <f ca="1">IFERROR(__xludf.DUMMYFUNCTION("""COMPUTED_VALUE"""),15033945)</f>
        <v>15033945</v>
      </c>
      <c r="L152" s="2" t="str">
        <f ca="1">IFERROR(__xludf.DUMMYFUNCTION("""COMPUTED_VALUE"""),"001920933890000")</f>
        <v>001920933890000</v>
      </c>
      <c r="M152" s="2" t="str">
        <f ca="1">IFERROR(__xludf.DUMMYFUNCTION("""COMPUTED_VALUE"""),"1920933890000")</f>
        <v>1920933890000</v>
      </c>
      <c r="N152" s="1" t="str">
        <f ca="1">IFERROR(__xludf.DUMMYFUNCTION("""COMPUTED_VALUE"""),"EEEF CINDERELA")</f>
        <v>EEEF CINDERELA</v>
      </c>
      <c r="O152" s="1"/>
      <c r="P152" s="1"/>
      <c r="Q152" s="1" t="s">
        <v>155</v>
      </c>
    </row>
    <row r="153" spans="1:17" x14ac:dyDescent="0.25">
      <c r="A153" s="2" t="str">
        <f ca="1">IFERROR(__xludf.DUMMYFUNCTION("""COMPUTED_VALUE"""),"REG DE INTEGRA  METROPOLITANA")</f>
        <v>REG DE INTEGRA  METROPOLITANA</v>
      </c>
      <c r="B153" s="1" t="str">
        <f ca="1">IFERROR(__xludf.DUMMYFUNCTION("""COMPUTED_VALUE"""),"DRE ANANINDEUA 4")</f>
        <v>DRE ANANINDEUA 4</v>
      </c>
      <c r="C153" s="2" t="str">
        <f ca="1">IFERROR(__xludf.DUMMYFUNCTION("""COMPUTED_VALUE"""),"DRE - ANANINDEUA / BELEM")</f>
        <v>DRE - ANANINDEUA / BELEM</v>
      </c>
      <c r="D153" s="2" t="str">
        <f ca="1">IFERROR(__xludf.DUMMYFUNCTION("""COMPUTED_VALUE"""),"Ananindeua 4")</f>
        <v>Ananindeua 4</v>
      </c>
      <c r="E153" s="2" t="str">
        <f ca="1">IFERROR(__xludf.DUMMYFUNCTION("""COMPUTED_VALUE"""),"DRE - ANANINDEUA / BELEMAnanindeua 4")</f>
        <v>DRE - ANANINDEUA / BELEMAnanindeua 4</v>
      </c>
      <c r="F153" s="1">
        <f ca="1">IFERROR(__xludf.DUMMYFUNCTION("""COMPUTED_VALUE"""),1)</f>
        <v>1</v>
      </c>
      <c r="G153" s="1" t="str">
        <f ca="1">IFERROR(__xludf.DUMMYFUNCTION("""COMPUTED_VALUE"""),"DRE ANANINDEUA 4")</f>
        <v>DRE ANANINDEUA 4</v>
      </c>
      <c r="H153" s="1" t="str">
        <f ca="1">IFERROR(__xludf.DUMMYFUNCTION("""COMPUTED_VALUE"""),"19A URE - BELEM")</f>
        <v>19A URE - BELEM</v>
      </c>
      <c r="I153" s="2" t="str">
        <f ca="1">IFERROR(__xludf.DUMMYFUNCTION("""COMPUTED_VALUE"""),"Unidade 15")</f>
        <v>Unidade 15</v>
      </c>
      <c r="J153" s="1" t="str">
        <f ca="1">IFERROR(__xludf.DUMMYFUNCTION("""COMPUTED_VALUE"""),"ANANINDEUA")</f>
        <v>ANANINDEUA</v>
      </c>
      <c r="K153" s="1">
        <f ca="1">IFERROR(__xludf.DUMMYFUNCTION("""COMPUTED_VALUE"""),15034828)</f>
        <v>15034828</v>
      </c>
      <c r="L153" s="2" t="str">
        <f ca="1">IFERROR(__xludf.DUMMYFUNCTION("""COMPUTED_VALUE"""),"001920928130000")</f>
        <v>001920928130000</v>
      </c>
      <c r="M153" s="2" t="str">
        <f ca="1">IFERROR(__xludf.DUMMYFUNCTION("""COMPUTED_VALUE"""),"1920928130000")</f>
        <v>1920928130000</v>
      </c>
      <c r="N153" s="1" t="str">
        <f ca="1">IFERROR(__xludf.DUMMYFUNCTION("""COMPUTED_VALUE"""),"EEEF COMANDANTE LAURINDO CANDIDO AZEITONA")</f>
        <v>EEEF COMANDANTE LAURINDO CANDIDO AZEITONA</v>
      </c>
      <c r="O153" s="1"/>
      <c r="P153" s="1"/>
      <c r="Q153" s="1" t="s">
        <v>155</v>
      </c>
    </row>
    <row r="154" spans="1:17" x14ac:dyDescent="0.25">
      <c r="A154" s="2" t="str">
        <f ca="1">IFERROR(__xludf.DUMMYFUNCTION("""COMPUTED_VALUE"""),"REG DE INTEGRA  METROPOLITANA")</f>
        <v>REG DE INTEGRA  METROPOLITANA</v>
      </c>
      <c r="B154" s="1" t="str">
        <f ca="1">IFERROR(__xludf.DUMMYFUNCTION("""COMPUTED_VALUE"""),"DRE ANANINDEUA 4")</f>
        <v>DRE ANANINDEUA 4</v>
      </c>
      <c r="C154" s="2" t="str">
        <f ca="1">IFERROR(__xludf.DUMMYFUNCTION("""COMPUTED_VALUE"""),"DRE - ANANINDEUA / BELEM")</f>
        <v>DRE - ANANINDEUA / BELEM</v>
      </c>
      <c r="D154" s="2" t="str">
        <f ca="1">IFERROR(__xludf.DUMMYFUNCTION("""COMPUTED_VALUE"""),"Ananindeua 4")</f>
        <v>Ananindeua 4</v>
      </c>
      <c r="E154" s="2" t="str">
        <f ca="1">IFERROR(__xludf.DUMMYFUNCTION("""COMPUTED_VALUE"""),"DRE - ANANINDEUA / BELEMAnanindeua 4")</f>
        <v>DRE - ANANINDEUA / BELEMAnanindeua 4</v>
      </c>
      <c r="F154" s="1">
        <f ca="1">IFERROR(__xludf.DUMMYFUNCTION("""COMPUTED_VALUE"""),1)</f>
        <v>1</v>
      </c>
      <c r="G154" s="1" t="str">
        <f ca="1">IFERROR(__xludf.DUMMYFUNCTION("""COMPUTED_VALUE"""),"DRE ANANINDEUA 4")</f>
        <v>DRE ANANINDEUA 4</v>
      </c>
      <c r="H154" s="1" t="str">
        <f ca="1">IFERROR(__xludf.DUMMYFUNCTION("""COMPUTED_VALUE"""),"19A URE - BELEM")</f>
        <v>19A URE - BELEM</v>
      </c>
      <c r="I154" s="2" t="str">
        <f ca="1">IFERROR(__xludf.DUMMYFUNCTION("""COMPUTED_VALUE"""),"Unidade 15")</f>
        <v>Unidade 15</v>
      </c>
      <c r="J154" s="1" t="str">
        <f ca="1">IFERROR(__xludf.DUMMYFUNCTION("""COMPUTED_VALUE"""),"ANANINDEUA")</f>
        <v>ANANINDEUA</v>
      </c>
      <c r="K154" s="1">
        <f ca="1">IFERROR(__xludf.DUMMYFUNCTION("""COMPUTED_VALUE"""),15544850)</f>
        <v>15544850</v>
      </c>
      <c r="L154" s="2" t="str">
        <f ca="1">IFERROR(__xludf.DUMMYFUNCTION("""COMPUTED_VALUE"""),"001920934820000")</f>
        <v>001920934820000</v>
      </c>
      <c r="M154" s="2" t="str">
        <f ca="1">IFERROR(__xludf.DUMMYFUNCTION("""COMPUTED_VALUE"""),"1920934820000")</f>
        <v>1920934820000</v>
      </c>
      <c r="N154" s="1" t="str">
        <f ca="1">IFERROR(__xludf.DUMMYFUNCTION("""COMPUTED_VALUE"""),"EEEF CONEGO BATISTA CAMPOS")</f>
        <v>EEEF CONEGO BATISTA CAMPOS</v>
      </c>
      <c r="O154" s="1"/>
      <c r="P154" s="1"/>
      <c r="Q154" s="1" t="s">
        <v>155</v>
      </c>
    </row>
    <row r="155" spans="1:17" x14ac:dyDescent="0.25">
      <c r="A155" s="2" t="str">
        <f ca="1">IFERROR(__xludf.DUMMYFUNCTION("""COMPUTED_VALUE"""),"REG DE INTEGRA  METROPOLITANA")</f>
        <v>REG DE INTEGRA  METROPOLITANA</v>
      </c>
      <c r="B155" s="1" t="str">
        <f ca="1">IFERROR(__xludf.DUMMYFUNCTION("""COMPUTED_VALUE"""),"DRE ANANINDEUA 4")</f>
        <v>DRE ANANINDEUA 4</v>
      </c>
      <c r="C155" s="2" t="str">
        <f ca="1">IFERROR(__xludf.DUMMYFUNCTION("""COMPUTED_VALUE"""),"DRE - ANANINDEUA / BELEM")</f>
        <v>DRE - ANANINDEUA / BELEM</v>
      </c>
      <c r="D155" s="2" t="str">
        <f ca="1">IFERROR(__xludf.DUMMYFUNCTION("""COMPUTED_VALUE"""),"Ananindeua 4")</f>
        <v>Ananindeua 4</v>
      </c>
      <c r="E155" s="2" t="str">
        <f ca="1">IFERROR(__xludf.DUMMYFUNCTION("""COMPUTED_VALUE"""),"DRE - ANANINDEUA / BELEMAnanindeua 4")</f>
        <v>DRE - ANANINDEUA / BELEMAnanindeua 4</v>
      </c>
      <c r="F155" s="1">
        <f ca="1">IFERROR(__xludf.DUMMYFUNCTION("""COMPUTED_VALUE"""),1)</f>
        <v>1</v>
      </c>
      <c r="G155" s="1" t="str">
        <f ca="1">IFERROR(__xludf.DUMMYFUNCTION("""COMPUTED_VALUE"""),"DRE ANANINDEUA 4")</f>
        <v>DRE ANANINDEUA 4</v>
      </c>
      <c r="H155" s="1" t="str">
        <f ca="1">IFERROR(__xludf.DUMMYFUNCTION("""COMPUTED_VALUE"""),"19A URE - BELEM")</f>
        <v>19A URE - BELEM</v>
      </c>
      <c r="I155" s="2" t="str">
        <f ca="1">IFERROR(__xludf.DUMMYFUNCTION("""COMPUTED_VALUE"""),"Unidade 15")</f>
        <v>Unidade 15</v>
      </c>
      <c r="J155" s="1" t="str">
        <f ca="1">IFERROR(__xludf.DUMMYFUNCTION("""COMPUTED_VALUE"""),"ANANINDEUA")</f>
        <v>ANANINDEUA</v>
      </c>
      <c r="K155" s="1">
        <f ca="1">IFERROR(__xludf.DUMMYFUNCTION("""COMPUTED_VALUE"""),15034810)</f>
        <v>15034810</v>
      </c>
      <c r="L155" s="2" t="str">
        <f ca="1">IFERROR(__xludf.DUMMYFUNCTION("""COMPUTED_VALUE"""),"001920928990000")</f>
        <v>001920928990000</v>
      </c>
      <c r="M155" s="2" t="str">
        <f ca="1">IFERROR(__xludf.DUMMYFUNCTION("""COMPUTED_VALUE"""),"1920928990000")</f>
        <v>1920928990000</v>
      </c>
      <c r="N155" s="1" t="str">
        <f ca="1">IFERROR(__xludf.DUMMYFUNCTION("""COMPUTED_VALUE"""),"EEEF GREGORIO DE ALMEIDA BRITO")</f>
        <v>EEEF GREGORIO DE ALMEIDA BRITO</v>
      </c>
      <c r="O155" s="1"/>
      <c r="P155" s="1"/>
      <c r="Q155" s="1" t="s">
        <v>155</v>
      </c>
    </row>
    <row r="156" spans="1:17" x14ac:dyDescent="0.25">
      <c r="A156" s="2" t="str">
        <f ca="1">IFERROR(__xludf.DUMMYFUNCTION("""COMPUTED_VALUE"""),"REG DE INTEGRA  METROPOLITANA")</f>
        <v>REG DE INTEGRA  METROPOLITANA</v>
      </c>
      <c r="B156" s="1" t="str">
        <f ca="1">IFERROR(__xludf.DUMMYFUNCTION("""COMPUTED_VALUE"""),"DRE ANANINDEUA 4")</f>
        <v>DRE ANANINDEUA 4</v>
      </c>
      <c r="C156" s="2" t="str">
        <f ca="1">IFERROR(__xludf.DUMMYFUNCTION("""COMPUTED_VALUE"""),"DRE - ANANINDEUA / BELEM")</f>
        <v>DRE - ANANINDEUA / BELEM</v>
      </c>
      <c r="D156" s="2" t="str">
        <f ca="1">IFERROR(__xludf.DUMMYFUNCTION("""COMPUTED_VALUE"""),"Ananindeua 4")</f>
        <v>Ananindeua 4</v>
      </c>
      <c r="E156" s="2" t="str">
        <f ca="1">IFERROR(__xludf.DUMMYFUNCTION("""COMPUTED_VALUE"""),"DRE - ANANINDEUA / BELEMAnanindeua 4")</f>
        <v>DRE - ANANINDEUA / BELEMAnanindeua 4</v>
      </c>
      <c r="F156" s="1">
        <f ca="1">IFERROR(__xludf.DUMMYFUNCTION("""COMPUTED_VALUE"""),1)</f>
        <v>1</v>
      </c>
      <c r="G156" s="1" t="str">
        <f ca="1">IFERROR(__xludf.DUMMYFUNCTION("""COMPUTED_VALUE"""),"DRE ANANINDEUA 4")</f>
        <v>DRE ANANINDEUA 4</v>
      </c>
      <c r="H156" s="1" t="str">
        <f ca="1">IFERROR(__xludf.DUMMYFUNCTION("""COMPUTED_VALUE"""),"19A URE - BELEM")</f>
        <v>19A URE - BELEM</v>
      </c>
      <c r="I156" s="2" t="str">
        <f ca="1">IFERROR(__xludf.DUMMYFUNCTION("""COMPUTED_VALUE"""),"Unidade 15")</f>
        <v>Unidade 15</v>
      </c>
      <c r="J156" s="1" t="str">
        <f ca="1">IFERROR(__xludf.DUMMYFUNCTION("""COMPUTED_VALUE"""),"ANANINDEUA")</f>
        <v>ANANINDEUA</v>
      </c>
      <c r="K156" s="1">
        <f ca="1">IFERROR(__xludf.DUMMYFUNCTION("""COMPUTED_VALUE"""),15154904)</f>
        <v>15154904</v>
      </c>
      <c r="L156" s="2" t="str">
        <f ca="1">IFERROR(__xludf.DUMMYFUNCTION("""COMPUTED_VALUE"""),"001920928780000")</f>
        <v>001920928780000</v>
      </c>
      <c r="M156" s="2" t="str">
        <f ca="1">IFERROR(__xludf.DUMMYFUNCTION("""COMPUTED_VALUE"""),"1920928780000")</f>
        <v>1920928780000</v>
      </c>
      <c r="N156" s="1" t="str">
        <f ca="1">IFERROR(__xludf.DUMMYFUNCTION("""COMPUTED_VALUE"""),"EEEF ICUI LARANJEIRA")</f>
        <v>EEEF ICUI LARANJEIRA</v>
      </c>
      <c r="O156" s="1"/>
      <c r="P156" s="1"/>
      <c r="Q156" s="1" t="s">
        <v>155</v>
      </c>
    </row>
    <row r="157" spans="1:17" x14ac:dyDescent="0.25">
      <c r="A157" s="2" t="str">
        <f ca="1">IFERROR(__xludf.DUMMYFUNCTION("""COMPUTED_VALUE"""),"REG DE INTEGRA  METROPOLITANA")</f>
        <v>REG DE INTEGRA  METROPOLITANA</v>
      </c>
      <c r="B157" s="1" t="str">
        <f ca="1">IFERROR(__xludf.DUMMYFUNCTION("""COMPUTED_VALUE"""),"DRE ANANINDEUA 4")</f>
        <v>DRE ANANINDEUA 4</v>
      </c>
      <c r="C157" s="2" t="str">
        <f ca="1">IFERROR(__xludf.DUMMYFUNCTION("""COMPUTED_VALUE"""),"DRE - ANANINDEUA / BELEM")</f>
        <v>DRE - ANANINDEUA / BELEM</v>
      </c>
      <c r="D157" s="2" t="str">
        <f ca="1">IFERROR(__xludf.DUMMYFUNCTION("""COMPUTED_VALUE"""),"Ananindeua 4")</f>
        <v>Ananindeua 4</v>
      </c>
      <c r="E157" s="2" t="str">
        <f ca="1">IFERROR(__xludf.DUMMYFUNCTION("""COMPUTED_VALUE"""),"DRE - ANANINDEUA / BELEMAnanindeua 4")</f>
        <v>DRE - ANANINDEUA / BELEMAnanindeua 4</v>
      </c>
      <c r="F157" s="1">
        <f ca="1">IFERROR(__xludf.DUMMYFUNCTION("""COMPUTED_VALUE"""),1)</f>
        <v>1</v>
      </c>
      <c r="G157" s="1" t="str">
        <f ca="1">IFERROR(__xludf.DUMMYFUNCTION("""COMPUTED_VALUE"""),"DRE ANANINDEUA 4")</f>
        <v>DRE ANANINDEUA 4</v>
      </c>
      <c r="H157" s="1" t="str">
        <f ca="1">IFERROR(__xludf.DUMMYFUNCTION("""COMPUTED_VALUE"""),"19A URE - BELEM")</f>
        <v>19A URE - BELEM</v>
      </c>
      <c r="I157" s="2" t="str">
        <f ca="1">IFERROR(__xludf.DUMMYFUNCTION("""COMPUTED_VALUE"""),"Unidade 15")</f>
        <v>Unidade 15</v>
      </c>
      <c r="J157" s="1" t="str">
        <f ca="1">IFERROR(__xludf.DUMMYFUNCTION("""COMPUTED_VALUE"""),"ANANINDEUA")</f>
        <v>ANANINDEUA</v>
      </c>
      <c r="K157" s="1">
        <f ca="1">IFERROR(__xludf.DUMMYFUNCTION("""COMPUTED_VALUE"""),15140587)</f>
        <v>15140587</v>
      </c>
      <c r="L157" s="2" t="str">
        <f ca="1">IFERROR(__xludf.DUMMYFUNCTION("""COMPUTED_VALUE"""),"001920928900000")</f>
        <v>001920928900000</v>
      </c>
      <c r="M157" s="2" t="str">
        <f ca="1">IFERROR(__xludf.DUMMYFUNCTION("""COMPUTED_VALUE"""),"1920928900000")</f>
        <v>1920928900000</v>
      </c>
      <c r="N157" s="1" t="str">
        <f ca="1">IFERROR(__xludf.DUMMYFUNCTION("""COMPUTED_VALUE"""),"EEEF MARIA DE NAZARE MARQUES RIOS")</f>
        <v>EEEF MARIA DE NAZARE MARQUES RIOS</v>
      </c>
      <c r="O157" s="1"/>
      <c r="P157" s="1"/>
      <c r="Q157" s="1" t="s">
        <v>155</v>
      </c>
    </row>
    <row r="158" spans="1:17" x14ac:dyDescent="0.25">
      <c r="A158" s="2" t="str">
        <f ca="1">IFERROR(__xludf.DUMMYFUNCTION("""COMPUTED_VALUE"""),"REG DE INTEGRA  METROPOLITANA")</f>
        <v>REG DE INTEGRA  METROPOLITANA</v>
      </c>
      <c r="B158" s="1" t="str">
        <f ca="1">IFERROR(__xludf.DUMMYFUNCTION("""COMPUTED_VALUE"""),"DRE ANANINDEUA 4")</f>
        <v>DRE ANANINDEUA 4</v>
      </c>
      <c r="C158" s="2" t="str">
        <f ca="1">IFERROR(__xludf.DUMMYFUNCTION("""COMPUTED_VALUE"""),"DRE - ANANINDEUA / BELEM")</f>
        <v>DRE - ANANINDEUA / BELEM</v>
      </c>
      <c r="D158" s="2" t="str">
        <f ca="1">IFERROR(__xludf.DUMMYFUNCTION("""COMPUTED_VALUE"""),"Ananindeua 4")</f>
        <v>Ananindeua 4</v>
      </c>
      <c r="E158" s="2" t="str">
        <f ca="1">IFERROR(__xludf.DUMMYFUNCTION("""COMPUTED_VALUE"""),"DRE - ANANINDEUA / BELEMAnanindeua 4")</f>
        <v>DRE - ANANINDEUA / BELEMAnanindeua 4</v>
      </c>
      <c r="F158" s="1">
        <f ca="1">IFERROR(__xludf.DUMMYFUNCTION("""COMPUTED_VALUE"""),1)</f>
        <v>1</v>
      </c>
      <c r="G158" s="1" t="str">
        <f ca="1">IFERROR(__xludf.DUMMYFUNCTION("""COMPUTED_VALUE"""),"DRE ANANINDEUA 4")</f>
        <v>DRE ANANINDEUA 4</v>
      </c>
      <c r="H158" s="1" t="str">
        <f ca="1">IFERROR(__xludf.DUMMYFUNCTION("""COMPUTED_VALUE"""),"19A URE - BELEM")</f>
        <v>19A URE - BELEM</v>
      </c>
      <c r="I158" s="2" t="str">
        <f ca="1">IFERROR(__xludf.DUMMYFUNCTION("""COMPUTED_VALUE"""),"Unidade 15")</f>
        <v>Unidade 15</v>
      </c>
      <c r="J158" s="1" t="str">
        <f ca="1">IFERROR(__xludf.DUMMYFUNCTION("""COMPUTED_VALUE"""),"ANANINDEUA")</f>
        <v>ANANINDEUA</v>
      </c>
      <c r="K158" s="1">
        <f ca="1">IFERROR(__xludf.DUMMYFUNCTION("""COMPUTED_VALUE"""),15155986)</f>
        <v>15155986</v>
      </c>
      <c r="L158" s="2" t="str">
        <f ca="1">IFERROR(__xludf.DUMMYFUNCTION("""COMPUTED_VALUE"""),"001920928860000")</f>
        <v>001920928860000</v>
      </c>
      <c r="M158" s="2" t="str">
        <f ca="1">IFERROR(__xludf.DUMMYFUNCTION("""COMPUTED_VALUE"""),"1920928860000")</f>
        <v>1920928860000</v>
      </c>
      <c r="N158" s="1" t="str">
        <f ca="1">IFERROR(__xludf.DUMMYFUNCTION("""COMPUTED_VALUE"""),"EEEF NEDAULINO VIANA DA SILVEIRA")</f>
        <v>EEEF NEDAULINO VIANA DA SILVEIRA</v>
      </c>
      <c r="O158" s="1"/>
      <c r="P158" s="1"/>
      <c r="Q158" s="1" t="s">
        <v>155</v>
      </c>
    </row>
    <row r="159" spans="1:17" x14ac:dyDescent="0.25">
      <c r="A159" s="2" t="str">
        <f ca="1">IFERROR(__xludf.DUMMYFUNCTION("""COMPUTED_VALUE"""),"REG DE INTEGRA  METROPOLITANA")</f>
        <v>REG DE INTEGRA  METROPOLITANA</v>
      </c>
      <c r="B159" s="1" t="str">
        <f ca="1">IFERROR(__xludf.DUMMYFUNCTION("""COMPUTED_VALUE"""),"DRE ANANINDEUA 4")</f>
        <v>DRE ANANINDEUA 4</v>
      </c>
      <c r="C159" s="2" t="str">
        <f ca="1">IFERROR(__xludf.DUMMYFUNCTION("""COMPUTED_VALUE"""),"DRE - ANANINDEUA / BELEM")</f>
        <v>DRE - ANANINDEUA / BELEM</v>
      </c>
      <c r="D159" s="2" t="str">
        <f ca="1">IFERROR(__xludf.DUMMYFUNCTION("""COMPUTED_VALUE"""),"Ananindeua 4")</f>
        <v>Ananindeua 4</v>
      </c>
      <c r="E159" s="2" t="str">
        <f ca="1">IFERROR(__xludf.DUMMYFUNCTION("""COMPUTED_VALUE"""),"DRE - ANANINDEUA / BELEMAnanindeua 4")</f>
        <v>DRE - ANANINDEUA / BELEMAnanindeua 4</v>
      </c>
      <c r="F159" s="1">
        <f ca="1">IFERROR(__xludf.DUMMYFUNCTION("""COMPUTED_VALUE"""),1)</f>
        <v>1</v>
      </c>
      <c r="G159" s="1" t="str">
        <f ca="1">IFERROR(__xludf.DUMMYFUNCTION("""COMPUTED_VALUE"""),"DRE ANANINDEUA 4")</f>
        <v>DRE ANANINDEUA 4</v>
      </c>
      <c r="H159" s="1" t="str">
        <f ca="1">IFERROR(__xludf.DUMMYFUNCTION("""COMPUTED_VALUE"""),"19A URE - BELEM")</f>
        <v>19A URE - BELEM</v>
      </c>
      <c r="I159" s="2" t="str">
        <f ca="1">IFERROR(__xludf.DUMMYFUNCTION("""COMPUTED_VALUE"""),"Unidade 15")</f>
        <v>Unidade 15</v>
      </c>
      <c r="J159" s="1" t="str">
        <f ca="1">IFERROR(__xludf.DUMMYFUNCTION("""COMPUTED_VALUE"""),"ANANINDEUA")</f>
        <v>ANANINDEUA</v>
      </c>
      <c r="K159" s="1">
        <f ca="1">IFERROR(__xludf.DUMMYFUNCTION("""COMPUTED_VALUE"""),15521150)</f>
        <v>15521150</v>
      </c>
      <c r="L159" s="2" t="str">
        <f ca="1">IFERROR(__xludf.DUMMYFUNCTION("""COMPUTED_VALUE"""),"001920937180000")</f>
        <v>001920937180000</v>
      </c>
      <c r="M159" s="2" t="str">
        <f ca="1">IFERROR(__xludf.DUMMYFUNCTION("""COMPUTED_VALUE"""),"1920937180000")</f>
        <v>1920937180000</v>
      </c>
      <c r="N159" s="1" t="str">
        <f ca="1">IFERROR(__xludf.DUMMYFUNCTION("""COMPUTED_VALUE"""),"EEEF PADRE PIETRO GEROSA")</f>
        <v>EEEF PADRE PIETRO GEROSA</v>
      </c>
      <c r="O159" s="1"/>
      <c r="P159" s="1"/>
      <c r="Q159" s="1" t="s">
        <v>155</v>
      </c>
    </row>
    <row r="160" spans="1:17" x14ac:dyDescent="0.25">
      <c r="A160" s="2" t="str">
        <f ca="1">IFERROR(__xludf.DUMMYFUNCTION("""COMPUTED_VALUE"""),"REG DE INTEGRA  METROPOLITANA")</f>
        <v>REG DE INTEGRA  METROPOLITANA</v>
      </c>
      <c r="B160" s="1" t="str">
        <f ca="1">IFERROR(__xludf.DUMMYFUNCTION("""COMPUTED_VALUE"""),"DRE ANANINDEUA 4")</f>
        <v>DRE ANANINDEUA 4</v>
      </c>
      <c r="C160" s="2" t="str">
        <f ca="1">IFERROR(__xludf.DUMMYFUNCTION("""COMPUTED_VALUE"""),"DRE - ANANINDEUA / BELEM")</f>
        <v>DRE - ANANINDEUA / BELEM</v>
      </c>
      <c r="D160" s="2" t="str">
        <f ca="1">IFERROR(__xludf.DUMMYFUNCTION("""COMPUTED_VALUE"""),"Ananindeua 4")</f>
        <v>Ananindeua 4</v>
      </c>
      <c r="E160" s="2" t="str">
        <f ca="1">IFERROR(__xludf.DUMMYFUNCTION("""COMPUTED_VALUE"""),"DRE - ANANINDEUA / BELEMAnanindeua 4")</f>
        <v>DRE - ANANINDEUA / BELEMAnanindeua 4</v>
      </c>
      <c r="F160" s="1">
        <f ca="1">IFERROR(__xludf.DUMMYFUNCTION("""COMPUTED_VALUE"""),1)</f>
        <v>1</v>
      </c>
      <c r="G160" s="1" t="str">
        <f ca="1">IFERROR(__xludf.DUMMYFUNCTION("""COMPUTED_VALUE"""),"DRE ANANINDEUA 4")</f>
        <v>DRE ANANINDEUA 4</v>
      </c>
      <c r="H160" s="1" t="str">
        <f ca="1">IFERROR(__xludf.DUMMYFUNCTION("""COMPUTED_VALUE"""),"19A URE - BELEM")</f>
        <v>19A URE - BELEM</v>
      </c>
      <c r="I160" s="2" t="str">
        <f ca="1">IFERROR(__xludf.DUMMYFUNCTION("""COMPUTED_VALUE"""),"Unidade 15")</f>
        <v>Unidade 15</v>
      </c>
      <c r="J160" s="1" t="str">
        <f ca="1">IFERROR(__xludf.DUMMYFUNCTION("""COMPUTED_VALUE"""),"ANANINDEUA")</f>
        <v>ANANINDEUA</v>
      </c>
      <c r="K160" s="1">
        <f ca="1">IFERROR(__xludf.DUMMYFUNCTION("""COMPUTED_VALUE"""),15034887)</f>
        <v>15034887</v>
      </c>
      <c r="L160" s="2" t="str">
        <f ca="1">IFERROR(__xludf.DUMMYFUNCTION("""COMPUTED_VALUE"""),"001920928980000")</f>
        <v>001920928980000</v>
      </c>
      <c r="M160" s="2" t="str">
        <f ca="1">IFERROR(__xludf.DUMMYFUNCTION("""COMPUTED_VALUE"""),"1920928980000")</f>
        <v>1920928980000</v>
      </c>
      <c r="N160" s="1" t="str">
        <f ca="1">IFERROR(__xludf.DUMMYFUNCTION("""COMPUTED_VALUE"""),"EEEF RUI BARATA")</f>
        <v>EEEF RUI BARATA</v>
      </c>
      <c r="O160" s="1"/>
      <c r="P160" s="1"/>
      <c r="Q160" s="1" t="s">
        <v>155</v>
      </c>
    </row>
    <row r="161" spans="1:17" x14ac:dyDescent="0.25">
      <c r="A161" s="2" t="str">
        <f ca="1">IFERROR(__xludf.DUMMYFUNCTION("""COMPUTED_VALUE"""),"REG DE INTEGRA  METROPOLITANA")</f>
        <v>REG DE INTEGRA  METROPOLITANA</v>
      </c>
      <c r="B161" s="1" t="str">
        <f ca="1">IFERROR(__xludf.DUMMYFUNCTION("""COMPUTED_VALUE"""),"DRE ANANINDEUA 4")</f>
        <v>DRE ANANINDEUA 4</v>
      </c>
      <c r="C161" s="2" t="str">
        <f ca="1">IFERROR(__xludf.DUMMYFUNCTION("""COMPUTED_VALUE"""),"DRE - ANANINDEUA / BELEM")</f>
        <v>DRE - ANANINDEUA / BELEM</v>
      </c>
      <c r="D161" s="2" t="str">
        <f ca="1">IFERROR(__xludf.DUMMYFUNCTION("""COMPUTED_VALUE"""),"Ananindeua 4")</f>
        <v>Ananindeua 4</v>
      </c>
      <c r="E161" s="2" t="str">
        <f ca="1">IFERROR(__xludf.DUMMYFUNCTION("""COMPUTED_VALUE"""),"DRE - ANANINDEUA / BELEMAnanindeua 4")</f>
        <v>DRE - ANANINDEUA / BELEMAnanindeua 4</v>
      </c>
      <c r="F161" s="1">
        <f ca="1">IFERROR(__xludf.DUMMYFUNCTION("""COMPUTED_VALUE"""),1)</f>
        <v>1</v>
      </c>
      <c r="G161" s="1" t="str">
        <f ca="1">IFERROR(__xludf.DUMMYFUNCTION("""COMPUTED_VALUE"""),"DRE ANANINDEUA 4")</f>
        <v>DRE ANANINDEUA 4</v>
      </c>
      <c r="H161" s="1" t="str">
        <f ca="1">IFERROR(__xludf.DUMMYFUNCTION("""COMPUTED_VALUE"""),"19A URE - BELEM")</f>
        <v>19A URE - BELEM</v>
      </c>
      <c r="I161" s="2" t="str">
        <f ca="1">IFERROR(__xludf.DUMMYFUNCTION("""COMPUTED_VALUE"""),"NÃO ENCONTRADO (SERA EXTINTA)")</f>
        <v>NÃO ENCONTRADO (SERA EXTINTA)</v>
      </c>
      <c r="J161" s="1" t="str">
        <f ca="1">IFERROR(__xludf.DUMMYFUNCTION("""COMPUTED_VALUE"""),"ANANINDEUA")</f>
        <v>ANANINDEUA</v>
      </c>
      <c r="K161" s="1">
        <f ca="1">IFERROR(__xludf.DUMMYFUNCTION("""COMPUTED_VALUE"""),15033856)</f>
        <v>15033856</v>
      </c>
      <c r="L161" s="2" t="str">
        <f ca="1">IFERROR(__xludf.DUMMYFUNCTION("""COMPUTED_VALUE"""),"001920933910000")</f>
        <v>001920933910000</v>
      </c>
      <c r="M161" s="2" t="str">
        <f ca="1">IFERROR(__xludf.DUMMYFUNCTION("""COMPUTED_VALUE"""),"1920933910000")</f>
        <v>1920933910000</v>
      </c>
      <c r="N161" s="1" t="str">
        <f ca="1">IFERROR(__xludf.DUMMYFUNCTION("""COMPUTED_VALUE"""),"EEEF XV DE OUTUBRO")</f>
        <v>EEEF XV DE OUTUBRO</v>
      </c>
      <c r="O161" s="1"/>
      <c r="P161" s="1"/>
      <c r="Q161" s="1" t="s">
        <v>155</v>
      </c>
    </row>
    <row r="162" spans="1:17" x14ac:dyDescent="0.25">
      <c r="A162" s="2" t="str">
        <f ca="1">IFERROR(__xludf.DUMMYFUNCTION("""COMPUTED_VALUE"""),"REG DE INTEGRA  METROPOLITANA")</f>
        <v>REG DE INTEGRA  METROPOLITANA</v>
      </c>
      <c r="B162" s="1" t="str">
        <f ca="1">IFERROR(__xludf.DUMMYFUNCTION("""COMPUTED_VALUE"""),"DRE ANANINDEUA 4")</f>
        <v>DRE ANANINDEUA 4</v>
      </c>
      <c r="C162" s="2" t="str">
        <f ca="1">IFERROR(__xludf.DUMMYFUNCTION("""COMPUTED_VALUE"""),"DRE - ANANINDEUA / BELEM")</f>
        <v>DRE - ANANINDEUA / BELEM</v>
      </c>
      <c r="D162" s="2" t="str">
        <f ca="1">IFERROR(__xludf.DUMMYFUNCTION("""COMPUTED_VALUE"""),"Ananindeua 4")</f>
        <v>Ananindeua 4</v>
      </c>
      <c r="E162" s="2" t="str">
        <f ca="1">IFERROR(__xludf.DUMMYFUNCTION("""COMPUTED_VALUE"""),"DRE - ANANINDEUA / BELEMAnanindeua 4")</f>
        <v>DRE - ANANINDEUA / BELEMAnanindeua 4</v>
      </c>
      <c r="F162" s="1">
        <f ca="1">IFERROR(__xludf.DUMMYFUNCTION("""COMPUTED_VALUE"""),1)</f>
        <v>1</v>
      </c>
      <c r="G162" s="1" t="str">
        <f ca="1">IFERROR(__xludf.DUMMYFUNCTION("""COMPUTED_VALUE"""),"DRE ANANINDEUA 4")</f>
        <v>DRE ANANINDEUA 4</v>
      </c>
      <c r="H162" s="1" t="str">
        <f ca="1">IFERROR(__xludf.DUMMYFUNCTION("""COMPUTED_VALUE"""),"19A URE - BELEM")</f>
        <v>19A URE - BELEM</v>
      </c>
      <c r="I162" s="2" t="str">
        <f ca="1">IFERROR(__xludf.DUMMYFUNCTION("""COMPUTED_VALUE"""),"Unidade 15")</f>
        <v>Unidade 15</v>
      </c>
      <c r="J162" s="1" t="str">
        <f ca="1">IFERROR(__xludf.DUMMYFUNCTION("""COMPUTED_VALUE"""),"ANANINDEUA")</f>
        <v>ANANINDEUA</v>
      </c>
      <c r="K162" s="1">
        <f ca="1">IFERROR(__xludf.DUMMYFUNCTION("""COMPUTED_VALUE"""),15034569)</f>
        <v>15034569</v>
      </c>
      <c r="L162" s="2" t="str">
        <f ca="1">IFERROR(__xludf.DUMMYFUNCTION("""COMPUTED_VALUE"""),"001920902600000")</f>
        <v>001920902600000</v>
      </c>
      <c r="M162" s="2" t="str">
        <f ca="1">IFERROR(__xludf.DUMMYFUNCTION("""COMPUTED_VALUE"""),"1920902600000")</f>
        <v>1920902600000</v>
      </c>
      <c r="N162" s="1" t="str">
        <f ca="1">IFERROR(__xludf.DUMMYFUNCTION("""COMPUTED_VALUE"""),"EEEFM AGOSTINHO MONTEIRO")</f>
        <v>EEEFM AGOSTINHO MONTEIRO</v>
      </c>
      <c r="O162" s="1"/>
      <c r="P162" s="1"/>
      <c r="Q162" s="1" t="s">
        <v>155</v>
      </c>
    </row>
    <row r="163" spans="1:17" x14ac:dyDescent="0.25">
      <c r="A163" s="2" t="str">
        <f ca="1">IFERROR(__xludf.DUMMYFUNCTION("""COMPUTED_VALUE"""),"REG DE INTEGRA  METROPOLITANA")</f>
        <v>REG DE INTEGRA  METROPOLITANA</v>
      </c>
      <c r="B163" s="1" t="str">
        <f ca="1">IFERROR(__xludf.DUMMYFUNCTION("""COMPUTED_VALUE"""),"DRE ANANINDEUA 4")</f>
        <v>DRE ANANINDEUA 4</v>
      </c>
      <c r="C163" s="2" t="str">
        <f ca="1">IFERROR(__xludf.DUMMYFUNCTION("""COMPUTED_VALUE"""),"DRE - ANANINDEUA / BELEM")</f>
        <v>DRE - ANANINDEUA / BELEM</v>
      </c>
      <c r="D163" s="2" t="str">
        <f ca="1">IFERROR(__xludf.DUMMYFUNCTION("""COMPUTED_VALUE"""),"Ananindeua 4")</f>
        <v>Ananindeua 4</v>
      </c>
      <c r="E163" s="2" t="str">
        <f ca="1">IFERROR(__xludf.DUMMYFUNCTION("""COMPUTED_VALUE"""),"DRE - ANANINDEUA / BELEMAnanindeua 4")</f>
        <v>DRE - ANANINDEUA / BELEMAnanindeua 4</v>
      </c>
      <c r="F163" s="1">
        <f ca="1">IFERROR(__xludf.DUMMYFUNCTION("""COMPUTED_VALUE"""),1)</f>
        <v>1</v>
      </c>
      <c r="G163" s="1" t="str">
        <f ca="1">IFERROR(__xludf.DUMMYFUNCTION("""COMPUTED_VALUE"""),"DRE ANANINDEUA 4")</f>
        <v>DRE ANANINDEUA 4</v>
      </c>
      <c r="H163" s="1" t="str">
        <f ca="1">IFERROR(__xludf.DUMMYFUNCTION("""COMPUTED_VALUE"""),"19A URE - BELEM")</f>
        <v>19A URE - BELEM</v>
      </c>
      <c r="I163" s="2" t="str">
        <f ca="1">IFERROR(__xludf.DUMMYFUNCTION("""COMPUTED_VALUE"""),"Unidade 15")</f>
        <v>Unidade 15</v>
      </c>
      <c r="J163" s="1" t="str">
        <f ca="1">IFERROR(__xludf.DUMMYFUNCTION("""COMPUTED_VALUE"""),"ANANINDEUA")</f>
        <v>ANANINDEUA</v>
      </c>
      <c r="K163" s="1">
        <f ca="1">IFERROR(__xludf.DUMMYFUNCTION("""COMPUTED_VALUE"""),15035662)</f>
        <v>15035662</v>
      </c>
      <c r="L163" s="2" t="str">
        <f ca="1">IFERROR(__xludf.DUMMYFUNCTION("""COMPUTED_VALUE"""),"001920902710000")</f>
        <v>001920902710000</v>
      </c>
      <c r="M163" s="2" t="str">
        <f ca="1">IFERROR(__xludf.DUMMYFUNCTION("""COMPUTED_VALUE"""),"1920902710000")</f>
        <v>1920902710000</v>
      </c>
      <c r="N163" s="1" t="str">
        <f ca="1">IFERROR(__xludf.DUMMYFUNCTION("""COMPUTED_VALUE"""),"EEEFM JORNALISTA ROMULO MAIORANA")</f>
        <v>EEEFM JORNALISTA ROMULO MAIORANA</v>
      </c>
      <c r="O163" s="1"/>
      <c r="P163" s="1"/>
      <c r="Q163" s="1" t="s">
        <v>155</v>
      </c>
    </row>
    <row r="164" spans="1:17" x14ac:dyDescent="0.25">
      <c r="A164" s="2" t="str">
        <f ca="1">IFERROR(__xludf.DUMMYFUNCTION("""COMPUTED_VALUE"""),"REG DE INTEGRA  METROPOLITANA")</f>
        <v>REG DE INTEGRA  METROPOLITANA</v>
      </c>
      <c r="B164" s="1" t="str">
        <f ca="1">IFERROR(__xludf.DUMMYFUNCTION("""COMPUTED_VALUE"""),"DRE ANANINDEUA 4")</f>
        <v>DRE ANANINDEUA 4</v>
      </c>
      <c r="C164" s="2" t="str">
        <f ca="1">IFERROR(__xludf.DUMMYFUNCTION("""COMPUTED_VALUE"""),"DRE - ANANINDEUA / BELEM")</f>
        <v>DRE - ANANINDEUA / BELEM</v>
      </c>
      <c r="D164" s="2" t="str">
        <f ca="1">IFERROR(__xludf.DUMMYFUNCTION("""COMPUTED_VALUE"""),"Ananindeua 4")</f>
        <v>Ananindeua 4</v>
      </c>
      <c r="E164" s="2" t="str">
        <f ca="1">IFERROR(__xludf.DUMMYFUNCTION("""COMPUTED_VALUE"""),"DRE - ANANINDEUA / BELEMAnanindeua 4")</f>
        <v>DRE - ANANINDEUA / BELEMAnanindeua 4</v>
      </c>
      <c r="F164" s="1">
        <f ca="1">IFERROR(__xludf.DUMMYFUNCTION("""COMPUTED_VALUE"""),1)</f>
        <v>1</v>
      </c>
      <c r="G164" s="1" t="str">
        <f ca="1">IFERROR(__xludf.DUMMYFUNCTION("""COMPUTED_VALUE"""),"DRE ANANINDEUA 4")</f>
        <v>DRE ANANINDEUA 4</v>
      </c>
      <c r="H164" s="1" t="str">
        <f ca="1">IFERROR(__xludf.DUMMYFUNCTION("""COMPUTED_VALUE"""),"19A URE - BELEM")</f>
        <v>19A URE - BELEM</v>
      </c>
      <c r="I164" s="2" t="str">
        <f ca="1">IFERROR(__xludf.DUMMYFUNCTION("""COMPUTED_VALUE"""),"Unidade 15")</f>
        <v>Unidade 15</v>
      </c>
      <c r="J164" s="1" t="str">
        <f ca="1">IFERROR(__xludf.DUMMYFUNCTION("""COMPUTED_VALUE"""),"ANANINDEUA")</f>
        <v>ANANINDEUA</v>
      </c>
      <c r="K164" s="1">
        <f ca="1">IFERROR(__xludf.DUMMYFUNCTION("""COMPUTED_VALUE"""),15034399)</f>
        <v>15034399</v>
      </c>
      <c r="L164" s="2" t="str">
        <f ca="1">IFERROR(__xludf.DUMMYFUNCTION("""COMPUTED_VALUE"""),"001920929790000")</f>
        <v>001920929790000</v>
      </c>
      <c r="M164" s="2" t="str">
        <f ca="1">IFERROR(__xludf.DUMMYFUNCTION("""COMPUTED_VALUE"""),"1920929790000")</f>
        <v>1920929790000</v>
      </c>
      <c r="N164" s="1" t="str">
        <f ca="1">IFERROR(__xludf.DUMMYFUNCTION("""COMPUTED_VALUE"""),"EEEFM MADRE CELESTE")</f>
        <v>EEEFM MADRE CELESTE</v>
      </c>
      <c r="O164" s="1"/>
      <c r="P164" s="1"/>
      <c r="Q164" s="1" t="s">
        <v>155</v>
      </c>
    </row>
    <row r="165" spans="1:17" x14ac:dyDescent="0.25">
      <c r="A165" s="2" t="str">
        <f ca="1">IFERROR(__xludf.DUMMYFUNCTION("""COMPUTED_VALUE"""),"REG DE INTEGRA  METROPOLITANA")</f>
        <v>REG DE INTEGRA  METROPOLITANA</v>
      </c>
      <c r="B165" s="1" t="str">
        <f ca="1">IFERROR(__xludf.DUMMYFUNCTION("""COMPUTED_VALUE"""),"DRE ANANINDEUA 4")</f>
        <v>DRE ANANINDEUA 4</v>
      </c>
      <c r="C165" s="2" t="str">
        <f ca="1">IFERROR(__xludf.DUMMYFUNCTION("""COMPUTED_VALUE"""),"DRE - ANANINDEUA / BELEM")</f>
        <v>DRE - ANANINDEUA / BELEM</v>
      </c>
      <c r="D165" s="2" t="str">
        <f ca="1">IFERROR(__xludf.DUMMYFUNCTION("""COMPUTED_VALUE"""),"Ananindeua 4")</f>
        <v>Ananindeua 4</v>
      </c>
      <c r="E165" s="2" t="str">
        <f ca="1">IFERROR(__xludf.DUMMYFUNCTION("""COMPUTED_VALUE"""),"DRE - ANANINDEUA / BELEMAnanindeua 4")</f>
        <v>DRE - ANANINDEUA / BELEMAnanindeua 4</v>
      </c>
      <c r="F165" s="1">
        <f ca="1">IFERROR(__xludf.DUMMYFUNCTION("""COMPUTED_VALUE"""),1)</f>
        <v>1</v>
      </c>
      <c r="G165" s="1" t="str">
        <f ca="1">IFERROR(__xludf.DUMMYFUNCTION("""COMPUTED_VALUE"""),"DRE ANANINDEUA 4")</f>
        <v>DRE ANANINDEUA 4</v>
      </c>
      <c r="H165" s="1" t="str">
        <f ca="1">IFERROR(__xludf.DUMMYFUNCTION("""COMPUTED_VALUE"""),"19A URE - BELEM")</f>
        <v>19A URE - BELEM</v>
      </c>
      <c r="I165" s="2" t="str">
        <f ca="1">IFERROR(__xludf.DUMMYFUNCTION("""COMPUTED_VALUE"""),"Unidade 15")</f>
        <v>Unidade 15</v>
      </c>
      <c r="J165" s="1" t="str">
        <f ca="1">IFERROR(__xludf.DUMMYFUNCTION("""COMPUTED_VALUE"""),"ANANINDEUA")</f>
        <v>ANANINDEUA</v>
      </c>
      <c r="K165" s="1">
        <f ca="1">IFERROR(__xludf.DUMMYFUNCTION("""COMPUTED_VALUE"""),15520560)</f>
        <v>15520560</v>
      </c>
      <c r="L165" s="2" t="str">
        <f ca="1">IFERROR(__xludf.DUMMYFUNCTION("""COMPUTED_VALUE"""),"001920930470000")</f>
        <v>001920930470000</v>
      </c>
      <c r="M165" s="2" t="str">
        <f ca="1">IFERROR(__xludf.DUMMYFUNCTION("""COMPUTED_VALUE"""),"1920930470000")</f>
        <v>1920930470000</v>
      </c>
      <c r="N165" s="1" t="str">
        <f ca="1">IFERROR(__xludf.DUMMYFUNCTION("""COMPUTED_VALUE"""),"EEEFM PITAGORAS")</f>
        <v>EEEFM PITAGORAS</v>
      </c>
      <c r="O165" s="1"/>
      <c r="P165" s="1"/>
      <c r="Q165" s="1" t="s">
        <v>155</v>
      </c>
    </row>
    <row r="166" spans="1:17" x14ac:dyDescent="0.25">
      <c r="A166" s="2" t="str">
        <f ca="1">IFERROR(__xludf.DUMMYFUNCTION("""COMPUTED_VALUE"""),"REG DE INTEGRA  METROPOLITANA")</f>
        <v>REG DE INTEGRA  METROPOLITANA</v>
      </c>
      <c r="B166" s="1" t="str">
        <f ca="1">IFERROR(__xludf.DUMMYFUNCTION("""COMPUTED_VALUE"""),"DRE ANANINDEUA 4")</f>
        <v>DRE ANANINDEUA 4</v>
      </c>
      <c r="C166" s="2" t="str">
        <f ca="1">IFERROR(__xludf.DUMMYFUNCTION("""COMPUTED_VALUE"""),"DRE - ANANINDEUA / BELEM")</f>
        <v>DRE - ANANINDEUA / BELEM</v>
      </c>
      <c r="D166" s="2" t="str">
        <f ca="1">IFERROR(__xludf.DUMMYFUNCTION("""COMPUTED_VALUE"""),"Ananindeua 4")</f>
        <v>Ananindeua 4</v>
      </c>
      <c r="E166" s="2" t="str">
        <f ca="1">IFERROR(__xludf.DUMMYFUNCTION("""COMPUTED_VALUE"""),"DRE - ANANINDEUA / BELEMAnanindeua 4")</f>
        <v>DRE - ANANINDEUA / BELEMAnanindeua 4</v>
      </c>
      <c r="F166" s="1">
        <f ca="1">IFERROR(__xludf.DUMMYFUNCTION("""COMPUTED_VALUE"""),1)</f>
        <v>1</v>
      </c>
      <c r="G166" s="1" t="str">
        <f ca="1">IFERROR(__xludf.DUMMYFUNCTION("""COMPUTED_VALUE"""),"DRE ANANINDEUA 4")</f>
        <v>DRE ANANINDEUA 4</v>
      </c>
      <c r="H166" s="1" t="str">
        <f ca="1">IFERROR(__xludf.DUMMYFUNCTION("""COMPUTED_VALUE"""),"19A URE - BELEM")</f>
        <v>19A URE - BELEM</v>
      </c>
      <c r="I166" s="2" t="str">
        <f ca="1">IFERROR(__xludf.DUMMYFUNCTION("""COMPUTED_VALUE"""),"Unidade 15")</f>
        <v>Unidade 15</v>
      </c>
      <c r="J166" s="1" t="str">
        <f ca="1">IFERROR(__xludf.DUMMYFUNCTION("""COMPUTED_VALUE"""),"ANANINDEUA")</f>
        <v>ANANINDEUA</v>
      </c>
      <c r="K166" s="1">
        <f ca="1">IFERROR(__xludf.DUMMYFUNCTION("""COMPUTED_VALUE"""),15034836)</f>
        <v>15034836</v>
      </c>
      <c r="L166" s="2" t="str">
        <f ca="1">IFERROR(__xludf.DUMMYFUNCTION("""COMPUTED_VALUE"""),"001920902000000")</f>
        <v>001920902000000</v>
      </c>
      <c r="M166" s="2" t="str">
        <f ca="1">IFERROR(__xludf.DUMMYFUNCTION("""COMPUTED_VALUE"""),"1920902000000")</f>
        <v>1920902000000</v>
      </c>
      <c r="N166" s="1" t="str">
        <f ca="1">IFERROR(__xludf.DUMMYFUNCTION("""COMPUTED_VALUE"""),"EEEFM PROF ZULIMA VERGOLINO DIAS")</f>
        <v>EEEFM PROF ZULIMA VERGOLINO DIAS</v>
      </c>
      <c r="O166" s="1"/>
      <c r="P166" s="1"/>
      <c r="Q166" s="1" t="s">
        <v>155</v>
      </c>
    </row>
    <row r="167" spans="1:17" x14ac:dyDescent="0.25">
      <c r="A167" s="2" t="str">
        <f ca="1">IFERROR(__xludf.DUMMYFUNCTION("""COMPUTED_VALUE"""),"REG DE INTEGRA  METROPOLITANA")</f>
        <v>REG DE INTEGRA  METROPOLITANA</v>
      </c>
      <c r="B167" s="1" t="str">
        <f ca="1">IFERROR(__xludf.DUMMYFUNCTION("""COMPUTED_VALUE"""),"DRE ANANINDEUA 4")</f>
        <v>DRE ANANINDEUA 4</v>
      </c>
      <c r="C167" s="2" t="str">
        <f ca="1">IFERROR(__xludf.DUMMYFUNCTION("""COMPUTED_VALUE"""),"DRE - ANANINDEUA / BELEM")</f>
        <v>DRE - ANANINDEUA / BELEM</v>
      </c>
      <c r="D167" s="2" t="str">
        <f ca="1">IFERROR(__xludf.DUMMYFUNCTION("""COMPUTED_VALUE"""),"Ananindeua 4")</f>
        <v>Ananindeua 4</v>
      </c>
      <c r="E167" s="2" t="str">
        <f ca="1">IFERROR(__xludf.DUMMYFUNCTION("""COMPUTED_VALUE"""),"DRE - ANANINDEUA / BELEMAnanindeua 4")</f>
        <v>DRE - ANANINDEUA / BELEMAnanindeua 4</v>
      </c>
      <c r="F167" s="1">
        <f ca="1">IFERROR(__xludf.DUMMYFUNCTION("""COMPUTED_VALUE"""),1)</f>
        <v>1</v>
      </c>
      <c r="G167" s="1" t="str">
        <f ca="1">IFERROR(__xludf.DUMMYFUNCTION("""COMPUTED_VALUE"""),"DRE ANANINDEUA 4")</f>
        <v>DRE ANANINDEUA 4</v>
      </c>
      <c r="H167" s="1" t="str">
        <f ca="1">IFERROR(__xludf.DUMMYFUNCTION("""COMPUTED_VALUE"""),"19A URE - BELEM")</f>
        <v>19A URE - BELEM</v>
      </c>
      <c r="I167" s="2" t="str">
        <f ca="1">IFERROR(__xludf.DUMMYFUNCTION("""COMPUTED_VALUE"""),"Unidade 15")</f>
        <v>Unidade 15</v>
      </c>
      <c r="J167" s="1" t="str">
        <f ca="1">IFERROR(__xludf.DUMMYFUNCTION("""COMPUTED_VALUE"""),"ANANINDEUA")</f>
        <v>ANANINDEUA</v>
      </c>
      <c r="K167" s="1">
        <f ca="1">IFERROR(__xludf.DUMMYFUNCTION("""COMPUTED_VALUE"""),15034496)</f>
        <v>15034496</v>
      </c>
      <c r="L167" s="2" t="str">
        <f ca="1">IFERROR(__xludf.DUMMYFUNCTION("""COMPUTED_VALUE"""),"001920902620000")</f>
        <v>001920902620000</v>
      </c>
      <c r="M167" s="2" t="str">
        <f ca="1">IFERROR(__xludf.DUMMYFUNCTION("""COMPUTED_VALUE"""),"1920902620000")</f>
        <v>1920902620000</v>
      </c>
      <c r="N167" s="1" t="str">
        <f ca="1">IFERROR(__xludf.DUMMYFUNCTION("""COMPUTED_VALUE"""),"EEEFM PROFA MARIA ARAUJO FIGUEIREDO")</f>
        <v>EEEFM PROFA MARIA ARAUJO FIGUEIREDO</v>
      </c>
      <c r="O167" s="1"/>
      <c r="P167" s="1"/>
      <c r="Q167" s="1" t="s">
        <v>155</v>
      </c>
    </row>
    <row r="168" spans="1:17" x14ac:dyDescent="0.25">
      <c r="A168" s="2" t="str">
        <f ca="1">IFERROR(__xludf.DUMMYFUNCTION("""COMPUTED_VALUE"""),"REG DE INTEGRA  METROPOLITANA")</f>
        <v>REG DE INTEGRA  METROPOLITANA</v>
      </c>
      <c r="B168" s="1" t="str">
        <f ca="1">IFERROR(__xludf.DUMMYFUNCTION("""COMPUTED_VALUE"""),"DRE ANANINDEUA 5")</f>
        <v>DRE ANANINDEUA 5</v>
      </c>
      <c r="C168" s="2" t="str">
        <f ca="1">IFERROR(__xludf.DUMMYFUNCTION("""COMPUTED_VALUE"""),"DRE - ANANINDEUA / BELEM")</f>
        <v>DRE - ANANINDEUA / BELEM</v>
      </c>
      <c r="D168" s="2" t="str">
        <f ca="1">IFERROR(__xludf.DUMMYFUNCTION("""COMPUTED_VALUE"""),"Ananindeua 5")</f>
        <v>Ananindeua 5</v>
      </c>
      <c r="E168" s="2" t="str">
        <f ca="1">IFERROR(__xludf.DUMMYFUNCTION("""COMPUTED_VALUE"""),"DRE - ANANINDEUA / BELEMAnanindeua 5")</f>
        <v>DRE - ANANINDEUA / BELEMAnanindeua 5</v>
      </c>
      <c r="F168" s="1">
        <f ca="1">IFERROR(__xludf.DUMMYFUNCTION("""COMPUTED_VALUE"""),1)</f>
        <v>1</v>
      </c>
      <c r="G168" s="1" t="str">
        <f ca="1">IFERROR(__xludf.DUMMYFUNCTION("""COMPUTED_VALUE"""),"DRE ANANINDEUA 5")</f>
        <v>DRE ANANINDEUA 5</v>
      </c>
      <c r="H168" s="1" t="str">
        <f ca="1">IFERROR(__xludf.DUMMYFUNCTION("""COMPUTED_VALUE"""),"19A URE - BELEM")</f>
        <v>19A URE - BELEM</v>
      </c>
      <c r="I168" s="2" t="str">
        <f ca="1">IFERROR(__xludf.DUMMYFUNCTION("""COMPUTED_VALUE"""),"Unidade 16")</f>
        <v>Unidade 16</v>
      </c>
      <c r="J168" s="1" t="str">
        <f ca="1">IFERROR(__xludf.DUMMYFUNCTION("""COMPUTED_VALUE"""),"ANANINDEUA")</f>
        <v>ANANINDEUA</v>
      </c>
      <c r="K168" s="1"/>
      <c r="L168" s="2" t="str">
        <f ca="1">IFERROR(__xludf.DUMMYFUNCTION("""COMPUTED_VALUE"""),"001920924570000")</f>
        <v>001920924570000</v>
      </c>
      <c r="M168" s="2" t="str">
        <f ca="1">IFERROR(__xludf.DUMMYFUNCTION("""COMPUTED_VALUE"""),"1920924570000")</f>
        <v>1920924570000</v>
      </c>
      <c r="N168" s="1" t="str">
        <f ca="1">IFERROR(__xludf.DUMMYFUNCTION("""COMPUTED_VALUE"""),"EE PRESID TANCREDO DE ALMEIDA NEVES")</f>
        <v>EE PRESID TANCREDO DE ALMEIDA NEVES</v>
      </c>
      <c r="O168" s="1"/>
      <c r="P168" s="1"/>
      <c r="Q168" s="1" t="s">
        <v>174</v>
      </c>
    </row>
    <row r="169" spans="1:17" x14ac:dyDescent="0.25">
      <c r="A169" s="2" t="str">
        <f ca="1">IFERROR(__xludf.DUMMYFUNCTION("""COMPUTED_VALUE"""),"REG DE INTEGRA  METROPOLITANA")</f>
        <v>REG DE INTEGRA  METROPOLITANA</v>
      </c>
      <c r="B169" s="1" t="str">
        <f ca="1">IFERROR(__xludf.DUMMYFUNCTION("""COMPUTED_VALUE"""),"DRE ANANINDEUA 5")</f>
        <v>DRE ANANINDEUA 5</v>
      </c>
      <c r="C169" s="2" t="str">
        <f ca="1">IFERROR(__xludf.DUMMYFUNCTION("""COMPUTED_VALUE"""),"DRE - ANANINDEUA / BELEM")</f>
        <v>DRE - ANANINDEUA / BELEM</v>
      </c>
      <c r="D169" s="2" t="str">
        <f ca="1">IFERROR(__xludf.DUMMYFUNCTION("""COMPUTED_VALUE"""),"Ananindeua 5")</f>
        <v>Ananindeua 5</v>
      </c>
      <c r="E169" s="2" t="str">
        <f ca="1">IFERROR(__xludf.DUMMYFUNCTION("""COMPUTED_VALUE"""),"DRE - ANANINDEUA / BELEMAnanindeua 5")</f>
        <v>DRE - ANANINDEUA / BELEMAnanindeua 5</v>
      </c>
      <c r="F169" s="1">
        <f ca="1">IFERROR(__xludf.DUMMYFUNCTION("""COMPUTED_VALUE"""),1)</f>
        <v>1</v>
      </c>
      <c r="G169" s="1" t="str">
        <f ca="1">IFERROR(__xludf.DUMMYFUNCTION("""COMPUTED_VALUE"""),"DRE ANANINDEUA 5")</f>
        <v>DRE ANANINDEUA 5</v>
      </c>
      <c r="H169" s="1" t="str">
        <f ca="1">IFERROR(__xludf.DUMMYFUNCTION("""COMPUTED_VALUE"""),"19A URE - BELEM")</f>
        <v>19A URE - BELEM</v>
      </c>
      <c r="I169" s="2" t="str">
        <f ca="1">IFERROR(__xludf.DUMMYFUNCTION("""COMPUTED_VALUE"""),"Unidade 16")</f>
        <v>Unidade 16</v>
      </c>
      <c r="J169" s="1" t="str">
        <f ca="1">IFERROR(__xludf.DUMMYFUNCTION("""COMPUTED_VALUE"""),"ANANINDEUA")</f>
        <v>ANANINDEUA</v>
      </c>
      <c r="K169" s="1">
        <f ca="1">IFERROR(__xludf.DUMMYFUNCTION("""COMPUTED_VALUE"""),15034348)</f>
        <v>15034348</v>
      </c>
      <c r="L169" s="2" t="str">
        <f ca="1">IFERROR(__xludf.DUMMYFUNCTION("""COMPUTED_VALUE"""),"001920931180000")</f>
        <v>001920931180000</v>
      </c>
      <c r="M169" s="2" t="str">
        <f ca="1">IFERROR(__xludf.DUMMYFUNCTION("""COMPUTED_VALUE"""),"1920931180000")</f>
        <v>1920931180000</v>
      </c>
      <c r="N169" s="1" t="str">
        <f ca="1">IFERROR(__xludf.DUMMYFUNCTION("""COMPUTED_VALUE"""),"EEEF ANTONIO BEZERRA FALCAO")</f>
        <v>EEEF ANTONIO BEZERRA FALCAO</v>
      </c>
      <c r="O169" s="1"/>
      <c r="P169" s="1"/>
      <c r="Q169" s="1" t="s">
        <v>174</v>
      </c>
    </row>
    <row r="170" spans="1:17" x14ac:dyDescent="0.25">
      <c r="A170" s="2" t="str">
        <f ca="1">IFERROR(__xludf.DUMMYFUNCTION("""COMPUTED_VALUE"""),"REG DE INTEGRA  METROPOLITANA")</f>
        <v>REG DE INTEGRA  METROPOLITANA</v>
      </c>
      <c r="B170" s="1" t="str">
        <f ca="1">IFERROR(__xludf.DUMMYFUNCTION("""COMPUTED_VALUE"""),"DRE ANANINDEUA 5")</f>
        <v>DRE ANANINDEUA 5</v>
      </c>
      <c r="C170" s="2" t="str">
        <f ca="1">IFERROR(__xludf.DUMMYFUNCTION("""COMPUTED_VALUE"""),"DRE - ANANINDEUA / BELEM")</f>
        <v>DRE - ANANINDEUA / BELEM</v>
      </c>
      <c r="D170" s="2" t="str">
        <f ca="1">IFERROR(__xludf.DUMMYFUNCTION("""COMPUTED_VALUE"""),"Ananindeua 5")</f>
        <v>Ananindeua 5</v>
      </c>
      <c r="E170" s="2" t="str">
        <f ca="1">IFERROR(__xludf.DUMMYFUNCTION("""COMPUTED_VALUE"""),"DRE - ANANINDEUA / BELEMAnanindeua 5")</f>
        <v>DRE - ANANINDEUA / BELEMAnanindeua 5</v>
      </c>
      <c r="F170" s="1">
        <f ca="1">IFERROR(__xludf.DUMMYFUNCTION("""COMPUTED_VALUE"""),1)</f>
        <v>1</v>
      </c>
      <c r="G170" s="1" t="str">
        <f ca="1">IFERROR(__xludf.DUMMYFUNCTION("""COMPUTED_VALUE"""),"DRE ANANINDEUA 5")</f>
        <v>DRE ANANINDEUA 5</v>
      </c>
      <c r="H170" s="1" t="str">
        <f ca="1">IFERROR(__xludf.DUMMYFUNCTION("""COMPUTED_VALUE"""),"19A URE - BELEM")</f>
        <v>19A URE - BELEM</v>
      </c>
      <c r="I170" s="2" t="str">
        <f ca="1">IFERROR(__xludf.DUMMYFUNCTION("""COMPUTED_VALUE"""),"Unidade 16")</f>
        <v>Unidade 16</v>
      </c>
      <c r="J170" s="1" t="str">
        <f ca="1">IFERROR(__xludf.DUMMYFUNCTION("""COMPUTED_VALUE"""),"ANANINDEUA")</f>
        <v>ANANINDEUA</v>
      </c>
      <c r="K170" s="1">
        <f ca="1">IFERROR(__xludf.DUMMYFUNCTION("""COMPUTED_VALUE"""),15034542)</f>
        <v>15034542</v>
      </c>
      <c r="L170" s="2" t="str">
        <f ca="1">IFERROR(__xludf.DUMMYFUNCTION("""COMPUTED_VALUE"""),"001920902400000")</f>
        <v>001920902400000</v>
      </c>
      <c r="M170" s="2" t="str">
        <f ca="1">IFERROR(__xludf.DUMMYFUNCTION("""COMPUTED_VALUE"""),"1920902400000")</f>
        <v>1920902400000</v>
      </c>
      <c r="N170" s="1" t="str">
        <f ca="1">IFERROR(__xludf.DUMMYFUNCTION("""COMPUTED_VALUE"""),"EEEF BOM JARDIM")</f>
        <v>EEEF BOM JARDIM</v>
      </c>
      <c r="O170" s="1"/>
      <c r="P170" s="1"/>
      <c r="Q170" s="1" t="s">
        <v>174</v>
      </c>
    </row>
    <row r="171" spans="1:17" x14ac:dyDescent="0.25">
      <c r="A171" s="2" t="str">
        <f ca="1">IFERROR(__xludf.DUMMYFUNCTION("""COMPUTED_VALUE"""),"REG DE INTEGRA  METROPOLITANA")</f>
        <v>REG DE INTEGRA  METROPOLITANA</v>
      </c>
      <c r="B171" s="1" t="str">
        <f ca="1">IFERROR(__xludf.DUMMYFUNCTION("""COMPUTED_VALUE"""),"DRE ANANINDEUA 5")</f>
        <v>DRE ANANINDEUA 5</v>
      </c>
      <c r="C171" s="2" t="str">
        <f ca="1">IFERROR(__xludf.DUMMYFUNCTION("""COMPUTED_VALUE"""),"DRE - ANANINDEUA / BELEM")</f>
        <v>DRE - ANANINDEUA / BELEM</v>
      </c>
      <c r="D171" s="2" t="str">
        <f ca="1">IFERROR(__xludf.DUMMYFUNCTION("""COMPUTED_VALUE"""),"Ananindeua 5")</f>
        <v>Ananindeua 5</v>
      </c>
      <c r="E171" s="2" t="str">
        <f ca="1">IFERROR(__xludf.DUMMYFUNCTION("""COMPUTED_VALUE"""),"DRE - ANANINDEUA / BELEMAnanindeua 5")</f>
        <v>DRE - ANANINDEUA / BELEMAnanindeua 5</v>
      </c>
      <c r="F171" s="1">
        <f ca="1">IFERROR(__xludf.DUMMYFUNCTION("""COMPUTED_VALUE"""),1)</f>
        <v>1</v>
      </c>
      <c r="G171" s="1" t="str">
        <f ca="1">IFERROR(__xludf.DUMMYFUNCTION("""COMPUTED_VALUE"""),"DRE ANANINDEUA 5")</f>
        <v>DRE ANANINDEUA 5</v>
      </c>
      <c r="H171" s="1" t="str">
        <f ca="1">IFERROR(__xludf.DUMMYFUNCTION("""COMPUTED_VALUE"""),"19A URE - BELEM")</f>
        <v>19A URE - BELEM</v>
      </c>
      <c r="I171" s="2" t="str">
        <f ca="1">IFERROR(__xludf.DUMMYFUNCTION("""COMPUTED_VALUE"""),"Unidade 16")</f>
        <v>Unidade 16</v>
      </c>
      <c r="J171" s="1" t="str">
        <f ca="1">IFERROR(__xludf.DUMMYFUNCTION("""COMPUTED_VALUE"""),"ANANINDEUA")</f>
        <v>ANANINDEUA</v>
      </c>
      <c r="K171" s="1">
        <f ca="1">IFERROR(__xludf.DUMMYFUNCTION("""COMPUTED_VALUE"""),15035590)</f>
        <v>15035590</v>
      </c>
      <c r="L171" s="2" t="str">
        <f ca="1">IFERROR(__xludf.DUMMYFUNCTION("""COMPUTED_VALUE"""),"001920931200000")</f>
        <v>001920931200000</v>
      </c>
      <c r="M171" s="2" t="str">
        <f ca="1">IFERROR(__xludf.DUMMYFUNCTION("""COMPUTED_VALUE"""),"1920931200000")</f>
        <v>1920931200000</v>
      </c>
      <c r="N171" s="1" t="str">
        <f ca="1">IFERROR(__xludf.DUMMYFUNCTION("""COMPUTED_VALUE"""),"EEEF JOAO XXIII")</f>
        <v>EEEF JOAO XXIII</v>
      </c>
      <c r="O171" s="1"/>
      <c r="P171" s="1"/>
      <c r="Q171" s="1" t="s">
        <v>174</v>
      </c>
    </row>
    <row r="172" spans="1:17" x14ac:dyDescent="0.25">
      <c r="A172" s="2" t="str">
        <f ca="1">IFERROR(__xludf.DUMMYFUNCTION("""COMPUTED_VALUE"""),"REG DE INTEGRA  METROPOLITANA")</f>
        <v>REG DE INTEGRA  METROPOLITANA</v>
      </c>
      <c r="B172" s="1" t="str">
        <f ca="1">IFERROR(__xludf.DUMMYFUNCTION("""COMPUTED_VALUE"""),"DRE ANANINDEUA 5")</f>
        <v>DRE ANANINDEUA 5</v>
      </c>
      <c r="C172" s="2" t="str">
        <f ca="1">IFERROR(__xludf.DUMMYFUNCTION("""COMPUTED_VALUE"""),"DRE - ANANINDEUA / BELEM")</f>
        <v>DRE - ANANINDEUA / BELEM</v>
      </c>
      <c r="D172" s="2" t="str">
        <f ca="1">IFERROR(__xludf.DUMMYFUNCTION("""COMPUTED_VALUE"""),"Ananindeua 5")</f>
        <v>Ananindeua 5</v>
      </c>
      <c r="E172" s="2" t="str">
        <f ca="1">IFERROR(__xludf.DUMMYFUNCTION("""COMPUTED_VALUE"""),"DRE - ANANINDEUA / BELEMAnanindeua 5")</f>
        <v>DRE - ANANINDEUA / BELEMAnanindeua 5</v>
      </c>
      <c r="F172" s="1">
        <f ca="1">IFERROR(__xludf.DUMMYFUNCTION("""COMPUTED_VALUE"""),1)</f>
        <v>1</v>
      </c>
      <c r="G172" s="1" t="str">
        <f ca="1">IFERROR(__xludf.DUMMYFUNCTION("""COMPUTED_VALUE"""),"DRE ANANINDEUA 5")</f>
        <v>DRE ANANINDEUA 5</v>
      </c>
      <c r="H172" s="1" t="str">
        <f ca="1">IFERROR(__xludf.DUMMYFUNCTION("""COMPUTED_VALUE"""),"19A URE - BELEM")</f>
        <v>19A URE - BELEM</v>
      </c>
      <c r="I172" s="2" t="str">
        <f ca="1">IFERROR(__xludf.DUMMYFUNCTION("""COMPUTED_VALUE"""),"Unidade 16")</f>
        <v>Unidade 16</v>
      </c>
      <c r="J172" s="1" t="str">
        <f ca="1">IFERROR(__xludf.DUMMYFUNCTION("""COMPUTED_VALUE"""),"ANANINDEUA")</f>
        <v>ANANINDEUA</v>
      </c>
      <c r="K172" s="1">
        <f ca="1">IFERROR(__xludf.DUMMYFUNCTION("""COMPUTED_VALUE"""),15034658)</f>
        <v>15034658</v>
      </c>
      <c r="L172" s="2" t="str">
        <f ca="1">IFERROR(__xludf.DUMMYFUNCTION("""COMPUTED_VALUE"""),"001920923790000")</f>
        <v>001920923790000</v>
      </c>
      <c r="M172" s="2" t="str">
        <f ca="1">IFERROR(__xludf.DUMMYFUNCTION("""COMPUTED_VALUE"""),"1920923790000")</f>
        <v>1920923790000</v>
      </c>
      <c r="N172" s="1" t="str">
        <f ca="1">IFERROR(__xludf.DUMMYFUNCTION("""COMPUTED_VALUE"""),"EEEF MARIA ENCARNACAO DE ARAUJO")</f>
        <v>EEEF MARIA ENCARNACAO DE ARAUJO</v>
      </c>
      <c r="O172" s="1"/>
      <c r="P172" s="1"/>
      <c r="Q172" s="1" t="s">
        <v>174</v>
      </c>
    </row>
    <row r="173" spans="1:17" x14ac:dyDescent="0.25">
      <c r="A173" s="2" t="str">
        <f ca="1">IFERROR(__xludf.DUMMYFUNCTION("""COMPUTED_VALUE"""),"REG DE INTEGRA  METROPOLITANA")</f>
        <v>REG DE INTEGRA  METROPOLITANA</v>
      </c>
      <c r="B173" s="1" t="str">
        <f ca="1">IFERROR(__xludf.DUMMYFUNCTION("""COMPUTED_VALUE"""),"DRE ANANINDEUA 5")</f>
        <v>DRE ANANINDEUA 5</v>
      </c>
      <c r="C173" s="2" t="str">
        <f ca="1">IFERROR(__xludf.DUMMYFUNCTION("""COMPUTED_VALUE"""),"DRE - ANANINDEUA / BELEM")</f>
        <v>DRE - ANANINDEUA / BELEM</v>
      </c>
      <c r="D173" s="2" t="str">
        <f ca="1">IFERROR(__xludf.DUMMYFUNCTION("""COMPUTED_VALUE"""),"Ananindeua 5")</f>
        <v>Ananindeua 5</v>
      </c>
      <c r="E173" s="2" t="str">
        <f ca="1">IFERROR(__xludf.DUMMYFUNCTION("""COMPUTED_VALUE"""),"DRE - ANANINDEUA / BELEMAnanindeua 5")</f>
        <v>DRE - ANANINDEUA / BELEMAnanindeua 5</v>
      </c>
      <c r="F173" s="1">
        <f ca="1">IFERROR(__xludf.DUMMYFUNCTION("""COMPUTED_VALUE"""),1)</f>
        <v>1</v>
      </c>
      <c r="G173" s="1" t="str">
        <f ca="1">IFERROR(__xludf.DUMMYFUNCTION("""COMPUTED_VALUE"""),"DRE ANANINDEUA 5")</f>
        <v>DRE ANANINDEUA 5</v>
      </c>
      <c r="H173" s="1" t="str">
        <f ca="1">IFERROR(__xludf.DUMMYFUNCTION("""COMPUTED_VALUE"""),"19A URE - BELEM")</f>
        <v>19A URE - BELEM</v>
      </c>
      <c r="I173" s="2" t="str">
        <f ca="1">IFERROR(__xludf.DUMMYFUNCTION("""COMPUTED_VALUE"""),"Unidade 16")</f>
        <v>Unidade 16</v>
      </c>
      <c r="J173" s="1" t="str">
        <f ca="1">IFERROR(__xludf.DUMMYFUNCTION("""COMPUTED_VALUE"""),"ANANINDEUA")</f>
        <v>ANANINDEUA</v>
      </c>
      <c r="K173" s="1">
        <f ca="1">IFERROR(__xludf.DUMMYFUNCTION("""COMPUTED_VALUE"""),15578038)</f>
        <v>15578038</v>
      </c>
      <c r="L173" s="2" t="str">
        <f ca="1">IFERROR(__xludf.DUMMYFUNCTION("""COMPUTED_VALUE"""),"001920936390000")</f>
        <v>001920936390000</v>
      </c>
      <c r="M173" s="2" t="str">
        <f ca="1">IFERROR(__xludf.DUMMYFUNCTION("""COMPUTED_VALUE"""),"1920936390000")</f>
        <v>1920936390000</v>
      </c>
      <c r="N173" s="1" t="str">
        <f ca="1">IFERROR(__xludf.DUMMYFUNCTION("""COMPUTED_VALUE"""),"EEEF NAIR ZALUTH")</f>
        <v>EEEF NAIR ZALUTH</v>
      </c>
      <c r="O173" s="1"/>
      <c r="P173" s="1"/>
      <c r="Q173" s="1" t="s">
        <v>174</v>
      </c>
    </row>
    <row r="174" spans="1:17" x14ac:dyDescent="0.25">
      <c r="A174" s="2" t="str">
        <f ca="1">IFERROR(__xludf.DUMMYFUNCTION("""COMPUTED_VALUE"""),"REG DE INTEGRA  METROPOLITANA")</f>
        <v>REG DE INTEGRA  METROPOLITANA</v>
      </c>
      <c r="B174" s="1" t="str">
        <f ca="1">IFERROR(__xludf.DUMMYFUNCTION("""COMPUTED_VALUE"""),"DRE ANANINDEUA 5")</f>
        <v>DRE ANANINDEUA 5</v>
      </c>
      <c r="C174" s="2" t="str">
        <f ca="1">IFERROR(__xludf.DUMMYFUNCTION("""COMPUTED_VALUE"""),"DRE - ANANINDEUA / BELEM")</f>
        <v>DRE - ANANINDEUA / BELEM</v>
      </c>
      <c r="D174" s="2" t="str">
        <f ca="1">IFERROR(__xludf.DUMMYFUNCTION("""COMPUTED_VALUE"""),"Ananindeua 5")</f>
        <v>Ananindeua 5</v>
      </c>
      <c r="E174" s="2" t="str">
        <f ca="1">IFERROR(__xludf.DUMMYFUNCTION("""COMPUTED_VALUE"""),"DRE - ANANINDEUA / BELEMAnanindeua 5")</f>
        <v>DRE - ANANINDEUA / BELEMAnanindeua 5</v>
      </c>
      <c r="F174" s="1">
        <f ca="1">IFERROR(__xludf.DUMMYFUNCTION("""COMPUTED_VALUE"""),1)</f>
        <v>1</v>
      </c>
      <c r="G174" s="1" t="str">
        <f ca="1">IFERROR(__xludf.DUMMYFUNCTION("""COMPUTED_VALUE"""),"DRE ANANINDEUA 5")</f>
        <v>DRE ANANINDEUA 5</v>
      </c>
      <c r="H174" s="1" t="str">
        <f ca="1">IFERROR(__xludf.DUMMYFUNCTION("""COMPUTED_VALUE"""),"19A URE - BELEM")</f>
        <v>19A URE - BELEM</v>
      </c>
      <c r="I174" s="2" t="str">
        <f ca="1">IFERROR(__xludf.DUMMYFUNCTION("""COMPUTED_VALUE"""),"Unidade 16")</f>
        <v>Unidade 16</v>
      </c>
      <c r="J174" s="1" t="str">
        <f ca="1">IFERROR(__xludf.DUMMYFUNCTION("""COMPUTED_VALUE"""),"ANANINDEUA")</f>
        <v>ANANINDEUA</v>
      </c>
      <c r="K174" s="1">
        <f ca="1">IFERROR(__xludf.DUMMYFUNCTION("""COMPUTED_VALUE"""),15143970)</f>
        <v>15143970</v>
      </c>
      <c r="L174" s="2" t="str">
        <f ca="1">IFERROR(__xludf.DUMMYFUNCTION("""COMPUTED_VALUE"""),"001920928770000")</f>
        <v>001920928770000</v>
      </c>
      <c r="M174" s="2" t="str">
        <f ca="1">IFERROR(__xludf.DUMMYFUNCTION("""COMPUTED_VALUE"""),"1920928770000")</f>
        <v>1920928770000</v>
      </c>
      <c r="N174" s="1" t="str">
        <f ca="1">IFERROR(__xludf.DUMMYFUNCTION("""COMPUTED_VALUE"""),"EEEF NOVAS AGUAS LINDAS")</f>
        <v>EEEF NOVAS AGUAS LINDAS</v>
      </c>
      <c r="O174" s="1"/>
      <c r="P174" s="1"/>
      <c r="Q174" s="1" t="s">
        <v>174</v>
      </c>
    </row>
    <row r="175" spans="1:17" x14ac:dyDescent="0.25">
      <c r="A175" s="2" t="str">
        <f ca="1">IFERROR(__xludf.DUMMYFUNCTION("""COMPUTED_VALUE"""),"REG DE INTEGRA  METROPOLITANA")</f>
        <v>REG DE INTEGRA  METROPOLITANA</v>
      </c>
      <c r="B175" s="1" t="str">
        <f ca="1">IFERROR(__xludf.DUMMYFUNCTION("""COMPUTED_VALUE"""),"DRE ANANINDEUA 5")</f>
        <v>DRE ANANINDEUA 5</v>
      </c>
      <c r="C175" s="2" t="str">
        <f ca="1">IFERROR(__xludf.DUMMYFUNCTION("""COMPUTED_VALUE"""),"DRE - ANANINDEUA / BELEM")</f>
        <v>DRE - ANANINDEUA / BELEM</v>
      </c>
      <c r="D175" s="2" t="str">
        <f ca="1">IFERROR(__xludf.DUMMYFUNCTION("""COMPUTED_VALUE"""),"Ananindeua 5")</f>
        <v>Ananindeua 5</v>
      </c>
      <c r="E175" s="2" t="str">
        <f ca="1">IFERROR(__xludf.DUMMYFUNCTION("""COMPUTED_VALUE"""),"DRE - ANANINDEUA / BELEMAnanindeua 5")</f>
        <v>DRE - ANANINDEUA / BELEMAnanindeua 5</v>
      </c>
      <c r="F175" s="1">
        <f ca="1">IFERROR(__xludf.DUMMYFUNCTION("""COMPUTED_VALUE"""),1)</f>
        <v>1</v>
      </c>
      <c r="G175" s="1" t="str">
        <f ca="1">IFERROR(__xludf.DUMMYFUNCTION("""COMPUTED_VALUE"""),"DRE ANANINDEUA 5")</f>
        <v>DRE ANANINDEUA 5</v>
      </c>
      <c r="H175" s="1" t="str">
        <f ca="1">IFERROR(__xludf.DUMMYFUNCTION("""COMPUTED_VALUE"""),"19A URE - BELEM")</f>
        <v>19A URE - BELEM</v>
      </c>
      <c r="I175" s="2" t="str">
        <f ca="1">IFERROR(__xludf.DUMMYFUNCTION("""COMPUTED_VALUE"""),"Unidade 16")</f>
        <v>Unidade 16</v>
      </c>
      <c r="J175" s="1" t="str">
        <f ca="1">IFERROR(__xludf.DUMMYFUNCTION("""COMPUTED_VALUE"""),"ANANINDEUA")</f>
        <v>ANANINDEUA</v>
      </c>
      <c r="K175" s="1">
        <f ca="1">IFERROR(__xludf.DUMMYFUNCTION("""COMPUTED_VALUE"""),15034453)</f>
        <v>15034453</v>
      </c>
      <c r="L175" s="2" t="str">
        <f ca="1">IFERROR(__xludf.DUMMYFUNCTION("""COMPUTED_VALUE"""),"001920924570000")</f>
        <v>001920924570000</v>
      </c>
      <c r="M175" s="2" t="str">
        <f ca="1">IFERROR(__xludf.DUMMYFUNCTION("""COMPUTED_VALUE"""),"1920924570000")</f>
        <v>1920924570000</v>
      </c>
      <c r="N175" s="1" t="str">
        <f ca="1">IFERROR(__xludf.DUMMYFUNCTION("""COMPUTED_VALUE"""),"EEEF PRES TANCREDO DE ALMEIDA NEVES")</f>
        <v>EEEF PRES TANCREDO DE ALMEIDA NEVES</v>
      </c>
      <c r="O175" s="1"/>
      <c r="P175" s="1"/>
      <c r="Q175" s="1" t="s">
        <v>174</v>
      </c>
    </row>
    <row r="176" spans="1:17" x14ac:dyDescent="0.25">
      <c r="A176" s="2" t="str">
        <f ca="1">IFERROR(__xludf.DUMMYFUNCTION("""COMPUTED_VALUE"""),"REG DE INTEGRA  METROPOLITANA")</f>
        <v>REG DE INTEGRA  METROPOLITANA</v>
      </c>
      <c r="B176" s="1" t="str">
        <f ca="1">IFERROR(__xludf.DUMMYFUNCTION("""COMPUTED_VALUE"""),"DRE ANANINDEUA 5")</f>
        <v>DRE ANANINDEUA 5</v>
      </c>
      <c r="C176" s="2" t="str">
        <f ca="1">IFERROR(__xludf.DUMMYFUNCTION("""COMPUTED_VALUE"""),"DRE - ANANINDEUA / BELEM")</f>
        <v>DRE - ANANINDEUA / BELEM</v>
      </c>
      <c r="D176" s="2" t="str">
        <f ca="1">IFERROR(__xludf.DUMMYFUNCTION("""COMPUTED_VALUE"""),"Ananindeua 5")</f>
        <v>Ananindeua 5</v>
      </c>
      <c r="E176" s="2" t="str">
        <f ca="1">IFERROR(__xludf.DUMMYFUNCTION("""COMPUTED_VALUE"""),"DRE - ANANINDEUA / BELEMAnanindeua 5")</f>
        <v>DRE - ANANINDEUA / BELEMAnanindeua 5</v>
      </c>
      <c r="F176" s="1">
        <f ca="1">IFERROR(__xludf.DUMMYFUNCTION("""COMPUTED_VALUE"""),1)</f>
        <v>1</v>
      </c>
      <c r="G176" s="1" t="str">
        <f ca="1">IFERROR(__xludf.DUMMYFUNCTION("""COMPUTED_VALUE"""),"DRE ANANINDEUA 5")</f>
        <v>DRE ANANINDEUA 5</v>
      </c>
      <c r="H176" s="1" t="str">
        <f ca="1">IFERROR(__xludf.DUMMYFUNCTION("""COMPUTED_VALUE"""),"19A URE - BELEM")</f>
        <v>19A URE - BELEM</v>
      </c>
      <c r="I176" s="2" t="str">
        <f ca="1">IFERROR(__xludf.DUMMYFUNCTION("""COMPUTED_VALUE"""),"Unidade 16")</f>
        <v>Unidade 16</v>
      </c>
      <c r="J176" s="1" t="str">
        <f ca="1">IFERROR(__xludf.DUMMYFUNCTION("""COMPUTED_VALUE"""),"ANANINDEUA")</f>
        <v>ANANINDEUA</v>
      </c>
      <c r="K176" s="1">
        <f ca="1">IFERROR(__xludf.DUMMYFUNCTION("""COMPUTED_VALUE"""),15034747)</f>
        <v>15034747</v>
      </c>
      <c r="L176" s="2" t="str">
        <f ca="1">IFERROR(__xludf.DUMMYFUNCTION("""COMPUTED_VALUE"""),"001920901960000")</f>
        <v>001920901960000</v>
      </c>
      <c r="M176" s="2" t="str">
        <f ca="1">IFERROR(__xludf.DUMMYFUNCTION("""COMPUTED_VALUE"""),"1920901960000")</f>
        <v>1920901960000</v>
      </c>
      <c r="N176" s="1" t="str">
        <f ca="1">IFERROR(__xludf.DUMMYFUNCTION("""COMPUTED_VALUE"""),"EEEF RAMIRO OLAVO RIBEIRO DE CASTRO")</f>
        <v>EEEF RAMIRO OLAVO RIBEIRO DE CASTRO</v>
      </c>
      <c r="O176" s="1"/>
      <c r="P176" s="1"/>
      <c r="Q176" s="1" t="s">
        <v>174</v>
      </c>
    </row>
    <row r="177" spans="1:17" x14ac:dyDescent="0.25">
      <c r="A177" s="2" t="str">
        <f ca="1">IFERROR(__xludf.DUMMYFUNCTION("""COMPUTED_VALUE"""),"REG DE INTEGRA  METROPOLITANA")</f>
        <v>REG DE INTEGRA  METROPOLITANA</v>
      </c>
      <c r="B177" s="1" t="str">
        <f ca="1">IFERROR(__xludf.DUMMYFUNCTION("""COMPUTED_VALUE"""),"DRE ANANINDEUA 5")</f>
        <v>DRE ANANINDEUA 5</v>
      </c>
      <c r="C177" s="2" t="str">
        <f ca="1">IFERROR(__xludf.DUMMYFUNCTION("""COMPUTED_VALUE"""),"DRE - ANANINDEUA / BELEM")</f>
        <v>DRE - ANANINDEUA / BELEM</v>
      </c>
      <c r="D177" s="2" t="str">
        <f ca="1">IFERROR(__xludf.DUMMYFUNCTION("""COMPUTED_VALUE"""),"Ananindeua 5")</f>
        <v>Ananindeua 5</v>
      </c>
      <c r="E177" s="2" t="str">
        <f ca="1">IFERROR(__xludf.DUMMYFUNCTION("""COMPUTED_VALUE"""),"DRE - ANANINDEUA / BELEMAnanindeua 5")</f>
        <v>DRE - ANANINDEUA / BELEMAnanindeua 5</v>
      </c>
      <c r="F177" s="1">
        <f ca="1">IFERROR(__xludf.DUMMYFUNCTION("""COMPUTED_VALUE"""),1)</f>
        <v>1</v>
      </c>
      <c r="G177" s="1" t="str">
        <f ca="1">IFERROR(__xludf.DUMMYFUNCTION("""COMPUTED_VALUE"""),"DRE ANANINDEUA 5")</f>
        <v>DRE ANANINDEUA 5</v>
      </c>
      <c r="H177" s="1" t="str">
        <f ca="1">IFERROR(__xludf.DUMMYFUNCTION("""COMPUTED_VALUE"""),"19A URE - BELEM")</f>
        <v>19A URE - BELEM</v>
      </c>
      <c r="I177" s="2" t="str">
        <f ca="1">IFERROR(__xludf.DUMMYFUNCTION("""COMPUTED_VALUE"""),"Unidade 16")</f>
        <v>Unidade 16</v>
      </c>
      <c r="J177" s="1" t="str">
        <f ca="1">IFERROR(__xludf.DUMMYFUNCTION("""COMPUTED_VALUE"""),"ANANINDEUA")</f>
        <v>ANANINDEUA</v>
      </c>
      <c r="K177" s="1">
        <f ca="1">IFERROR(__xludf.DUMMYFUNCTION("""COMPUTED_VALUE"""),15144801)</f>
        <v>15144801</v>
      </c>
      <c r="L177" s="2" t="str">
        <f ca="1">IFERROR(__xludf.DUMMYFUNCTION("""COMPUTED_VALUE"""),"001920929100000")</f>
        <v>001920929100000</v>
      </c>
      <c r="M177" s="2" t="str">
        <f ca="1">IFERROR(__xludf.DUMMYFUNCTION("""COMPUTED_VALUE"""),"1920929100000")</f>
        <v>1920929100000</v>
      </c>
      <c r="N177" s="1" t="str">
        <f ca="1">IFERROR(__xludf.DUMMYFUNCTION("""COMPUTED_VALUE"""),"EEEFM ENEIDA DE MORAES")</f>
        <v>EEEFM ENEIDA DE MORAES</v>
      </c>
      <c r="O177" s="1"/>
      <c r="P177" s="1"/>
      <c r="Q177" s="1" t="s">
        <v>174</v>
      </c>
    </row>
    <row r="178" spans="1:17" x14ac:dyDescent="0.25">
      <c r="A178" s="2" t="str">
        <f ca="1">IFERROR(__xludf.DUMMYFUNCTION("""COMPUTED_VALUE"""),"REG DE INTEGRA  METROPOLITANA")</f>
        <v>REG DE INTEGRA  METROPOLITANA</v>
      </c>
      <c r="B178" s="1" t="str">
        <f ca="1">IFERROR(__xludf.DUMMYFUNCTION("""COMPUTED_VALUE"""),"DRE ANANINDEUA 5")</f>
        <v>DRE ANANINDEUA 5</v>
      </c>
      <c r="C178" s="2" t="str">
        <f ca="1">IFERROR(__xludf.DUMMYFUNCTION("""COMPUTED_VALUE"""),"DRE - ANANINDEUA / BELEM")</f>
        <v>DRE - ANANINDEUA / BELEM</v>
      </c>
      <c r="D178" s="2" t="str">
        <f ca="1">IFERROR(__xludf.DUMMYFUNCTION("""COMPUTED_VALUE"""),"Ananindeua 5")</f>
        <v>Ananindeua 5</v>
      </c>
      <c r="E178" s="2" t="str">
        <f ca="1">IFERROR(__xludf.DUMMYFUNCTION("""COMPUTED_VALUE"""),"DRE - ANANINDEUA / BELEMAnanindeua 5")</f>
        <v>DRE - ANANINDEUA / BELEMAnanindeua 5</v>
      </c>
      <c r="F178" s="1">
        <f ca="1">IFERROR(__xludf.DUMMYFUNCTION("""COMPUTED_VALUE"""),1)</f>
        <v>1</v>
      </c>
      <c r="G178" s="1" t="str">
        <f ca="1">IFERROR(__xludf.DUMMYFUNCTION("""COMPUTED_VALUE"""),"DRE ANANINDEUA 5")</f>
        <v>DRE ANANINDEUA 5</v>
      </c>
      <c r="H178" s="1" t="str">
        <f ca="1">IFERROR(__xludf.DUMMYFUNCTION("""COMPUTED_VALUE"""),"19A URE - BELEM")</f>
        <v>19A URE - BELEM</v>
      </c>
      <c r="I178" s="2" t="str">
        <f ca="1">IFERROR(__xludf.DUMMYFUNCTION("""COMPUTED_VALUE"""),"Unidade 16")</f>
        <v>Unidade 16</v>
      </c>
      <c r="J178" s="1" t="str">
        <f ca="1">IFERROR(__xludf.DUMMYFUNCTION("""COMPUTED_VALUE"""),"ANANINDEUA")</f>
        <v>ANANINDEUA</v>
      </c>
      <c r="K178" s="1">
        <f ca="1">IFERROR(__xludf.DUMMYFUNCTION("""COMPUTED_VALUE"""),15034780)</f>
        <v>15034780</v>
      </c>
      <c r="L178" s="2" t="str">
        <f ca="1">IFERROR(__xludf.DUMMYFUNCTION("""COMPUTED_VALUE"""),"001920923770000")</f>
        <v>001920923770000</v>
      </c>
      <c r="M178" s="2" t="str">
        <f ca="1">IFERROR(__xludf.DUMMYFUNCTION("""COMPUTED_VALUE"""),"1920923770000")</f>
        <v>1920923770000</v>
      </c>
      <c r="N178" s="1" t="str">
        <f ca="1">IFERROR(__xludf.DUMMYFUNCTION("""COMPUTED_VALUE"""),"EEEFM EROTILDES FROTA AGUIAR")</f>
        <v>EEEFM EROTILDES FROTA AGUIAR</v>
      </c>
      <c r="O178" s="1"/>
      <c r="P178" s="1"/>
      <c r="Q178" s="1" t="s">
        <v>174</v>
      </c>
    </row>
    <row r="179" spans="1:17" x14ac:dyDescent="0.25">
      <c r="A179" s="2" t="str">
        <f ca="1">IFERROR(__xludf.DUMMYFUNCTION("""COMPUTED_VALUE"""),"REG DE INTEGRA  METROPOLITANA")</f>
        <v>REG DE INTEGRA  METROPOLITANA</v>
      </c>
      <c r="B179" s="1" t="str">
        <f ca="1">IFERROR(__xludf.DUMMYFUNCTION("""COMPUTED_VALUE"""),"DRE ANANINDEUA 5")</f>
        <v>DRE ANANINDEUA 5</v>
      </c>
      <c r="C179" s="2" t="str">
        <f ca="1">IFERROR(__xludf.DUMMYFUNCTION("""COMPUTED_VALUE"""),"DRE - ANANINDEUA / BELEM")</f>
        <v>DRE - ANANINDEUA / BELEM</v>
      </c>
      <c r="D179" s="2" t="str">
        <f ca="1">IFERROR(__xludf.DUMMYFUNCTION("""COMPUTED_VALUE"""),"Ananindeua 5")</f>
        <v>Ananindeua 5</v>
      </c>
      <c r="E179" s="2" t="str">
        <f ca="1">IFERROR(__xludf.DUMMYFUNCTION("""COMPUTED_VALUE"""),"DRE - ANANINDEUA / BELEMAnanindeua 5")</f>
        <v>DRE - ANANINDEUA / BELEMAnanindeua 5</v>
      </c>
      <c r="F179" s="1">
        <f ca="1">IFERROR(__xludf.DUMMYFUNCTION("""COMPUTED_VALUE"""),1)</f>
        <v>1</v>
      </c>
      <c r="G179" s="1" t="str">
        <f ca="1">IFERROR(__xludf.DUMMYFUNCTION("""COMPUTED_VALUE"""),"DRE ANANINDEUA 5")</f>
        <v>DRE ANANINDEUA 5</v>
      </c>
      <c r="H179" s="1" t="str">
        <f ca="1">IFERROR(__xludf.DUMMYFUNCTION("""COMPUTED_VALUE"""),"19A URE - BELEM")</f>
        <v>19A URE - BELEM</v>
      </c>
      <c r="I179" s="2" t="str">
        <f ca="1">IFERROR(__xludf.DUMMYFUNCTION("""COMPUTED_VALUE"""),"Unidade 16")</f>
        <v>Unidade 16</v>
      </c>
      <c r="J179" s="1" t="str">
        <f ca="1">IFERROR(__xludf.DUMMYFUNCTION("""COMPUTED_VALUE"""),"ANANINDEUA")</f>
        <v>ANANINDEUA</v>
      </c>
      <c r="K179" s="1">
        <f ca="1">IFERROR(__xludf.DUMMYFUNCTION("""COMPUTED_VALUE"""),15035581)</f>
        <v>15035581</v>
      </c>
      <c r="L179" s="2" t="str">
        <f ca="1">IFERROR(__xludf.DUMMYFUNCTION("""COMPUTED_VALUE"""),"001920931190000")</f>
        <v>001920931190000</v>
      </c>
      <c r="M179" s="2" t="str">
        <f ca="1">IFERROR(__xludf.DUMMYFUNCTION("""COMPUTED_VALUE"""),"1920931190000")</f>
        <v>1920931190000</v>
      </c>
      <c r="N179" s="1" t="str">
        <f ca="1">IFERROR(__xludf.DUMMYFUNCTION("""COMPUTED_VALUE"""),"EEEFM INSTITUTO BOM PASTOR")</f>
        <v>EEEFM INSTITUTO BOM PASTOR</v>
      </c>
      <c r="O179" s="1"/>
      <c r="P179" s="1"/>
      <c r="Q179" s="1" t="s">
        <v>174</v>
      </c>
    </row>
    <row r="180" spans="1:17" x14ac:dyDescent="0.25">
      <c r="A180" s="2" t="str">
        <f ca="1">IFERROR(__xludf.DUMMYFUNCTION("""COMPUTED_VALUE"""),"REG DE INTEGRA  METROPOLITANA")</f>
        <v>REG DE INTEGRA  METROPOLITANA</v>
      </c>
      <c r="B180" s="1" t="str">
        <f ca="1">IFERROR(__xludf.DUMMYFUNCTION("""COMPUTED_VALUE"""),"DRE ANANINDEUA 5")</f>
        <v>DRE ANANINDEUA 5</v>
      </c>
      <c r="C180" s="2" t="str">
        <f ca="1">IFERROR(__xludf.DUMMYFUNCTION("""COMPUTED_VALUE"""),"DRE - ANANINDEUA / BELEM")</f>
        <v>DRE - ANANINDEUA / BELEM</v>
      </c>
      <c r="D180" s="2" t="str">
        <f ca="1">IFERROR(__xludf.DUMMYFUNCTION("""COMPUTED_VALUE"""),"Ananindeua 5")</f>
        <v>Ananindeua 5</v>
      </c>
      <c r="E180" s="2" t="str">
        <f ca="1">IFERROR(__xludf.DUMMYFUNCTION("""COMPUTED_VALUE"""),"DRE - ANANINDEUA / BELEMAnanindeua 5")</f>
        <v>DRE - ANANINDEUA / BELEMAnanindeua 5</v>
      </c>
      <c r="F180" s="1">
        <f ca="1">IFERROR(__xludf.DUMMYFUNCTION("""COMPUTED_VALUE"""),1)</f>
        <v>1</v>
      </c>
      <c r="G180" s="1" t="str">
        <f ca="1">IFERROR(__xludf.DUMMYFUNCTION("""COMPUTED_VALUE"""),"DRE ANANINDEUA 5")</f>
        <v>DRE ANANINDEUA 5</v>
      </c>
      <c r="H180" s="1" t="str">
        <f ca="1">IFERROR(__xludf.DUMMYFUNCTION("""COMPUTED_VALUE"""),"19A URE - BELEM")</f>
        <v>19A URE - BELEM</v>
      </c>
      <c r="I180" s="2" t="str">
        <f ca="1">IFERROR(__xludf.DUMMYFUNCTION("""COMPUTED_VALUE"""),"Unidade 16")</f>
        <v>Unidade 16</v>
      </c>
      <c r="J180" s="1" t="str">
        <f ca="1">IFERROR(__xludf.DUMMYFUNCTION("""COMPUTED_VALUE"""),"ANANINDEUA")</f>
        <v>ANANINDEUA</v>
      </c>
      <c r="K180" s="1">
        <f ca="1">IFERROR(__xludf.DUMMYFUNCTION("""COMPUTED_VALUE"""),15034631)</f>
        <v>15034631</v>
      </c>
      <c r="L180" s="2" t="str">
        <f ca="1">IFERROR(__xludf.DUMMYFUNCTION("""COMPUTED_VALUE"""),"001920902700000")</f>
        <v>001920902700000</v>
      </c>
      <c r="M180" s="2" t="str">
        <f ca="1">IFERROR(__xludf.DUMMYFUNCTION("""COMPUTED_VALUE"""),"1920902700000")</f>
        <v>1920902700000</v>
      </c>
      <c r="N180" s="1" t="str">
        <f ca="1">IFERROR(__xludf.DUMMYFUNCTION("""COMPUTED_VALUE"""),"EEEFM JULIA SEFFER")</f>
        <v>EEEFM JULIA SEFFER</v>
      </c>
      <c r="O180" s="1"/>
      <c r="P180" s="1"/>
      <c r="Q180" s="1" t="s">
        <v>174</v>
      </c>
    </row>
    <row r="181" spans="1:17" x14ac:dyDescent="0.25">
      <c r="A181" s="2" t="str">
        <f ca="1">IFERROR(__xludf.DUMMYFUNCTION("""COMPUTED_VALUE"""),"REG DE INTEGRA  METROPOLITANA")</f>
        <v>REG DE INTEGRA  METROPOLITANA</v>
      </c>
      <c r="B181" s="1" t="str">
        <f ca="1">IFERROR(__xludf.DUMMYFUNCTION("""COMPUTED_VALUE"""),"DRE ANANINDEUA 5")</f>
        <v>DRE ANANINDEUA 5</v>
      </c>
      <c r="C181" s="2" t="str">
        <f ca="1">IFERROR(__xludf.DUMMYFUNCTION("""COMPUTED_VALUE"""),"DRE - ANANINDEUA / BELEM")</f>
        <v>DRE - ANANINDEUA / BELEM</v>
      </c>
      <c r="D181" s="2" t="str">
        <f ca="1">IFERROR(__xludf.DUMMYFUNCTION("""COMPUTED_VALUE"""),"Ananindeua 5")</f>
        <v>Ananindeua 5</v>
      </c>
      <c r="E181" s="2" t="str">
        <f ca="1">IFERROR(__xludf.DUMMYFUNCTION("""COMPUTED_VALUE"""),"DRE - ANANINDEUA / BELEMAnanindeua 5")</f>
        <v>DRE - ANANINDEUA / BELEMAnanindeua 5</v>
      </c>
      <c r="F181" s="1">
        <f ca="1">IFERROR(__xludf.DUMMYFUNCTION("""COMPUTED_VALUE"""),1)</f>
        <v>1</v>
      </c>
      <c r="G181" s="1" t="str">
        <f ca="1">IFERROR(__xludf.DUMMYFUNCTION("""COMPUTED_VALUE"""),"DRE ANANINDEUA 5")</f>
        <v>DRE ANANINDEUA 5</v>
      </c>
      <c r="H181" s="1" t="str">
        <f ca="1">IFERROR(__xludf.DUMMYFUNCTION("""COMPUTED_VALUE"""),"19A URE - BELEM")</f>
        <v>19A URE - BELEM</v>
      </c>
      <c r="I181" s="2" t="str">
        <f ca="1">IFERROR(__xludf.DUMMYFUNCTION("""COMPUTED_VALUE"""),"Unidade 16")</f>
        <v>Unidade 16</v>
      </c>
      <c r="J181" s="1" t="str">
        <f ca="1">IFERROR(__xludf.DUMMYFUNCTION("""COMPUTED_VALUE"""),"ANANINDEUA")</f>
        <v>ANANINDEUA</v>
      </c>
      <c r="K181" s="1">
        <f ca="1">IFERROR(__xludf.DUMMYFUNCTION("""COMPUTED_VALUE"""),15033864)</f>
        <v>15033864</v>
      </c>
      <c r="L181" s="2" t="str">
        <f ca="1">IFERROR(__xludf.DUMMYFUNCTION("""COMPUTED_VALUE"""),"001920937460000")</f>
        <v>001920937460000</v>
      </c>
      <c r="M181" s="2" t="str">
        <f ca="1">IFERROR(__xludf.DUMMYFUNCTION("""COMPUTED_VALUE"""),"1920937460000")</f>
        <v>1920937460000</v>
      </c>
      <c r="N181" s="1" t="str">
        <f ca="1">IFERROR(__xludf.DUMMYFUNCTION("""COMPUTED_VALUE"""),"EEEFM NOVO HORIZONTE")</f>
        <v>EEEFM NOVO HORIZONTE</v>
      </c>
      <c r="O181" s="1"/>
      <c r="P181" s="1"/>
      <c r="Q181" s="1" t="s">
        <v>174</v>
      </c>
    </row>
    <row r="182" spans="1:17" x14ac:dyDescent="0.25">
      <c r="A182" s="2" t="str">
        <f ca="1">IFERROR(__xludf.DUMMYFUNCTION("""COMPUTED_VALUE"""),"REG DE INTEGRA  METROPOLITANA")</f>
        <v>REG DE INTEGRA  METROPOLITANA</v>
      </c>
      <c r="B182" s="1" t="str">
        <f ca="1">IFERROR(__xludf.DUMMYFUNCTION("""COMPUTED_VALUE"""),"DRE ANANINDEUA 5")</f>
        <v>DRE ANANINDEUA 5</v>
      </c>
      <c r="C182" s="2" t="str">
        <f ca="1">IFERROR(__xludf.DUMMYFUNCTION("""COMPUTED_VALUE"""),"DRE - ANANINDEUA / BELEM")</f>
        <v>DRE - ANANINDEUA / BELEM</v>
      </c>
      <c r="D182" s="2" t="str">
        <f ca="1">IFERROR(__xludf.DUMMYFUNCTION("""COMPUTED_VALUE"""),"Ananindeua 5")</f>
        <v>Ananindeua 5</v>
      </c>
      <c r="E182" s="2" t="str">
        <f ca="1">IFERROR(__xludf.DUMMYFUNCTION("""COMPUTED_VALUE"""),"DRE - ANANINDEUA / BELEMAnanindeua 5")</f>
        <v>DRE - ANANINDEUA / BELEMAnanindeua 5</v>
      </c>
      <c r="F182" s="1">
        <f ca="1">IFERROR(__xludf.DUMMYFUNCTION("""COMPUTED_VALUE"""),1)</f>
        <v>1</v>
      </c>
      <c r="G182" s="1" t="str">
        <f ca="1">IFERROR(__xludf.DUMMYFUNCTION("""COMPUTED_VALUE"""),"DRE ANANINDEUA 5")</f>
        <v>DRE ANANINDEUA 5</v>
      </c>
      <c r="H182" s="1" t="str">
        <f ca="1">IFERROR(__xludf.DUMMYFUNCTION("""COMPUTED_VALUE"""),"19A URE - BELEM")</f>
        <v>19A URE - BELEM</v>
      </c>
      <c r="I182" s="2" t="str">
        <f ca="1">IFERROR(__xludf.DUMMYFUNCTION("""COMPUTED_VALUE"""),"Unidade 16")</f>
        <v>Unidade 16</v>
      </c>
      <c r="J182" s="1" t="str">
        <f ca="1">IFERROR(__xludf.DUMMYFUNCTION("""COMPUTED_VALUE"""),"ANANINDEUA")</f>
        <v>ANANINDEUA</v>
      </c>
      <c r="K182" s="1">
        <f ca="1">IFERROR(__xludf.DUMMYFUNCTION("""COMPUTED_VALUE"""),15034674)</f>
        <v>15034674</v>
      </c>
      <c r="L182" s="2" t="str">
        <f ca="1">IFERROR(__xludf.DUMMYFUNCTION("""COMPUTED_VALUE"""),"001920902580000")</f>
        <v>001920902580000</v>
      </c>
      <c r="M182" s="2" t="str">
        <f ca="1">IFERROR(__xludf.DUMMYFUNCTION("""COMPUTED_VALUE"""),"1920902580000")</f>
        <v>1920902580000</v>
      </c>
      <c r="N182" s="1" t="str">
        <f ca="1">IFERROR(__xludf.DUMMYFUNCTION("""COMPUTED_VALUE"""),"EEEFM OSCARINA PENALBER")</f>
        <v>EEEFM OSCARINA PENALBER</v>
      </c>
      <c r="O182" s="1"/>
      <c r="P182" s="1"/>
      <c r="Q182" s="1" t="s">
        <v>174</v>
      </c>
    </row>
    <row r="183" spans="1:17" x14ac:dyDescent="0.25">
      <c r="A183" s="2" t="str">
        <f ca="1">IFERROR(__xludf.DUMMYFUNCTION("""COMPUTED_VALUE"""),"REG DE INTEGRA  METROPOLITANA")</f>
        <v>REG DE INTEGRA  METROPOLITANA</v>
      </c>
      <c r="B183" s="1" t="str">
        <f ca="1">IFERROR(__xludf.DUMMYFUNCTION("""COMPUTED_VALUE"""),"DRE ANANINDEUA 5")</f>
        <v>DRE ANANINDEUA 5</v>
      </c>
      <c r="C183" s="2" t="str">
        <f ca="1">IFERROR(__xludf.DUMMYFUNCTION("""COMPUTED_VALUE"""),"DRE - ANANINDEUA / BELEM")</f>
        <v>DRE - ANANINDEUA / BELEM</v>
      </c>
      <c r="D183" s="2" t="str">
        <f ca="1">IFERROR(__xludf.DUMMYFUNCTION("""COMPUTED_VALUE"""),"Ananindeua 5")</f>
        <v>Ananindeua 5</v>
      </c>
      <c r="E183" s="2" t="str">
        <f ca="1">IFERROR(__xludf.DUMMYFUNCTION("""COMPUTED_VALUE"""),"DRE - ANANINDEUA / BELEMAnanindeua 5")</f>
        <v>DRE - ANANINDEUA / BELEMAnanindeua 5</v>
      </c>
      <c r="F183" s="1">
        <f ca="1">IFERROR(__xludf.DUMMYFUNCTION("""COMPUTED_VALUE"""),1)</f>
        <v>1</v>
      </c>
      <c r="G183" s="1" t="str">
        <f ca="1">IFERROR(__xludf.DUMMYFUNCTION("""COMPUTED_VALUE"""),"DRE ANANINDEUA 5")</f>
        <v>DRE ANANINDEUA 5</v>
      </c>
      <c r="H183" s="1" t="str">
        <f ca="1">IFERROR(__xludf.DUMMYFUNCTION("""COMPUTED_VALUE"""),"19A URE - BELEM")</f>
        <v>19A URE - BELEM</v>
      </c>
      <c r="I183" s="2" t="str">
        <f ca="1">IFERROR(__xludf.DUMMYFUNCTION("""COMPUTED_VALUE"""),"Unidade 16")</f>
        <v>Unidade 16</v>
      </c>
      <c r="J183" s="1" t="str">
        <f ca="1">IFERROR(__xludf.DUMMYFUNCTION("""COMPUTED_VALUE"""),"ANANINDEUA")</f>
        <v>ANANINDEUA</v>
      </c>
      <c r="K183" s="1">
        <f ca="1">IFERROR(__xludf.DUMMYFUNCTION("""COMPUTED_VALUE"""),15034143)</f>
        <v>15034143</v>
      </c>
      <c r="L183" s="2" t="str">
        <f ca="1">IFERROR(__xludf.DUMMYFUNCTION("""COMPUTED_VALUE"""),"001920931820000")</f>
        <v>001920931820000</v>
      </c>
      <c r="M183" s="2" t="str">
        <f ca="1">IFERROR(__xludf.DUMMYFUNCTION("""COMPUTED_VALUE"""),"1920931820000")</f>
        <v>1920931820000</v>
      </c>
      <c r="N183" s="1" t="str">
        <f ca="1">IFERROR(__xludf.DUMMYFUNCTION("""COMPUTED_VALUE"""),"EEEFM PRINCIPE DA PAZ")</f>
        <v>EEEFM PRINCIPE DA PAZ</v>
      </c>
      <c r="O183" s="1"/>
      <c r="P183" s="1"/>
      <c r="Q183" s="1" t="s">
        <v>174</v>
      </c>
    </row>
    <row r="184" spans="1:17" x14ac:dyDescent="0.25">
      <c r="A184" s="2" t="str">
        <f ca="1">IFERROR(__xludf.DUMMYFUNCTION("""COMPUTED_VALUE"""),"REG DE INTEGRA  METROPOLITANA")</f>
        <v>REG DE INTEGRA  METROPOLITANA</v>
      </c>
      <c r="B184" s="1" t="str">
        <f ca="1">IFERROR(__xludf.DUMMYFUNCTION("""COMPUTED_VALUE"""),"DRE ANANINDEUA 5")</f>
        <v>DRE ANANINDEUA 5</v>
      </c>
      <c r="C184" s="2" t="str">
        <f ca="1">IFERROR(__xludf.DUMMYFUNCTION("""COMPUTED_VALUE"""),"DRE - ANANINDEUA / BELEM")</f>
        <v>DRE - ANANINDEUA / BELEM</v>
      </c>
      <c r="D184" s="2" t="str">
        <f ca="1">IFERROR(__xludf.DUMMYFUNCTION("""COMPUTED_VALUE"""),"Ananindeua 5")</f>
        <v>Ananindeua 5</v>
      </c>
      <c r="E184" s="2" t="str">
        <f ca="1">IFERROR(__xludf.DUMMYFUNCTION("""COMPUTED_VALUE"""),"DRE - ANANINDEUA / BELEMAnanindeua 5")</f>
        <v>DRE - ANANINDEUA / BELEMAnanindeua 5</v>
      </c>
      <c r="F184" s="1">
        <f ca="1">IFERROR(__xludf.DUMMYFUNCTION("""COMPUTED_VALUE"""),1)</f>
        <v>1</v>
      </c>
      <c r="G184" s="1" t="str">
        <f ca="1">IFERROR(__xludf.DUMMYFUNCTION("""COMPUTED_VALUE"""),"DRE ANANINDEUA 5")</f>
        <v>DRE ANANINDEUA 5</v>
      </c>
      <c r="H184" s="1" t="str">
        <f ca="1">IFERROR(__xludf.DUMMYFUNCTION("""COMPUTED_VALUE"""),"19A URE - BELEM")</f>
        <v>19A URE - BELEM</v>
      </c>
      <c r="I184" s="2" t="str">
        <f ca="1">IFERROR(__xludf.DUMMYFUNCTION("""COMPUTED_VALUE"""),"Unidade 16")</f>
        <v>Unidade 16</v>
      </c>
      <c r="J184" s="1" t="str">
        <f ca="1">IFERROR(__xludf.DUMMYFUNCTION("""COMPUTED_VALUE"""),"ANANINDEUA")</f>
        <v>ANANINDEUA</v>
      </c>
      <c r="K184" s="1">
        <f ca="1">IFERROR(__xludf.DUMMYFUNCTION("""COMPUTED_VALUE"""),15035557)</f>
        <v>15035557</v>
      </c>
      <c r="L184" s="2" t="str">
        <f ca="1">IFERROR(__xludf.DUMMYFUNCTION("""COMPUTED_VALUE"""),"001920932920000")</f>
        <v>001920932920000</v>
      </c>
      <c r="M184" s="2" t="str">
        <f ca="1">IFERROR(__xludf.DUMMYFUNCTION("""COMPUTED_VALUE"""),"1920932920000")</f>
        <v>1920932920000</v>
      </c>
      <c r="N184" s="1" t="str">
        <f ca="1">IFERROR(__xludf.DUMMYFUNCTION("""COMPUTED_VALUE"""),"EEEFM RAINHA DA PAZ")</f>
        <v>EEEFM RAINHA DA PAZ</v>
      </c>
      <c r="O184" s="1"/>
      <c r="P184" s="1"/>
      <c r="Q184" s="1" t="s">
        <v>174</v>
      </c>
    </row>
    <row r="185" spans="1:17" x14ac:dyDescent="0.25">
      <c r="A185" s="2" t="str">
        <f ca="1">IFERROR(__xludf.DUMMYFUNCTION("""COMPUTED_VALUE"""),"REG DE INTEGRA  METROPOLITANA")</f>
        <v>REG DE INTEGRA  METROPOLITANA</v>
      </c>
      <c r="B185" s="1" t="str">
        <f ca="1">IFERROR(__xludf.DUMMYFUNCTION("""COMPUTED_VALUE"""),"DRE ANANINDEUA 5")</f>
        <v>DRE ANANINDEUA 5</v>
      </c>
      <c r="C185" s="2" t="str">
        <f ca="1">IFERROR(__xludf.DUMMYFUNCTION("""COMPUTED_VALUE"""),"DRE - ANANINDEUA / BELEM")</f>
        <v>DRE - ANANINDEUA / BELEM</v>
      </c>
      <c r="D185" s="2" t="str">
        <f ca="1">IFERROR(__xludf.DUMMYFUNCTION("""COMPUTED_VALUE"""),"Ananindeua 5")</f>
        <v>Ananindeua 5</v>
      </c>
      <c r="E185" s="2" t="str">
        <f ca="1">IFERROR(__xludf.DUMMYFUNCTION("""COMPUTED_VALUE"""),"DRE - ANANINDEUA / BELEMAnanindeua 5")</f>
        <v>DRE - ANANINDEUA / BELEMAnanindeua 5</v>
      </c>
      <c r="F185" s="1">
        <f ca="1">IFERROR(__xludf.DUMMYFUNCTION("""COMPUTED_VALUE"""),1)</f>
        <v>1</v>
      </c>
      <c r="G185" s="1" t="str">
        <f ca="1">IFERROR(__xludf.DUMMYFUNCTION("""COMPUTED_VALUE"""),"DRE ANANINDEUA 5")</f>
        <v>DRE ANANINDEUA 5</v>
      </c>
      <c r="H185" s="1" t="str">
        <f ca="1">IFERROR(__xludf.DUMMYFUNCTION("""COMPUTED_VALUE"""),"19A URE - BELEM")</f>
        <v>19A URE - BELEM</v>
      </c>
      <c r="I185" s="2" t="str">
        <f ca="1">IFERROR(__xludf.DUMMYFUNCTION("""COMPUTED_VALUE"""),"Unidade 16")</f>
        <v>Unidade 16</v>
      </c>
      <c r="J185" s="1" t="str">
        <f ca="1">IFERROR(__xludf.DUMMYFUNCTION("""COMPUTED_VALUE"""),"BELEM")</f>
        <v>BELEM</v>
      </c>
      <c r="K185" s="1">
        <f ca="1">IFERROR(__xludf.DUMMYFUNCTION("""COMPUTED_VALUE"""),15043045)</f>
        <v>15043045</v>
      </c>
      <c r="L185" s="2" t="str">
        <f ca="1">IFERROR(__xludf.DUMMYFUNCTION("""COMPUTED_VALUE"""),"001920934670000")</f>
        <v>001920934670000</v>
      </c>
      <c r="M185" s="2" t="str">
        <f ca="1">IFERROR(__xludf.DUMMYFUNCTION("""COMPUTED_VALUE"""),"1920934670000")</f>
        <v>1920934670000</v>
      </c>
      <c r="N185" s="1" t="str">
        <f ca="1">IFERROR(__xludf.DUMMYFUNCTION("""COMPUTED_VALUE"""),"EEEF EUCLIDES DA CUNHA")</f>
        <v>EEEF EUCLIDES DA CUNHA</v>
      </c>
      <c r="O185" s="1"/>
      <c r="P185" s="1"/>
      <c r="Q185" s="1" t="s">
        <v>174</v>
      </c>
    </row>
    <row r="186" spans="1:17" x14ac:dyDescent="0.25">
      <c r="A186" s="2" t="str">
        <f ca="1">IFERROR(__xludf.DUMMYFUNCTION("""COMPUTED_VALUE"""),"REG DE INTEGRA  METROPOLITANA")</f>
        <v>REG DE INTEGRA  METROPOLITANA</v>
      </c>
      <c r="B186" s="1" t="str">
        <f ca="1">IFERROR(__xludf.DUMMYFUNCTION("""COMPUTED_VALUE"""),"DRE BELEM 1")</f>
        <v>DRE BELEM 1</v>
      </c>
      <c r="C186" s="2" t="str">
        <f ca="1">IFERROR(__xludf.DUMMYFUNCTION("""COMPUTED_VALUE"""),"DRE - ANANINDEUA / BELEM")</f>
        <v>DRE - ANANINDEUA / BELEM</v>
      </c>
      <c r="D186" s="2" t="str">
        <f ca="1">IFERROR(__xludf.DUMMYFUNCTION("""COMPUTED_VALUE"""),"Belem 1")</f>
        <v>Belem 1</v>
      </c>
      <c r="E186" s="2" t="str">
        <f ca="1">IFERROR(__xludf.DUMMYFUNCTION("""COMPUTED_VALUE"""),"DRE - ANANINDEUA / BELEMBelem 1")</f>
        <v>DRE - ANANINDEUA / BELEMBelem 1</v>
      </c>
      <c r="F186" s="1">
        <f ca="1">IFERROR(__xludf.DUMMYFUNCTION("""COMPUTED_VALUE"""),2)</f>
        <v>2</v>
      </c>
      <c r="G186" s="1" t="str">
        <f ca="1">IFERROR(__xludf.DUMMYFUNCTION("""COMPUTED_VALUE"""),"DRE BELEM 1")</f>
        <v>DRE BELEM 1</v>
      </c>
      <c r="H186" s="1" t="str">
        <f ca="1">IFERROR(__xludf.DUMMYFUNCTION("""COMPUTED_VALUE"""),"19A URE - BELEM")</f>
        <v>19A URE - BELEM</v>
      </c>
      <c r="I186" s="2" t="str">
        <f ca="1">IFERROR(__xludf.DUMMYFUNCTION("""COMPUTED_VALUE"""),"Unidade 1")</f>
        <v>Unidade 1</v>
      </c>
      <c r="J186" s="1" t="str">
        <f ca="1">IFERROR(__xludf.DUMMYFUNCTION("""COMPUTED_VALUE"""),"BELEM")</f>
        <v>BELEM</v>
      </c>
      <c r="K186" s="1">
        <f ca="1">IFERROR(__xludf.DUMMYFUNCTION("""COMPUTED_VALUE"""),15042936)</f>
        <v>15042936</v>
      </c>
      <c r="L186" s="2" t="str">
        <f ca="1">IFERROR(__xludf.DUMMYFUNCTION("""COMPUTED_VALUE"""),"001920923820000")</f>
        <v>001920923820000</v>
      </c>
      <c r="M186" s="2" t="str">
        <f ca="1">IFERROR(__xludf.DUMMYFUNCTION("""COMPUTED_VALUE"""),"1920923820000")</f>
        <v>1920923820000</v>
      </c>
      <c r="N186" s="1" t="str">
        <f ca="1">IFERROR(__xludf.DUMMYFUNCTION("""COMPUTED_VALUE"""),"EEEF DR PAULO FONTELLES DE LIMA")</f>
        <v>EEEF DR PAULO FONTELLES DE LIMA</v>
      </c>
      <c r="O186" s="1"/>
      <c r="P186" s="1"/>
      <c r="Q186" s="1" t="s">
        <v>192</v>
      </c>
    </row>
    <row r="187" spans="1:17" x14ac:dyDescent="0.25">
      <c r="A187" s="2" t="str">
        <f ca="1">IFERROR(__xludf.DUMMYFUNCTION("""COMPUTED_VALUE"""),"REG DE INTEGRA  METROPOLITANA")</f>
        <v>REG DE INTEGRA  METROPOLITANA</v>
      </c>
      <c r="B187" s="1" t="str">
        <f ca="1">IFERROR(__xludf.DUMMYFUNCTION("""COMPUTED_VALUE"""),"DRE BELEM 1")</f>
        <v>DRE BELEM 1</v>
      </c>
      <c r="C187" s="2" t="str">
        <f ca="1">IFERROR(__xludf.DUMMYFUNCTION("""COMPUTED_VALUE"""),"DRE - ANANINDEUA / BELEM")</f>
        <v>DRE - ANANINDEUA / BELEM</v>
      </c>
      <c r="D187" s="2" t="str">
        <f ca="1">IFERROR(__xludf.DUMMYFUNCTION("""COMPUTED_VALUE"""),"Belem 1")</f>
        <v>Belem 1</v>
      </c>
      <c r="E187" s="2" t="str">
        <f ca="1">IFERROR(__xludf.DUMMYFUNCTION("""COMPUTED_VALUE"""),"DRE - ANANINDEUA / BELEMBelem 1")</f>
        <v>DRE - ANANINDEUA / BELEMBelem 1</v>
      </c>
      <c r="F187" s="1">
        <f ca="1">IFERROR(__xludf.DUMMYFUNCTION("""COMPUTED_VALUE"""),2)</f>
        <v>2</v>
      </c>
      <c r="G187" s="1" t="str">
        <f ca="1">IFERROR(__xludf.DUMMYFUNCTION("""COMPUTED_VALUE"""),"DRE BELEM 1")</f>
        <v>DRE BELEM 1</v>
      </c>
      <c r="H187" s="1" t="str">
        <f ca="1">IFERROR(__xludf.DUMMYFUNCTION("""COMPUTED_VALUE"""),"19A URE - BELEM")</f>
        <v>19A URE - BELEM</v>
      </c>
      <c r="I187" s="2" t="str">
        <f ca="1">IFERROR(__xludf.DUMMYFUNCTION("""COMPUTED_VALUE"""),"Unidade 1")</f>
        <v>Unidade 1</v>
      </c>
      <c r="J187" s="1" t="str">
        <f ca="1">IFERROR(__xludf.DUMMYFUNCTION("""COMPUTED_VALUE"""),"BELEM")</f>
        <v>BELEM</v>
      </c>
      <c r="K187" s="1">
        <f ca="1">IFERROR(__xludf.DUMMYFUNCTION("""COMPUTED_VALUE"""),15517683)</f>
        <v>15517683</v>
      </c>
      <c r="L187" s="2" t="str">
        <f ca="1">IFERROR(__xludf.DUMMYFUNCTION("""COMPUTED_VALUE"""),"001920933350000")</f>
        <v>001920933350000</v>
      </c>
      <c r="M187" s="2" t="str">
        <f ca="1">IFERROR(__xludf.DUMMYFUNCTION("""COMPUTED_VALUE"""),"1920933350000")</f>
        <v>1920933350000</v>
      </c>
      <c r="N187" s="1" t="str">
        <f ca="1">IFERROR(__xludf.DUMMYFUNCTION("""COMPUTED_VALUE"""),"EEEF ESTRADA NOVA")</f>
        <v>EEEF ESTRADA NOVA</v>
      </c>
      <c r="O187" s="1"/>
      <c r="P187" s="1"/>
      <c r="Q187" s="1" t="s">
        <v>192</v>
      </c>
    </row>
    <row r="188" spans="1:17" x14ac:dyDescent="0.25">
      <c r="A188" s="2" t="str">
        <f ca="1">IFERROR(__xludf.DUMMYFUNCTION("""COMPUTED_VALUE"""),"REG DE INTEGRA  METROPOLITANA")</f>
        <v>REG DE INTEGRA  METROPOLITANA</v>
      </c>
      <c r="B188" s="1" t="str">
        <f ca="1">IFERROR(__xludf.DUMMYFUNCTION("""COMPUTED_VALUE"""),"DRE BELEM 1")</f>
        <v>DRE BELEM 1</v>
      </c>
      <c r="C188" s="2" t="str">
        <f ca="1">IFERROR(__xludf.DUMMYFUNCTION("""COMPUTED_VALUE"""),"DRE - ANANINDEUA / BELEM")</f>
        <v>DRE - ANANINDEUA / BELEM</v>
      </c>
      <c r="D188" s="2" t="str">
        <f ca="1">IFERROR(__xludf.DUMMYFUNCTION("""COMPUTED_VALUE"""),"Belem 1")</f>
        <v>Belem 1</v>
      </c>
      <c r="E188" s="2" t="str">
        <f ca="1">IFERROR(__xludf.DUMMYFUNCTION("""COMPUTED_VALUE"""),"DRE - ANANINDEUA / BELEMBelem 1")</f>
        <v>DRE - ANANINDEUA / BELEMBelem 1</v>
      </c>
      <c r="F188" s="1">
        <f ca="1">IFERROR(__xludf.DUMMYFUNCTION("""COMPUTED_VALUE"""),2)</f>
        <v>2</v>
      </c>
      <c r="G188" s="1" t="str">
        <f ca="1">IFERROR(__xludf.DUMMYFUNCTION("""COMPUTED_VALUE"""),"DRE BELEM 1")</f>
        <v>DRE BELEM 1</v>
      </c>
      <c r="H188" s="1" t="str">
        <f ca="1">IFERROR(__xludf.DUMMYFUNCTION("""COMPUTED_VALUE"""),"19A URE - BELEM")</f>
        <v>19A URE - BELEM</v>
      </c>
      <c r="I188" s="2" t="str">
        <f ca="1">IFERROR(__xludf.DUMMYFUNCTION("""COMPUTED_VALUE"""),"Unidade 1")</f>
        <v>Unidade 1</v>
      </c>
      <c r="J188" s="1" t="str">
        <f ca="1">IFERROR(__xludf.DUMMYFUNCTION("""COMPUTED_VALUE"""),"BELEM")</f>
        <v>BELEM</v>
      </c>
      <c r="K188" s="1">
        <f ca="1">IFERROR(__xludf.DUMMYFUNCTION("""COMPUTED_VALUE"""),15040445)</f>
        <v>15040445</v>
      </c>
      <c r="L188" s="2" t="str">
        <f ca="1">IFERROR(__xludf.DUMMYFUNCTION("""COMPUTED_VALUE"""),"001920901240000")</f>
        <v>001920901240000</v>
      </c>
      <c r="M188" s="2" t="str">
        <f ca="1">IFERROR(__xludf.DUMMYFUNCTION("""COMPUTED_VALUE"""),"1920901240000")</f>
        <v>1920901240000</v>
      </c>
      <c r="N188" s="1" t="str">
        <f ca="1">IFERROR(__xludf.DUMMYFUNCTION("""COMPUTED_VALUE"""),"EEEF MARIO CARNEIRO DE MIRANDA")</f>
        <v>EEEF MARIO CARNEIRO DE MIRANDA</v>
      </c>
      <c r="O188" s="1"/>
      <c r="P188" s="1"/>
      <c r="Q188" s="1" t="s">
        <v>192</v>
      </c>
    </row>
    <row r="189" spans="1:17" x14ac:dyDescent="0.25">
      <c r="A189" s="2" t="str">
        <f ca="1">IFERROR(__xludf.DUMMYFUNCTION("""COMPUTED_VALUE"""),"REG DE INTEGRA  METROPOLITANA")</f>
        <v>REG DE INTEGRA  METROPOLITANA</v>
      </c>
      <c r="B189" s="1" t="str">
        <f ca="1">IFERROR(__xludf.DUMMYFUNCTION("""COMPUTED_VALUE"""),"DRE BELEM 1")</f>
        <v>DRE BELEM 1</v>
      </c>
      <c r="C189" s="2" t="str">
        <f ca="1">IFERROR(__xludf.DUMMYFUNCTION("""COMPUTED_VALUE"""),"DRE - ANANINDEUA / BELEM")</f>
        <v>DRE - ANANINDEUA / BELEM</v>
      </c>
      <c r="D189" s="2" t="str">
        <f ca="1">IFERROR(__xludf.DUMMYFUNCTION("""COMPUTED_VALUE"""),"Belem 1")</f>
        <v>Belem 1</v>
      </c>
      <c r="E189" s="2" t="str">
        <f ca="1">IFERROR(__xludf.DUMMYFUNCTION("""COMPUTED_VALUE"""),"DRE - ANANINDEUA / BELEMBelem 1")</f>
        <v>DRE - ANANINDEUA / BELEMBelem 1</v>
      </c>
      <c r="F189" s="1">
        <f ca="1">IFERROR(__xludf.DUMMYFUNCTION("""COMPUTED_VALUE"""),2)</f>
        <v>2</v>
      </c>
      <c r="G189" s="1" t="str">
        <f ca="1">IFERROR(__xludf.DUMMYFUNCTION("""COMPUTED_VALUE"""),"DRE BELEM 1")</f>
        <v>DRE BELEM 1</v>
      </c>
      <c r="H189" s="1" t="str">
        <f ca="1">IFERROR(__xludf.DUMMYFUNCTION("""COMPUTED_VALUE"""),"19A URE - BELEM")</f>
        <v>19A URE - BELEM</v>
      </c>
      <c r="I189" s="2" t="str">
        <f ca="1">IFERROR(__xludf.DUMMYFUNCTION("""COMPUTED_VALUE"""),"Unidade 1")</f>
        <v>Unidade 1</v>
      </c>
      <c r="J189" s="1" t="str">
        <f ca="1">IFERROR(__xludf.DUMMYFUNCTION("""COMPUTED_VALUE"""),"BELEM")</f>
        <v>BELEM</v>
      </c>
      <c r="K189" s="1">
        <f ca="1">IFERROR(__xludf.DUMMYFUNCTION("""COMPUTED_VALUE"""),15161536)</f>
        <v>15161536</v>
      </c>
      <c r="L189" s="2" t="str">
        <f ca="1">IFERROR(__xludf.DUMMYFUNCTION("""COMPUTED_VALUE"""),"001920937730000")</f>
        <v>001920937730000</v>
      </c>
      <c r="M189" s="2" t="str">
        <f ca="1">IFERROR(__xludf.DUMMYFUNCTION("""COMPUTED_VALUE"""),"1920937730000")</f>
        <v>1920937730000</v>
      </c>
      <c r="N189" s="1" t="str">
        <f ca="1">IFERROR(__xludf.DUMMYFUNCTION("""COMPUTED_VALUE"""),"EEEF NOSSA SENHORA DAS GRACAS")</f>
        <v>EEEF NOSSA SENHORA DAS GRACAS</v>
      </c>
      <c r="O189" s="1"/>
      <c r="P189" s="1"/>
      <c r="Q189" s="1" t="s">
        <v>192</v>
      </c>
    </row>
    <row r="190" spans="1:17" x14ac:dyDescent="0.25">
      <c r="A190" s="2" t="str">
        <f ca="1">IFERROR(__xludf.DUMMYFUNCTION("""COMPUTED_VALUE"""),"REG DE INTEGRA  METROPOLITANA")</f>
        <v>REG DE INTEGRA  METROPOLITANA</v>
      </c>
      <c r="B190" s="1" t="str">
        <f ca="1">IFERROR(__xludf.DUMMYFUNCTION("""COMPUTED_VALUE"""),"DRE BELEM 1")</f>
        <v>DRE BELEM 1</v>
      </c>
      <c r="C190" s="2" t="str">
        <f ca="1">IFERROR(__xludf.DUMMYFUNCTION("""COMPUTED_VALUE"""),"DRE - ANANINDEUA / BELEM")</f>
        <v>DRE - ANANINDEUA / BELEM</v>
      </c>
      <c r="D190" s="2" t="str">
        <f ca="1">IFERROR(__xludf.DUMMYFUNCTION("""COMPUTED_VALUE"""),"Belem 1")</f>
        <v>Belem 1</v>
      </c>
      <c r="E190" s="2" t="str">
        <f ca="1">IFERROR(__xludf.DUMMYFUNCTION("""COMPUTED_VALUE"""),"DRE - ANANINDEUA / BELEMBelem 1")</f>
        <v>DRE - ANANINDEUA / BELEMBelem 1</v>
      </c>
      <c r="F190" s="1">
        <f ca="1">IFERROR(__xludf.DUMMYFUNCTION("""COMPUTED_VALUE"""),2)</f>
        <v>2</v>
      </c>
      <c r="G190" s="1" t="str">
        <f ca="1">IFERROR(__xludf.DUMMYFUNCTION("""COMPUTED_VALUE"""),"DRE BELEM 1")</f>
        <v>DRE BELEM 1</v>
      </c>
      <c r="H190" s="1" t="str">
        <f ca="1">IFERROR(__xludf.DUMMYFUNCTION("""COMPUTED_VALUE"""),"19A URE - BELEM")</f>
        <v>19A URE - BELEM</v>
      </c>
      <c r="I190" s="2" t="str">
        <f ca="1">IFERROR(__xludf.DUMMYFUNCTION("""COMPUTED_VALUE"""),"Unidade 1")</f>
        <v>Unidade 1</v>
      </c>
      <c r="J190" s="1" t="str">
        <f ca="1">IFERROR(__xludf.DUMMYFUNCTION("""COMPUTED_VALUE"""),"BELEM")</f>
        <v>BELEM</v>
      </c>
      <c r="K190" s="1">
        <f ca="1">IFERROR(__xludf.DUMMYFUNCTION("""COMPUTED_VALUE"""),15043541)</f>
        <v>15043541</v>
      </c>
      <c r="L190" s="2" t="str">
        <f ca="1">IFERROR(__xludf.DUMMYFUNCTION("""COMPUTED_VALUE"""),"001920901560000")</f>
        <v>001920901560000</v>
      </c>
      <c r="M190" s="2" t="str">
        <f ca="1">IFERROR(__xludf.DUMMYFUNCTION("""COMPUTED_VALUE"""),"1920901560000")</f>
        <v>1920901560000</v>
      </c>
      <c r="N190" s="1" t="str">
        <f ca="1">IFERROR(__xludf.DUMMYFUNCTION("""COMPUTED_VALUE"""),"EEEF NOSSA SENHORA DE FATIMA I")</f>
        <v>EEEF NOSSA SENHORA DE FATIMA I</v>
      </c>
      <c r="O190" s="1"/>
      <c r="P190" s="1"/>
      <c r="Q190" s="1" t="s">
        <v>192</v>
      </c>
    </row>
    <row r="191" spans="1:17" x14ac:dyDescent="0.25">
      <c r="A191" s="2" t="str">
        <f ca="1">IFERROR(__xludf.DUMMYFUNCTION("""COMPUTED_VALUE"""),"REG DE INTEGRA  METROPOLITANA")</f>
        <v>REG DE INTEGRA  METROPOLITANA</v>
      </c>
      <c r="B191" s="1" t="str">
        <f ca="1">IFERROR(__xludf.DUMMYFUNCTION("""COMPUTED_VALUE"""),"DRE BELEM 1")</f>
        <v>DRE BELEM 1</v>
      </c>
      <c r="C191" s="2" t="str">
        <f ca="1">IFERROR(__xludf.DUMMYFUNCTION("""COMPUTED_VALUE"""),"DRE - ANANINDEUA / BELEM")</f>
        <v>DRE - ANANINDEUA / BELEM</v>
      </c>
      <c r="D191" s="2" t="str">
        <f ca="1">IFERROR(__xludf.DUMMYFUNCTION("""COMPUTED_VALUE"""),"Belem 1")</f>
        <v>Belem 1</v>
      </c>
      <c r="E191" s="2" t="str">
        <f ca="1">IFERROR(__xludf.DUMMYFUNCTION("""COMPUTED_VALUE"""),"DRE - ANANINDEUA / BELEMBelem 1")</f>
        <v>DRE - ANANINDEUA / BELEMBelem 1</v>
      </c>
      <c r="F191" s="1">
        <f ca="1">IFERROR(__xludf.DUMMYFUNCTION("""COMPUTED_VALUE"""),2)</f>
        <v>2</v>
      </c>
      <c r="G191" s="1" t="str">
        <f ca="1">IFERROR(__xludf.DUMMYFUNCTION("""COMPUTED_VALUE"""),"DRE BELEM 1")</f>
        <v>DRE BELEM 1</v>
      </c>
      <c r="H191" s="1" t="str">
        <f ca="1">IFERROR(__xludf.DUMMYFUNCTION("""COMPUTED_VALUE"""),"19A URE - BELEM")</f>
        <v>19A URE - BELEM</v>
      </c>
      <c r="I191" s="2" t="str">
        <f ca="1">IFERROR(__xludf.DUMMYFUNCTION("""COMPUTED_VALUE"""),"NÃO ENCONTRADO (SERA EXTINTA)")</f>
        <v>NÃO ENCONTRADO (SERA EXTINTA)</v>
      </c>
      <c r="J191" s="1" t="str">
        <f ca="1">IFERROR(__xludf.DUMMYFUNCTION("""COMPUTED_VALUE"""),"BELEM")</f>
        <v>BELEM</v>
      </c>
      <c r="K191" s="1">
        <f ca="1">IFERROR(__xludf.DUMMYFUNCTION("""COMPUTED_VALUE"""),15521885)</f>
        <v>15521885</v>
      </c>
      <c r="L191" s="2" t="str">
        <f ca="1">IFERROR(__xludf.DUMMYFUNCTION("""COMPUTED_VALUE"""),"001920932270000")</f>
        <v>001920932270000</v>
      </c>
      <c r="M191" s="2" t="str">
        <f ca="1">IFERROR(__xludf.DUMMYFUNCTION("""COMPUTED_VALUE"""),"1920932270000")</f>
        <v>1920932270000</v>
      </c>
      <c r="N191" s="1" t="str">
        <f ca="1">IFERROR(__xludf.DUMMYFUNCTION("""COMPUTED_VALUE"""),"EEEF PADRE MARCOS")</f>
        <v>EEEF PADRE MARCOS</v>
      </c>
      <c r="O191" s="1"/>
      <c r="P191" s="1"/>
      <c r="Q191" s="1" t="s">
        <v>192</v>
      </c>
    </row>
    <row r="192" spans="1:17" x14ac:dyDescent="0.25">
      <c r="A192" s="2" t="str">
        <f ca="1">IFERROR(__xludf.DUMMYFUNCTION("""COMPUTED_VALUE"""),"REG DE INTEGRA  METROPOLITANA")</f>
        <v>REG DE INTEGRA  METROPOLITANA</v>
      </c>
      <c r="B192" s="1" t="str">
        <f ca="1">IFERROR(__xludf.DUMMYFUNCTION("""COMPUTED_VALUE"""),"DRE BELEM 1")</f>
        <v>DRE BELEM 1</v>
      </c>
      <c r="C192" s="2" t="str">
        <f ca="1">IFERROR(__xludf.DUMMYFUNCTION("""COMPUTED_VALUE"""),"DRE - ANANINDEUA / BELEM")</f>
        <v>DRE - ANANINDEUA / BELEM</v>
      </c>
      <c r="D192" s="2" t="str">
        <f ca="1">IFERROR(__xludf.DUMMYFUNCTION("""COMPUTED_VALUE"""),"Belem 1")</f>
        <v>Belem 1</v>
      </c>
      <c r="E192" s="2" t="str">
        <f ca="1">IFERROR(__xludf.DUMMYFUNCTION("""COMPUTED_VALUE"""),"DRE - ANANINDEUA / BELEMBelem 1")</f>
        <v>DRE - ANANINDEUA / BELEMBelem 1</v>
      </c>
      <c r="F192" s="1">
        <f ca="1">IFERROR(__xludf.DUMMYFUNCTION("""COMPUTED_VALUE"""),2)</f>
        <v>2</v>
      </c>
      <c r="G192" s="1" t="str">
        <f ca="1">IFERROR(__xludf.DUMMYFUNCTION("""COMPUTED_VALUE"""),"DRE BELEM 1")</f>
        <v>DRE BELEM 1</v>
      </c>
      <c r="H192" s="1" t="str">
        <f ca="1">IFERROR(__xludf.DUMMYFUNCTION("""COMPUTED_VALUE"""),"19A URE - BELEM")</f>
        <v>19A URE - BELEM</v>
      </c>
      <c r="I192" s="2" t="str">
        <f ca="1">IFERROR(__xludf.DUMMYFUNCTION("""COMPUTED_VALUE"""),"Unidade 1")</f>
        <v>Unidade 1</v>
      </c>
      <c r="J192" s="1" t="str">
        <f ca="1">IFERROR(__xludf.DUMMYFUNCTION("""COMPUTED_VALUE"""),"BELEM")</f>
        <v>BELEM</v>
      </c>
      <c r="K192" s="1">
        <f ca="1">IFERROR(__xludf.DUMMYFUNCTION("""COMPUTED_VALUE"""),15580768)</f>
        <v>15580768</v>
      </c>
      <c r="L192" s="2" t="str">
        <f ca="1">IFERROR(__xludf.DUMMYFUNCTION("""COMPUTED_VALUE"""),"001920936560000")</f>
        <v>001920936560000</v>
      </c>
      <c r="M192" s="2" t="str">
        <f ca="1">IFERROR(__xludf.DUMMYFUNCTION("""COMPUTED_VALUE"""),"1920936560000")</f>
        <v>1920936560000</v>
      </c>
      <c r="N192" s="1" t="str">
        <f ca="1">IFERROR(__xludf.DUMMYFUNCTION("""COMPUTED_VALUE"""),"EEEF PRATINHA II")</f>
        <v>EEEF PRATINHA II</v>
      </c>
      <c r="O192" s="1"/>
      <c r="P192" s="1"/>
      <c r="Q192" s="1" t="s">
        <v>192</v>
      </c>
    </row>
    <row r="193" spans="1:17" x14ac:dyDescent="0.25">
      <c r="A193" s="2" t="str">
        <f ca="1">IFERROR(__xludf.DUMMYFUNCTION("""COMPUTED_VALUE"""),"REG DE INTEGRA  METROPOLITANA")</f>
        <v>REG DE INTEGRA  METROPOLITANA</v>
      </c>
      <c r="B193" s="1" t="str">
        <f ca="1">IFERROR(__xludf.DUMMYFUNCTION("""COMPUTED_VALUE"""),"DRE BELEM 1")</f>
        <v>DRE BELEM 1</v>
      </c>
      <c r="C193" s="2" t="str">
        <f ca="1">IFERROR(__xludf.DUMMYFUNCTION("""COMPUTED_VALUE"""),"DRE - ANANINDEUA / BELEM")</f>
        <v>DRE - ANANINDEUA / BELEM</v>
      </c>
      <c r="D193" s="2" t="str">
        <f ca="1">IFERROR(__xludf.DUMMYFUNCTION("""COMPUTED_VALUE"""),"Belem 1")</f>
        <v>Belem 1</v>
      </c>
      <c r="E193" s="2" t="str">
        <f ca="1">IFERROR(__xludf.DUMMYFUNCTION("""COMPUTED_VALUE"""),"DRE - ANANINDEUA / BELEMBelem 1")</f>
        <v>DRE - ANANINDEUA / BELEMBelem 1</v>
      </c>
      <c r="F193" s="1">
        <f ca="1">IFERROR(__xludf.DUMMYFUNCTION("""COMPUTED_VALUE"""),2)</f>
        <v>2</v>
      </c>
      <c r="G193" s="1" t="str">
        <f ca="1">IFERROR(__xludf.DUMMYFUNCTION("""COMPUTED_VALUE"""),"DRE BELEM 1")</f>
        <v>DRE BELEM 1</v>
      </c>
      <c r="H193" s="1" t="str">
        <f ca="1">IFERROR(__xludf.DUMMYFUNCTION("""COMPUTED_VALUE"""),"19A URE - BELEM")</f>
        <v>19A URE - BELEM</v>
      </c>
      <c r="I193" s="2" t="str">
        <f ca="1">IFERROR(__xludf.DUMMYFUNCTION("""COMPUTED_VALUE"""),"Unidade 1")</f>
        <v>Unidade 1</v>
      </c>
      <c r="J193" s="1" t="str">
        <f ca="1">IFERROR(__xludf.DUMMYFUNCTION("""COMPUTED_VALUE"""),"BELEM")</f>
        <v>BELEM</v>
      </c>
      <c r="K193" s="1">
        <f ca="1">IFERROR(__xludf.DUMMYFUNCTION("""COMPUTED_VALUE"""),15043576)</f>
        <v>15043576</v>
      </c>
      <c r="L193" s="2" t="str">
        <f ca="1">IFERROR(__xludf.DUMMYFUNCTION("""COMPUTED_VALUE"""),"001920901340000")</f>
        <v>001920901340000</v>
      </c>
      <c r="M193" s="2" t="str">
        <f ca="1">IFERROR(__xludf.DUMMYFUNCTION("""COMPUTED_VALUE"""),"1920901340000")</f>
        <v>1920901340000</v>
      </c>
      <c r="N193" s="1" t="str">
        <f ca="1">IFERROR(__xludf.DUMMYFUNCTION("""COMPUTED_VALUE"""),"EEEF PRESIDENTE CASTELO BRANCO")</f>
        <v>EEEF PRESIDENTE CASTELO BRANCO</v>
      </c>
      <c r="O193" s="1"/>
      <c r="P193" s="1"/>
      <c r="Q193" s="1" t="s">
        <v>192</v>
      </c>
    </row>
    <row r="194" spans="1:17" x14ac:dyDescent="0.25">
      <c r="A194" s="2" t="str">
        <f ca="1">IFERROR(__xludf.DUMMYFUNCTION("""COMPUTED_VALUE"""),"REG DE INTEGRA  METROPOLITANA")</f>
        <v>REG DE INTEGRA  METROPOLITANA</v>
      </c>
      <c r="B194" s="1" t="str">
        <f ca="1">IFERROR(__xludf.DUMMYFUNCTION("""COMPUTED_VALUE"""),"DRE BELEM 1")</f>
        <v>DRE BELEM 1</v>
      </c>
      <c r="C194" s="2" t="str">
        <f ca="1">IFERROR(__xludf.DUMMYFUNCTION("""COMPUTED_VALUE"""),"DRE - ANANINDEUA / BELEM")</f>
        <v>DRE - ANANINDEUA / BELEM</v>
      </c>
      <c r="D194" s="2" t="str">
        <f ca="1">IFERROR(__xludf.DUMMYFUNCTION("""COMPUTED_VALUE"""),"Belem 1")</f>
        <v>Belem 1</v>
      </c>
      <c r="E194" s="2" t="str">
        <f ca="1">IFERROR(__xludf.DUMMYFUNCTION("""COMPUTED_VALUE"""),"DRE - ANANINDEUA / BELEMBelem 1")</f>
        <v>DRE - ANANINDEUA / BELEMBelem 1</v>
      </c>
      <c r="F194" s="1">
        <f ca="1">IFERROR(__xludf.DUMMYFUNCTION("""COMPUTED_VALUE"""),2)</f>
        <v>2</v>
      </c>
      <c r="G194" s="1" t="str">
        <f ca="1">IFERROR(__xludf.DUMMYFUNCTION("""COMPUTED_VALUE"""),"DRE BELEM 1")</f>
        <v>DRE BELEM 1</v>
      </c>
      <c r="H194" s="1" t="str">
        <f ca="1">IFERROR(__xludf.DUMMYFUNCTION("""COMPUTED_VALUE"""),"19A URE - BELEM")</f>
        <v>19A URE - BELEM</v>
      </c>
      <c r="I194" s="2" t="str">
        <f ca="1">IFERROR(__xludf.DUMMYFUNCTION("""COMPUTED_VALUE"""),"Unidade 1")</f>
        <v>Unidade 1</v>
      </c>
      <c r="J194" s="1" t="str">
        <f ca="1">IFERROR(__xludf.DUMMYFUNCTION("""COMPUTED_VALUE"""),"BELEM")</f>
        <v>BELEM</v>
      </c>
      <c r="K194" s="1">
        <f ca="1">IFERROR(__xludf.DUMMYFUNCTION("""COMPUTED_VALUE"""),15040518)</f>
        <v>15040518</v>
      </c>
      <c r="L194" s="2" t="str">
        <f ca="1">IFERROR(__xludf.DUMMYFUNCTION("""COMPUTED_VALUE"""),"001920901900000")</f>
        <v>001920901900000</v>
      </c>
      <c r="M194" s="2" t="str">
        <f ca="1">IFERROR(__xludf.DUMMYFUNCTION("""COMPUTED_VALUE"""),"1920901900000")</f>
        <v>1920901900000</v>
      </c>
      <c r="N194" s="1" t="str">
        <f ca="1">IFERROR(__xludf.DUMMYFUNCTION("""COMPUTED_VALUE"""),"EEEF PROFA ROSALINA ALVARES SILVA CRUZ")</f>
        <v>EEEF PROFA ROSALINA ALVARES SILVA CRUZ</v>
      </c>
      <c r="O194" s="1"/>
      <c r="P194" s="1"/>
      <c r="Q194" s="1" t="s">
        <v>192</v>
      </c>
    </row>
    <row r="195" spans="1:17" x14ac:dyDescent="0.25">
      <c r="A195" s="2" t="str">
        <f ca="1">IFERROR(__xludf.DUMMYFUNCTION("""COMPUTED_VALUE"""),"REG DE INTEGRA  METROPOLITANA")</f>
        <v>REG DE INTEGRA  METROPOLITANA</v>
      </c>
      <c r="B195" s="1" t="str">
        <f ca="1">IFERROR(__xludf.DUMMYFUNCTION("""COMPUTED_VALUE"""),"DRE BELEM 1")</f>
        <v>DRE BELEM 1</v>
      </c>
      <c r="C195" s="2" t="str">
        <f ca="1">IFERROR(__xludf.DUMMYFUNCTION("""COMPUTED_VALUE"""),"DRE - ANANINDEUA / BELEM")</f>
        <v>DRE - ANANINDEUA / BELEM</v>
      </c>
      <c r="D195" s="2" t="str">
        <f ca="1">IFERROR(__xludf.DUMMYFUNCTION("""COMPUTED_VALUE"""),"Belem 1")</f>
        <v>Belem 1</v>
      </c>
      <c r="E195" s="2" t="str">
        <f ca="1">IFERROR(__xludf.DUMMYFUNCTION("""COMPUTED_VALUE"""),"DRE - ANANINDEUA / BELEMBelem 1")</f>
        <v>DRE - ANANINDEUA / BELEMBelem 1</v>
      </c>
      <c r="F195" s="1">
        <f ca="1">IFERROR(__xludf.DUMMYFUNCTION("""COMPUTED_VALUE"""),2)</f>
        <v>2</v>
      </c>
      <c r="G195" s="1" t="str">
        <f ca="1">IFERROR(__xludf.DUMMYFUNCTION("""COMPUTED_VALUE"""),"DRE BELEM 1")</f>
        <v>DRE BELEM 1</v>
      </c>
      <c r="H195" s="1" t="str">
        <f ca="1">IFERROR(__xludf.DUMMYFUNCTION("""COMPUTED_VALUE"""),"19A URE - BELEM")</f>
        <v>19A URE - BELEM</v>
      </c>
      <c r="I195" s="2" t="str">
        <f ca="1">IFERROR(__xludf.DUMMYFUNCTION("""COMPUTED_VALUE"""),"Unidade 1")</f>
        <v>Unidade 1</v>
      </c>
      <c r="J195" s="1" t="str">
        <f ca="1">IFERROR(__xludf.DUMMYFUNCTION("""COMPUTED_VALUE"""),"BELEM")</f>
        <v>BELEM</v>
      </c>
      <c r="K195" s="1">
        <f ca="1">IFERROR(__xludf.DUMMYFUNCTION("""COMPUTED_VALUE"""),15573206)</f>
        <v>15573206</v>
      </c>
      <c r="L195" s="2" t="str">
        <f ca="1">IFERROR(__xludf.DUMMYFUNCTION("""COMPUTED_VALUE"""),"001920930120000")</f>
        <v>001920930120000</v>
      </c>
      <c r="M195" s="2" t="str">
        <f ca="1">IFERROR(__xludf.DUMMYFUNCTION("""COMPUTED_VALUE"""),"1920930120000")</f>
        <v>1920930120000</v>
      </c>
      <c r="N195" s="1" t="str">
        <f ca="1">IFERROR(__xludf.DUMMYFUNCTION("""COMPUTED_VALUE"""),"EEEF SANTA LUZIA DE MARILAC")</f>
        <v>EEEF SANTA LUZIA DE MARILAC</v>
      </c>
      <c r="O195" s="1"/>
      <c r="P195" s="1"/>
      <c r="Q195" s="1" t="s">
        <v>192</v>
      </c>
    </row>
    <row r="196" spans="1:17" x14ac:dyDescent="0.25">
      <c r="A196" s="2" t="str">
        <f ca="1">IFERROR(__xludf.DUMMYFUNCTION("""COMPUTED_VALUE"""),"REG DE INTEGRA  METROPOLITANA")</f>
        <v>REG DE INTEGRA  METROPOLITANA</v>
      </c>
      <c r="B196" s="1" t="str">
        <f ca="1">IFERROR(__xludf.DUMMYFUNCTION("""COMPUTED_VALUE"""),"DRE BELEM 1")</f>
        <v>DRE BELEM 1</v>
      </c>
      <c r="C196" s="2" t="str">
        <f ca="1">IFERROR(__xludf.DUMMYFUNCTION("""COMPUTED_VALUE"""),"DRE - ANANINDEUA / BELEM")</f>
        <v>DRE - ANANINDEUA / BELEM</v>
      </c>
      <c r="D196" s="2" t="str">
        <f ca="1">IFERROR(__xludf.DUMMYFUNCTION("""COMPUTED_VALUE"""),"Belem 1")</f>
        <v>Belem 1</v>
      </c>
      <c r="E196" s="2" t="str">
        <f ca="1">IFERROR(__xludf.DUMMYFUNCTION("""COMPUTED_VALUE"""),"DRE - ANANINDEUA / BELEMBelem 1")</f>
        <v>DRE - ANANINDEUA / BELEMBelem 1</v>
      </c>
      <c r="F196" s="1">
        <f ca="1">IFERROR(__xludf.DUMMYFUNCTION("""COMPUTED_VALUE"""),2)</f>
        <v>2</v>
      </c>
      <c r="G196" s="1" t="str">
        <f ca="1">IFERROR(__xludf.DUMMYFUNCTION("""COMPUTED_VALUE"""),"DRE BELEM 1")</f>
        <v>DRE BELEM 1</v>
      </c>
      <c r="H196" s="1" t="str">
        <f ca="1">IFERROR(__xludf.DUMMYFUNCTION("""COMPUTED_VALUE"""),"19A URE - BELEM")</f>
        <v>19A URE - BELEM</v>
      </c>
      <c r="I196" s="2" t="str">
        <f ca="1">IFERROR(__xludf.DUMMYFUNCTION("""COMPUTED_VALUE"""),"Unidade 1")</f>
        <v>Unidade 1</v>
      </c>
      <c r="J196" s="1" t="str">
        <f ca="1">IFERROR(__xludf.DUMMYFUNCTION("""COMPUTED_VALUE"""),"BELEM")</f>
        <v>BELEM</v>
      </c>
      <c r="K196" s="1">
        <f ca="1">IFERROR(__xludf.DUMMYFUNCTION("""COMPUTED_VALUE"""),15041409)</f>
        <v>15041409</v>
      </c>
      <c r="L196" s="2" t="str">
        <f ca="1">IFERROR(__xludf.DUMMYFUNCTION("""COMPUTED_VALUE"""),"001920931040000")</f>
        <v>001920931040000</v>
      </c>
      <c r="M196" s="2" t="str">
        <f ca="1">IFERROR(__xludf.DUMMYFUNCTION("""COMPUTED_VALUE"""),"1920931040000")</f>
        <v>1920931040000</v>
      </c>
      <c r="N196" s="1" t="str">
        <f ca="1">IFERROR(__xludf.DUMMYFUNCTION("""COMPUTED_VALUE"""),"EEEF SANTO AFONSO")</f>
        <v>EEEF SANTO AFONSO</v>
      </c>
      <c r="O196" s="1"/>
      <c r="P196" s="1"/>
      <c r="Q196" s="1" t="s">
        <v>192</v>
      </c>
    </row>
    <row r="197" spans="1:17" x14ac:dyDescent="0.25">
      <c r="A197" s="2" t="str">
        <f ca="1">IFERROR(__xludf.DUMMYFUNCTION("""COMPUTED_VALUE"""),"REG DE INTEGRA  METROPOLITANA")</f>
        <v>REG DE INTEGRA  METROPOLITANA</v>
      </c>
      <c r="B197" s="1" t="str">
        <f ca="1">IFERROR(__xludf.DUMMYFUNCTION("""COMPUTED_VALUE"""),"DRE BELEM 1")</f>
        <v>DRE BELEM 1</v>
      </c>
      <c r="C197" s="2" t="str">
        <f ca="1">IFERROR(__xludf.DUMMYFUNCTION("""COMPUTED_VALUE"""),"DRE - ANANINDEUA / BELEM")</f>
        <v>DRE - ANANINDEUA / BELEM</v>
      </c>
      <c r="D197" s="2" t="str">
        <f ca="1">IFERROR(__xludf.DUMMYFUNCTION("""COMPUTED_VALUE"""),"Belem 1")</f>
        <v>Belem 1</v>
      </c>
      <c r="E197" s="2" t="str">
        <f ca="1">IFERROR(__xludf.DUMMYFUNCTION("""COMPUTED_VALUE"""),"DRE - ANANINDEUA / BELEMBelem 1")</f>
        <v>DRE - ANANINDEUA / BELEMBelem 1</v>
      </c>
      <c r="F197" s="1">
        <f ca="1">IFERROR(__xludf.DUMMYFUNCTION("""COMPUTED_VALUE"""),2)</f>
        <v>2</v>
      </c>
      <c r="G197" s="1" t="str">
        <f ca="1">IFERROR(__xludf.DUMMYFUNCTION("""COMPUTED_VALUE"""),"DRE BELEM 1")</f>
        <v>DRE BELEM 1</v>
      </c>
      <c r="H197" s="1" t="str">
        <f ca="1">IFERROR(__xludf.DUMMYFUNCTION("""COMPUTED_VALUE"""),"19A URE - BELEM")</f>
        <v>19A URE - BELEM</v>
      </c>
      <c r="I197" s="2" t="str">
        <f ca="1">IFERROR(__xludf.DUMMYFUNCTION("""COMPUTED_VALUE"""),"Unidade 1")</f>
        <v>Unidade 1</v>
      </c>
      <c r="J197" s="1" t="str">
        <f ca="1">IFERROR(__xludf.DUMMYFUNCTION("""COMPUTED_VALUE"""),"BELEM")</f>
        <v>BELEM</v>
      </c>
      <c r="K197" s="1">
        <f ca="1">IFERROR(__xludf.DUMMYFUNCTION("""COMPUTED_VALUE"""),15041760)</f>
        <v>15041760</v>
      </c>
      <c r="L197" s="2" t="str">
        <f ca="1">IFERROR(__xludf.DUMMYFUNCTION("""COMPUTED_VALUE"""),"001920930950000")</f>
        <v>001920930950000</v>
      </c>
      <c r="M197" s="2" t="str">
        <f ca="1">IFERROR(__xludf.DUMMYFUNCTION("""COMPUTED_VALUE"""),"1920930950000")</f>
        <v>1920930950000</v>
      </c>
      <c r="N197" s="1" t="str">
        <f ca="1">IFERROR(__xludf.DUMMYFUNCTION("""COMPUTED_VALUE"""),"EEEF SAO VICENTE DE PAULA")</f>
        <v>EEEF SAO VICENTE DE PAULA</v>
      </c>
      <c r="O197" s="1"/>
      <c r="P197" s="1"/>
      <c r="Q197" s="1" t="s">
        <v>192</v>
      </c>
    </row>
    <row r="198" spans="1:17" x14ac:dyDescent="0.25">
      <c r="A198" s="2" t="str">
        <f ca="1">IFERROR(__xludf.DUMMYFUNCTION("""COMPUTED_VALUE"""),"REG DE INTEGRA  METROPOLITANA")</f>
        <v>REG DE INTEGRA  METROPOLITANA</v>
      </c>
      <c r="B198" s="1" t="str">
        <f ca="1">IFERROR(__xludf.DUMMYFUNCTION("""COMPUTED_VALUE"""),"DRE BELEM 1")</f>
        <v>DRE BELEM 1</v>
      </c>
      <c r="C198" s="2" t="str">
        <f ca="1">IFERROR(__xludf.DUMMYFUNCTION("""COMPUTED_VALUE"""),"DRE - ANANINDEUA / BELEM")</f>
        <v>DRE - ANANINDEUA / BELEM</v>
      </c>
      <c r="D198" s="2" t="str">
        <f ca="1">IFERROR(__xludf.DUMMYFUNCTION("""COMPUTED_VALUE"""),"Belem 1")</f>
        <v>Belem 1</v>
      </c>
      <c r="E198" s="2" t="str">
        <f ca="1">IFERROR(__xludf.DUMMYFUNCTION("""COMPUTED_VALUE"""),"DRE - ANANINDEUA / BELEMBelem 1")</f>
        <v>DRE - ANANINDEUA / BELEMBelem 1</v>
      </c>
      <c r="F198" s="1">
        <f ca="1">IFERROR(__xludf.DUMMYFUNCTION("""COMPUTED_VALUE"""),2)</f>
        <v>2</v>
      </c>
      <c r="G198" s="1" t="str">
        <f ca="1">IFERROR(__xludf.DUMMYFUNCTION("""COMPUTED_VALUE"""),"DRE BELEM 1")</f>
        <v>DRE BELEM 1</v>
      </c>
      <c r="H198" s="1" t="str">
        <f ca="1">IFERROR(__xludf.DUMMYFUNCTION("""COMPUTED_VALUE"""),"19A URE - BELEM")</f>
        <v>19A URE - BELEM</v>
      </c>
      <c r="I198" s="2" t="str">
        <f ca="1">IFERROR(__xludf.DUMMYFUNCTION("""COMPUTED_VALUE"""),"Unidade 1")</f>
        <v>Unidade 1</v>
      </c>
      <c r="J198" s="1" t="str">
        <f ca="1">IFERROR(__xludf.DUMMYFUNCTION("""COMPUTED_VALUE"""),"BELEM")</f>
        <v>BELEM</v>
      </c>
      <c r="K198" s="1">
        <f ca="1">IFERROR(__xludf.DUMMYFUNCTION("""COMPUTED_VALUE"""),15043568)</f>
        <v>15043568</v>
      </c>
      <c r="L198" s="2" t="str">
        <f ca="1">IFERROR(__xludf.DUMMYFUNCTION("""COMPUTED_VALUE"""),"001920902120000")</f>
        <v>001920902120000</v>
      </c>
      <c r="M198" s="2" t="str">
        <f ca="1">IFERROR(__xludf.DUMMYFUNCTION("""COMPUTED_VALUE"""),"1920902120000")</f>
        <v>1920902120000</v>
      </c>
      <c r="N198" s="1" t="str">
        <f ca="1">IFERROR(__xludf.DUMMYFUNCTION("""COMPUTED_VALUE"""),"EEEFM DOM PEDRO I")</f>
        <v>EEEFM DOM PEDRO I</v>
      </c>
      <c r="O198" s="1"/>
      <c r="P198" s="1"/>
      <c r="Q198" s="1" t="s">
        <v>192</v>
      </c>
    </row>
    <row r="199" spans="1:17" x14ac:dyDescent="0.25">
      <c r="A199" s="2" t="str">
        <f ca="1">IFERROR(__xludf.DUMMYFUNCTION("""COMPUTED_VALUE"""),"REG DE INTEGRA  METROPOLITANA")</f>
        <v>REG DE INTEGRA  METROPOLITANA</v>
      </c>
      <c r="B199" s="1" t="str">
        <f ca="1">IFERROR(__xludf.DUMMYFUNCTION("""COMPUTED_VALUE"""),"DRE BELEM 1")</f>
        <v>DRE BELEM 1</v>
      </c>
      <c r="C199" s="2" t="str">
        <f ca="1">IFERROR(__xludf.DUMMYFUNCTION("""COMPUTED_VALUE"""),"DRE - ANANINDEUA / BELEM")</f>
        <v>DRE - ANANINDEUA / BELEM</v>
      </c>
      <c r="D199" s="2" t="str">
        <f ca="1">IFERROR(__xludf.DUMMYFUNCTION("""COMPUTED_VALUE"""),"Belem 1")</f>
        <v>Belem 1</v>
      </c>
      <c r="E199" s="2" t="str">
        <f ca="1">IFERROR(__xludf.DUMMYFUNCTION("""COMPUTED_VALUE"""),"DRE - ANANINDEUA / BELEMBelem 1")</f>
        <v>DRE - ANANINDEUA / BELEMBelem 1</v>
      </c>
      <c r="F199" s="1">
        <f ca="1">IFERROR(__xludf.DUMMYFUNCTION("""COMPUTED_VALUE"""),2)</f>
        <v>2</v>
      </c>
      <c r="G199" s="1" t="str">
        <f ca="1">IFERROR(__xludf.DUMMYFUNCTION("""COMPUTED_VALUE"""),"DRE BELEM 1")</f>
        <v>DRE BELEM 1</v>
      </c>
      <c r="H199" s="1" t="str">
        <f ca="1">IFERROR(__xludf.DUMMYFUNCTION("""COMPUTED_VALUE"""),"19A URE - BELEM")</f>
        <v>19A URE - BELEM</v>
      </c>
      <c r="I199" s="2" t="str">
        <f ca="1">IFERROR(__xludf.DUMMYFUNCTION("""COMPUTED_VALUE"""),"Unidade 1")</f>
        <v>Unidade 1</v>
      </c>
      <c r="J199" s="1" t="str">
        <f ca="1">IFERROR(__xludf.DUMMYFUNCTION("""COMPUTED_VALUE"""),"BELEM")</f>
        <v>BELEM</v>
      </c>
      <c r="K199" s="1">
        <f ca="1">IFERROR(__xludf.DUMMYFUNCTION("""COMPUTED_VALUE"""),15043525)</f>
        <v>15043525</v>
      </c>
      <c r="L199" s="2" t="str">
        <f ca="1">IFERROR(__xludf.DUMMYFUNCTION("""COMPUTED_VALUE"""),"001920901950000")</f>
        <v>001920901950000</v>
      </c>
      <c r="M199" s="2" t="str">
        <f ca="1">IFERROR(__xludf.DUMMYFUNCTION("""COMPUTED_VALUE"""),"1920901950000")</f>
        <v>1920901950000</v>
      </c>
      <c r="N199" s="1" t="str">
        <f ca="1">IFERROR(__xludf.DUMMYFUNCTION("""COMPUTED_VALUE"""),"EEEFM EUNICE WEAVER")</f>
        <v>EEEFM EUNICE WEAVER</v>
      </c>
      <c r="O199" s="1"/>
      <c r="P199" s="1"/>
      <c r="Q199" s="1" t="s">
        <v>192</v>
      </c>
    </row>
    <row r="200" spans="1:17" x14ac:dyDescent="0.25">
      <c r="A200" s="2" t="str">
        <f ca="1">IFERROR(__xludf.DUMMYFUNCTION("""COMPUTED_VALUE"""),"REG DE INTEGRA  METROPOLITANA")</f>
        <v>REG DE INTEGRA  METROPOLITANA</v>
      </c>
      <c r="B200" s="1" t="str">
        <f ca="1">IFERROR(__xludf.DUMMYFUNCTION("""COMPUTED_VALUE"""),"DRE BELEM 1")</f>
        <v>DRE BELEM 1</v>
      </c>
      <c r="C200" s="2" t="str">
        <f ca="1">IFERROR(__xludf.DUMMYFUNCTION("""COMPUTED_VALUE"""),"DRE - ANANINDEUA / BELEM")</f>
        <v>DRE - ANANINDEUA / BELEM</v>
      </c>
      <c r="D200" s="2" t="str">
        <f ca="1">IFERROR(__xludf.DUMMYFUNCTION("""COMPUTED_VALUE"""),"Belem 1")</f>
        <v>Belem 1</v>
      </c>
      <c r="E200" s="2" t="str">
        <f ca="1">IFERROR(__xludf.DUMMYFUNCTION("""COMPUTED_VALUE"""),"DRE - ANANINDEUA / BELEMBelem 1")</f>
        <v>DRE - ANANINDEUA / BELEMBelem 1</v>
      </c>
      <c r="F200" s="1">
        <f ca="1">IFERROR(__xludf.DUMMYFUNCTION("""COMPUTED_VALUE"""),2)</f>
        <v>2</v>
      </c>
      <c r="G200" s="1" t="str">
        <f ca="1">IFERROR(__xludf.DUMMYFUNCTION("""COMPUTED_VALUE"""),"DRE BELEM 1")</f>
        <v>DRE BELEM 1</v>
      </c>
      <c r="H200" s="1" t="str">
        <f ca="1">IFERROR(__xludf.DUMMYFUNCTION("""COMPUTED_VALUE"""),"19A URE - BELEM")</f>
        <v>19A URE - BELEM</v>
      </c>
      <c r="I200" s="2" t="str">
        <f ca="1">IFERROR(__xludf.DUMMYFUNCTION("""COMPUTED_VALUE"""),"Unidade 1")</f>
        <v>Unidade 1</v>
      </c>
      <c r="J200" s="1" t="str">
        <f ca="1">IFERROR(__xludf.DUMMYFUNCTION("""COMPUTED_VALUE"""),"BELEM")</f>
        <v>BELEM</v>
      </c>
      <c r="K200" s="1">
        <f ca="1">IFERROR(__xludf.DUMMYFUNCTION("""COMPUTED_VALUE"""),15040313)</f>
        <v>15040313</v>
      </c>
      <c r="L200" s="2" t="str">
        <f ca="1">IFERROR(__xludf.DUMMYFUNCTION("""COMPUTED_VALUE"""),"001920902060000")</f>
        <v>001920902060000</v>
      </c>
      <c r="M200" s="2" t="str">
        <f ca="1">IFERROR(__xludf.DUMMYFUNCTION("""COMPUTED_VALUE"""),"1920902060000")</f>
        <v>1920902060000</v>
      </c>
      <c r="N200" s="1" t="str">
        <f ca="1">IFERROR(__xludf.DUMMYFUNCTION("""COMPUTED_VALUE"""),"EEEFM GRAZIELA MOURA RIBEIRO")</f>
        <v>EEEFM GRAZIELA MOURA RIBEIRO</v>
      </c>
      <c r="O200" s="1"/>
      <c r="P200" s="1"/>
      <c r="Q200" s="1" t="s">
        <v>192</v>
      </c>
    </row>
    <row r="201" spans="1:17" x14ac:dyDescent="0.25">
      <c r="A201" s="2" t="str">
        <f ca="1">IFERROR(__xludf.DUMMYFUNCTION("""COMPUTED_VALUE"""),"REG DE INTEGRA  METROPOLITANA")</f>
        <v>REG DE INTEGRA  METROPOLITANA</v>
      </c>
      <c r="B201" s="1" t="str">
        <f ca="1">IFERROR(__xludf.DUMMYFUNCTION("""COMPUTED_VALUE"""),"DRE BELEM 1")</f>
        <v>DRE BELEM 1</v>
      </c>
      <c r="C201" s="2" t="str">
        <f ca="1">IFERROR(__xludf.DUMMYFUNCTION("""COMPUTED_VALUE"""),"DRE - ANANINDEUA / BELEM")</f>
        <v>DRE - ANANINDEUA / BELEM</v>
      </c>
      <c r="D201" s="2" t="str">
        <f ca="1">IFERROR(__xludf.DUMMYFUNCTION("""COMPUTED_VALUE"""),"Belem 1")</f>
        <v>Belem 1</v>
      </c>
      <c r="E201" s="2" t="str">
        <f ca="1">IFERROR(__xludf.DUMMYFUNCTION("""COMPUTED_VALUE"""),"DRE - ANANINDEUA / BELEMBelem 1")</f>
        <v>DRE - ANANINDEUA / BELEMBelem 1</v>
      </c>
      <c r="F201" s="1">
        <f ca="1">IFERROR(__xludf.DUMMYFUNCTION("""COMPUTED_VALUE"""),2)</f>
        <v>2</v>
      </c>
      <c r="G201" s="1" t="str">
        <f ca="1">IFERROR(__xludf.DUMMYFUNCTION("""COMPUTED_VALUE"""),"DRE BELEM 1")</f>
        <v>DRE BELEM 1</v>
      </c>
      <c r="H201" s="1" t="str">
        <f ca="1">IFERROR(__xludf.DUMMYFUNCTION("""COMPUTED_VALUE"""),"19A URE - BELEM")</f>
        <v>19A URE - BELEM</v>
      </c>
      <c r="I201" s="2" t="str">
        <f ca="1">IFERROR(__xludf.DUMMYFUNCTION("""COMPUTED_VALUE"""),"Unidade 1")</f>
        <v>Unidade 1</v>
      </c>
      <c r="J201" s="1" t="str">
        <f ca="1">IFERROR(__xludf.DUMMYFUNCTION("""COMPUTED_VALUE"""),"BELEM")</f>
        <v>BELEM</v>
      </c>
      <c r="K201" s="1">
        <f ca="1">IFERROR(__xludf.DUMMYFUNCTION("""COMPUTED_VALUE"""),15043533)</f>
        <v>15043533</v>
      </c>
      <c r="L201" s="2" t="str">
        <f ca="1">IFERROR(__xludf.DUMMYFUNCTION("""COMPUTED_VALUE"""),"001920901940000")</f>
        <v>001920901940000</v>
      </c>
      <c r="M201" s="2" t="str">
        <f ca="1">IFERROR(__xludf.DUMMYFUNCTION("""COMPUTED_VALUE"""),"1920901940000")</f>
        <v>1920901940000</v>
      </c>
      <c r="N201" s="1" t="str">
        <f ca="1">IFERROR(__xludf.DUMMYFUNCTION("""COMPUTED_VALUE"""),"EEEFM JONATHAS PONTES ATHIAS")</f>
        <v>EEEFM JONATHAS PONTES ATHIAS</v>
      </c>
      <c r="O201" s="1"/>
      <c r="P201" s="1"/>
      <c r="Q201" s="1" t="s">
        <v>192</v>
      </c>
    </row>
    <row r="202" spans="1:17" x14ac:dyDescent="0.25">
      <c r="A202" s="2" t="str">
        <f ca="1">IFERROR(__xludf.DUMMYFUNCTION("""COMPUTED_VALUE"""),"REG DE INTEGRA  METROPOLITANA")</f>
        <v>REG DE INTEGRA  METROPOLITANA</v>
      </c>
      <c r="B202" s="1" t="str">
        <f ca="1">IFERROR(__xludf.DUMMYFUNCTION("""COMPUTED_VALUE"""),"DRE BELEM 1")</f>
        <v>DRE BELEM 1</v>
      </c>
      <c r="C202" s="2" t="str">
        <f ca="1">IFERROR(__xludf.DUMMYFUNCTION("""COMPUTED_VALUE"""),"DRE - ANANINDEUA / BELEM")</f>
        <v>DRE - ANANINDEUA / BELEM</v>
      </c>
      <c r="D202" s="2" t="str">
        <f ca="1">IFERROR(__xludf.DUMMYFUNCTION("""COMPUTED_VALUE"""),"Belem 1")</f>
        <v>Belem 1</v>
      </c>
      <c r="E202" s="2" t="str">
        <f ca="1">IFERROR(__xludf.DUMMYFUNCTION("""COMPUTED_VALUE"""),"DRE - ANANINDEUA / BELEMBelem 1")</f>
        <v>DRE - ANANINDEUA / BELEMBelem 1</v>
      </c>
      <c r="F202" s="1">
        <f ca="1">IFERROR(__xludf.DUMMYFUNCTION("""COMPUTED_VALUE"""),2)</f>
        <v>2</v>
      </c>
      <c r="G202" s="1" t="str">
        <f ca="1">IFERROR(__xludf.DUMMYFUNCTION("""COMPUTED_VALUE"""),"DRE BELEM 1")</f>
        <v>DRE BELEM 1</v>
      </c>
      <c r="H202" s="1" t="str">
        <f ca="1">IFERROR(__xludf.DUMMYFUNCTION("""COMPUTED_VALUE"""),"19A URE - BELEM")</f>
        <v>19A URE - BELEM</v>
      </c>
      <c r="I202" s="2" t="str">
        <f ca="1">IFERROR(__xludf.DUMMYFUNCTION("""COMPUTED_VALUE"""),"Unidade 1")</f>
        <v>Unidade 1</v>
      </c>
      <c r="J202" s="1" t="str">
        <f ca="1">IFERROR(__xludf.DUMMYFUNCTION("""COMPUTED_VALUE"""),"BELEM")</f>
        <v>BELEM</v>
      </c>
      <c r="K202" s="1">
        <f ca="1">IFERROR(__xludf.DUMMYFUNCTION("""COMPUTED_VALUE"""),15043517)</f>
        <v>15043517</v>
      </c>
      <c r="L202" s="2" t="str">
        <f ca="1">IFERROR(__xludf.DUMMYFUNCTION("""COMPUTED_VALUE"""),"001920902290000")</f>
        <v>001920902290000</v>
      </c>
      <c r="M202" s="2" t="str">
        <f ca="1">IFERROR(__xludf.DUMMYFUNCTION("""COMPUTED_VALUE"""),"1920902290000")</f>
        <v>1920902290000</v>
      </c>
      <c r="N202" s="1" t="str">
        <f ca="1">IFERROR(__xludf.DUMMYFUNCTION("""COMPUTED_VALUE"""),"EEEFM PROF RENATO PINHEIRO CONDURU")</f>
        <v>EEEFM PROF RENATO PINHEIRO CONDURU</v>
      </c>
      <c r="O202" s="1"/>
      <c r="P202" s="1"/>
      <c r="Q202" s="1" t="s">
        <v>192</v>
      </c>
    </row>
    <row r="203" spans="1:17" x14ac:dyDescent="0.25">
      <c r="A203" s="2" t="str">
        <f ca="1">IFERROR(__xludf.DUMMYFUNCTION("""COMPUTED_VALUE"""),"REG DE INTEGRA  METROPOLITANA")</f>
        <v>REG DE INTEGRA  METROPOLITANA</v>
      </c>
      <c r="B203" s="1" t="str">
        <f ca="1">IFERROR(__xludf.DUMMYFUNCTION("""COMPUTED_VALUE"""),"DRE BELEM 1")</f>
        <v>DRE BELEM 1</v>
      </c>
      <c r="C203" s="2" t="str">
        <f ca="1">IFERROR(__xludf.DUMMYFUNCTION("""COMPUTED_VALUE"""),"DRE - ANANINDEUA / BELEM")</f>
        <v>DRE - ANANINDEUA / BELEM</v>
      </c>
      <c r="D203" s="2" t="str">
        <f ca="1">IFERROR(__xludf.DUMMYFUNCTION("""COMPUTED_VALUE"""),"Belem 1")</f>
        <v>Belem 1</v>
      </c>
      <c r="E203" s="2" t="str">
        <f ca="1">IFERROR(__xludf.DUMMYFUNCTION("""COMPUTED_VALUE"""),"DRE - ANANINDEUA / BELEMBelem 1")</f>
        <v>DRE - ANANINDEUA / BELEMBelem 1</v>
      </c>
      <c r="F203" s="1">
        <f ca="1">IFERROR(__xludf.DUMMYFUNCTION("""COMPUTED_VALUE"""),2)</f>
        <v>2</v>
      </c>
      <c r="G203" s="1" t="str">
        <f ca="1">IFERROR(__xludf.DUMMYFUNCTION("""COMPUTED_VALUE"""),"DRE BELEM 1")</f>
        <v>DRE BELEM 1</v>
      </c>
      <c r="H203" s="1" t="str">
        <f ca="1">IFERROR(__xludf.DUMMYFUNCTION("""COMPUTED_VALUE"""),"19A URE - BELEM")</f>
        <v>19A URE - BELEM</v>
      </c>
      <c r="I203" s="2" t="str">
        <f ca="1">IFERROR(__xludf.DUMMYFUNCTION("""COMPUTED_VALUE"""),"Unidade 1")</f>
        <v>Unidade 1</v>
      </c>
      <c r="J203" s="1" t="str">
        <f ca="1">IFERROR(__xludf.DUMMYFUNCTION("""COMPUTED_VALUE"""),"BELEM")</f>
        <v>BELEM</v>
      </c>
      <c r="K203" s="1">
        <f ca="1">IFERROR(__xludf.DUMMYFUNCTION("""COMPUTED_VALUE"""),15040224)</f>
        <v>15040224</v>
      </c>
      <c r="L203" s="2" t="str">
        <f ca="1">IFERROR(__xludf.DUMMYFUNCTION("""COMPUTED_VALUE"""),"001920901260000")</f>
        <v>001920901260000</v>
      </c>
      <c r="M203" s="2" t="str">
        <f ca="1">IFERROR(__xludf.DUMMYFUNCTION("""COMPUTED_VALUE"""),"1920901260000")</f>
        <v>1920901260000</v>
      </c>
      <c r="N203" s="1" t="str">
        <f ca="1">IFERROR(__xludf.DUMMYFUNCTION("""COMPUTED_VALUE"""),"EEEFM SANTA LUZIA")</f>
        <v>EEEFM SANTA LUZIA</v>
      </c>
      <c r="O203" s="1"/>
      <c r="P203" s="1"/>
      <c r="Q203" s="1" t="s">
        <v>192</v>
      </c>
    </row>
    <row r="204" spans="1:17" x14ac:dyDescent="0.25">
      <c r="A204" s="2" t="str">
        <f ca="1">IFERROR(__xludf.DUMMYFUNCTION("""COMPUTED_VALUE"""),"REG DE INTEGRA  METROPOLITANA")</f>
        <v>REG DE INTEGRA  METROPOLITANA</v>
      </c>
      <c r="B204" s="1" t="str">
        <f ca="1">IFERROR(__xludf.DUMMYFUNCTION("""COMPUTED_VALUE"""),"DRE BELEM 1")</f>
        <v>DRE BELEM 1</v>
      </c>
      <c r="C204" s="2" t="str">
        <f ca="1">IFERROR(__xludf.DUMMYFUNCTION("""COMPUTED_VALUE"""),"DRE - ANANINDEUA / BELEM")</f>
        <v>DRE - ANANINDEUA / BELEM</v>
      </c>
      <c r="D204" s="2" t="str">
        <f ca="1">IFERROR(__xludf.DUMMYFUNCTION("""COMPUTED_VALUE"""),"Belem 1")</f>
        <v>Belem 1</v>
      </c>
      <c r="E204" s="2" t="str">
        <f ca="1">IFERROR(__xludf.DUMMYFUNCTION("""COMPUTED_VALUE"""),"DRE - ANANINDEUA / BELEMBelem 1")</f>
        <v>DRE - ANANINDEUA / BELEMBelem 1</v>
      </c>
      <c r="F204" s="1">
        <f ca="1">IFERROR(__xludf.DUMMYFUNCTION("""COMPUTED_VALUE"""),2)</f>
        <v>2</v>
      </c>
      <c r="G204" s="1" t="str">
        <f ca="1">IFERROR(__xludf.DUMMYFUNCTION("""COMPUTED_VALUE"""),"DRE BELEM 1")</f>
        <v>DRE BELEM 1</v>
      </c>
      <c r="H204" s="1" t="str">
        <f ca="1">IFERROR(__xludf.DUMMYFUNCTION("""COMPUTED_VALUE"""),"19A URE - BELEM")</f>
        <v>19A URE - BELEM</v>
      </c>
      <c r="I204" s="2" t="str">
        <f ca="1">IFERROR(__xludf.DUMMYFUNCTION("""COMPUTED_VALUE"""),"Unidade 1")</f>
        <v>Unidade 1</v>
      </c>
      <c r="J204" s="1" t="str">
        <f ca="1">IFERROR(__xludf.DUMMYFUNCTION("""COMPUTED_VALUE"""),"BELEM")</f>
        <v>BELEM</v>
      </c>
      <c r="K204" s="1">
        <f ca="1">IFERROR(__xludf.DUMMYFUNCTION("""COMPUTED_VALUE"""),15043550)</f>
        <v>15043550</v>
      </c>
      <c r="L204" s="2" t="str">
        <f ca="1">IFERROR(__xludf.DUMMYFUNCTION("""COMPUTED_VALUE"""),"001920901930000")</f>
        <v>001920901930000</v>
      </c>
      <c r="M204" s="2" t="str">
        <f ca="1">IFERROR(__xludf.DUMMYFUNCTION("""COMPUTED_VALUE"""),"1920901930000")</f>
        <v>1920901930000</v>
      </c>
      <c r="N204" s="1" t="str">
        <f ca="1">IFERROR(__xludf.DUMMYFUNCTION("""COMPUTED_VALUE"""),"EEEIF ALMIRANTE GUILLOBEL")</f>
        <v>EEEIF ALMIRANTE GUILLOBEL</v>
      </c>
      <c r="O204" s="1"/>
      <c r="P204" s="1"/>
      <c r="Q204" s="1" t="s">
        <v>192</v>
      </c>
    </row>
    <row r="205" spans="1:17" x14ac:dyDescent="0.25">
      <c r="A205" s="2" t="str">
        <f ca="1">IFERROR(__xludf.DUMMYFUNCTION("""COMPUTED_VALUE"""),"REG DE INTEGRA  METROPOLITANA")</f>
        <v>REG DE INTEGRA  METROPOLITANA</v>
      </c>
      <c r="B205" s="1" t="str">
        <f ca="1">IFERROR(__xludf.DUMMYFUNCTION("""COMPUTED_VALUE"""),"DRE BELEM 1")</f>
        <v>DRE BELEM 1</v>
      </c>
      <c r="C205" s="2" t="str">
        <f ca="1">IFERROR(__xludf.DUMMYFUNCTION("""COMPUTED_VALUE"""),"DRE - ANANINDEUA / BELEM")</f>
        <v>DRE - ANANINDEUA / BELEM</v>
      </c>
      <c r="D205" s="2" t="str">
        <f ca="1">IFERROR(__xludf.DUMMYFUNCTION("""COMPUTED_VALUE"""),"Belem 1")</f>
        <v>Belem 1</v>
      </c>
      <c r="E205" s="2" t="str">
        <f ca="1">IFERROR(__xludf.DUMMYFUNCTION("""COMPUTED_VALUE"""),"DRE - ANANINDEUA / BELEMBelem 1")</f>
        <v>DRE - ANANINDEUA / BELEMBelem 1</v>
      </c>
      <c r="F205" s="1">
        <f ca="1">IFERROR(__xludf.DUMMYFUNCTION("""COMPUTED_VALUE"""),2)</f>
        <v>2</v>
      </c>
      <c r="G205" s="1" t="str">
        <f ca="1">IFERROR(__xludf.DUMMYFUNCTION("""COMPUTED_VALUE"""),"DRE BELEM 1")</f>
        <v>DRE BELEM 1</v>
      </c>
      <c r="H205" s="1" t="str">
        <f ca="1">IFERROR(__xludf.DUMMYFUNCTION("""COMPUTED_VALUE"""),"19A URE - BELEM")</f>
        <v>19A URE - BELEM</v>
      </c>
      <c r="I205" s="2" t="str">
        <f ca="1">IFERROR(__xludf.DUMMYFUNCTION("""COMPUTED_VALUE"""),"Unidade 1")</f>
        <v>Unidade 1</v>
      </c>
      <c r="J205" s="1" t="str">
        <f ca="1">IFERROR(__xludf.DUMMYFUNCTION("""COMPUTED_VALUE"""),"BELEM")</f>
        <v>BELEM</v>
      </c>
      <c r="K205" s="1">
        <f ca="1">IFERROR(__xludf.DUMMYFUNCTION("""COMPUTED_VALUE"""),15039242)</f>
        <v>15039242</v>
      </c>
      <c r="L205" s="2" t="str">
        <f ca="1">IFERROR(__xludf.DUMMYFUNCTION("""COMPUTED_VALUE"""),"001920901250000")</f>
        <v>001920901250000</v>
      </c>
      <c r="M205" s="2" t="str">
        <f ca="1">IFERROR(__xludf.DUMMYFUNCTION("""COMPUTED_VALUE"""),"1920901250000")</f>
        <v>1920901250000</v>
      </c>
      <c r="N205" s="1" t="str">
        <f ca="1">IFERROR(__xludf.DUMMYFUNCTION("""COMPUTED_VALUE"""),"EEEIF PROFA EMILIANA SARMENTO FERREIRA")</f>
        <v>EEEIF PROFA EMILIANA SARMENTO FERREIRA</v>
      </c>
      <c r="O205" s="1"/>
      <c r="P205" s="1"/>
      <c r="Q205" s="1" t="s">
        <v>192</v>
      </c>
    </row>
    <row r="206" spans="1:17" x14ac:dyDescent="0.25">
      <c r="A206" s="2" t="str">
        <f ca="1">IFERROR(__xludf.DUMMYFUNCTION("""COMPUTED_VALUE"""),"REG DE INTEGRA  METROPOLITANA")</f>
        <v>REG DE INTEGRA  METROPOLITANA</v>
      </c>
      <c r="B206" s="1" t="str">
        <f ca="1">IFERROR(__xludf.DUMMYFUNCTION("""COMPUTED_VALUE"""),"DRE BELEM 1")</f>
        <v>DRE BELEM 1</v>
      </c>
      <c r="C206" s="2" t="str">
        <f ca="1">IFERROR(__xludf.DUMMYFUNCTION("""COMPUTED_VALUE"""),"DRE - ANANINDEUA / BELEM")</f>
        <v>DRE - ANANINDEUA / BELEM</v>
      </c>
      <c r="D206" s="2" t="str">
        <f ca="1">IFERROR(__xludf.DUMMYFUNCTION("""COMPUTED_VALUE"""),"Belem 1")</f>
        <v>Belem 1</v>
      </c>
      <c r="E206" s="2" t="str">
        <f ca="1">IFERROR(__xludf.DUMMYFUNCTION("""COMPUTED_VALUE"""),"DRE - ANANINDEUA / BELEMBelem 1")</f>
        <v>DRE - ANANINDEUA / BELEMBelem 1</v>
      </c>
      <c r="F206" s="1">
        <f ca="1">IFERROR(__xludf.DUMMYFUNCTION("""COMPUTED_VALUE"""),2)</f>
        <v>2</v>
      </c>
      <c r="G206" s="1" t="str">
        <f ca="1">IFERROR(__xludf.DUMMYFUNCTION("""COMPUTED_VALUE"""),"DRE BELEM 1")</f>
        <v>DRE BELEM 1</v>
      </c>
      <c r="H206" s="1" t="str">
        <f ca="1">IFERROR(__xludf.DUMMYFUNCTION("""COMPUTED_VALUE"""),"19A URE - BELEM")</f>
        <v>19A URE - BELEM</v>
      </c>
      <c r="I206" s="2" t="str">
        <f ca="1">IFERROR(__xludf.DUMMYFUNCTION("""COMPUTED_VALUE"""),"Unidade 1")</f>
        <v>Unidade 1</v>
      </c>
      <c r="J206" s="1" t="str">
        <f ca="1">IFERROR(__xludf.DUMMYFUNCTION("""COMPUTED_VALUE"""),"BELEM")</f>
        <v>BELEM</v>
      </c>
      <c r="K206" s="1">
        <f ca="1">IFERROR(__xludf.DUMMYFUNCTION("""COMPUTED_VALUE"""),15040500)</f>
        <v>15040500</v>
      </c>
      <c r="L206" s="2" t="str">
        <f ca="1">IFERROR(__xludf.DUMMYFUNCTION("""COMPUTED_VALUE"""),"001920924580000")</f>
        <v>001920924580000</v>
      </c>
      <c r="M206" s="2" t="str">
        <f ca="1">IFERROR(__xludf.DUMMYFUNCTION("""COMPUTED_VALUE"""),"1920924580000")</f>
        <v>1920924580000</v>
      </c>
      <c r="N206" s="1" t="str">
        <f ca="1">IFERROR(__xludf.DUMMYFUNCTION("""COMPUTED_VALUE"""),"EEEIF PROFA ESTHER BANDEIRA GOMES")</f>
        <v>EEEIF PROFA ESTHER BANDEIRA GOMES</v>
      </c>
      <c r="O206" s="1"/>
      <c r="P206" s="1"/>
      <c r="Q206" s="1" t="s">
        <v>192</v>
      </c>
    </row>
    <row r="207" spans="1:17" x14ac:dyDescent="0.25">
      <c r="A207" s="2" t="str">
        <f ca="1">IFERROR(__xludf.DUMMYFUNCTION("""COMPUTED_VALUE"""),"REG DE INTEGRA  METROPOLITANA")</f>
        <v>REG DE INTEGRA  METROPOLITANA</v>
      </c>
      <c r="B207" s="1" t="str">
        <f ca="1">IFERROR(__xludf.DUMMYFUNCTION("""COMPUTED_VALUE"""),"DRE BELEM 1")</f>
        <v>DRE BELEM 1</v>
      </c>
      <c r="C207" s="2" t="str">
        <f ca="1">IFERROR(__xludf.DUMMYFUNCTION("""COMPUTED_VALUE"""),"DRE - ANANINDEUA / BELEM")</f>
        <v>DRE - ANANINDEUA / BELEM</v>
      </c>
      <c r="D207" s="2" t="str">
        <f ca="1">IFERROR(__xludf.DUMMYFUNCTION("""COMPUTED_VALUE"""),"Belem 1")</f>
        <v>Belem 1</v>
      </c>
      <c r="E207" s="2" t="str">
        <f ca="1">IFERROR(__xludf.DUMMYFUNCTION("""COMPUTED_VALUE"""),"DRE - ANANINDEUA / BELEMBelem 1")</f>
        <v>DRE - ANANINDEUA / BELEMBelem 1</v>
      </c>
      <c r="F207" s="1">
        <f ca="1">IFERROR(__xludf.DUMMYFUNCTION("""COMPUTED_VALUE"""),2)</f>
        <v>2</v>
      </c>
      <c r="G207" s="1" t="str">
        <f ca="1">IFERROR(__xludf.DUMMYFUNCTION("""COMPUTED_VALUE"""),"DRE BELEM 1")</f>
        <v>DRE BELEM 1</v>
      </c>
      <c r="H207" s="1" t="str">
        <f ca="1">IFERROR(__xludf.DUMMYFUNCTION("""COMPUTED_VALUE"""),"19A URE - BELEM")</f>
        <v>19A URE - BELEM</v>
      </c>
      <c r="I207" s="2" t="str">
        <f ca="1">IFERROR(__xludf.DUMMYFUNCTION("""COMPUTED_VALUE"""),"Unidade 1")</f>
        <v>Unidade 1</v>
      </c>
      <c r="J207" s="1" t="str">
        <f ca="1">IFERROR(__xludf.DUMMYFUNCTION("""COMPUTED_VALUE"""),"BELEM")</f>
        <v>BELEM</v>
      </c>
      <c r="K207" s="1">
        <f ca="1">IFERROR(__xludf.DUMMYFUNCTION("""COMPUTED_VALUE"""),15552594)</f>
        <v>15552594</v>
      </c>
      <c r="L207" s="2" t="str">
        <f ca="1">IFERROR(__xludf.DUMMYFUNCTION("""COMPUTED_VALUE"""),"001920929680000")</f>
        <v>001920929680000</v>
      </c>
      <c r="M207" s="2" t="str">
        <f ca="1">IFERROR(__xludf.DUMMYFUNCTION("""COMPUTED_VALUE"""),"1920929680000")</f>
        <v>1920929680000</v>
      </c>
      <c r="N207" s="1" t="str">
        <f ca="1">IFERROR(__xludf.DUMMYFUNCTION("""COMPUTED_VALUE"""),"EEEIF RUY PARANATINGA BARATA")</f>
        <v>EEEIF RUY PARANATINGA BARATA</v>
      </c>
      <c r="O207" s="1"/>
      <c r="P207" s="1"/>
      <c r="Q207" s="1" t="s">
        <v>192</v>
      </c>
    </row>
    <row r="208" spans="1:17" x14ac:dyDescent="0.25">
      <c r="A208" s="2" t="str">
        <f ca="1">IFERROR(__xludf.DUMMYFUNCTION("""COMPUTED_VALUE"""),"REG DE INTEGRA  METROPOLITANA")</f>
        <v>REG DE INTEGRA  METROPOLITANA</v>
      </c>
      <c r="B208" s="1" t="str">
        <f ca="1">IFERROR(__xludf.DUMMYFUNCTION("""COMPUTED_VALUE"""),"DRE BELEM 1")</f>
        <v>DRE BELEM 1</v>
      </c>
      <c r="C208" s="2" t="str">
        <f ca="1">IFERROR(__xludf.DUMMYFUNCTION("""COMPUTED_VALUE"""),"DRE - ANANINDEUA / BELEM")</f>
        <v>DRE - ANANINDEUA / BELEM</v>
      </c>
      <c r="D208" s="2" t="str">
        <f ca="1">IFERROR(__xludf.DUMMYFUNCTION("""COMPUTED_VALUE"""),"Belem 1")</f>
        <v>Belem 1</v>
      </c>
      <c r="E208" s="2" t="str">
        <f ca="1">IFERROR(__xludf.DUMMYFUNCTION("""COMPUTED_VALUE"""),"DRE - ANANINDEUA / BELEMBelem 1")</f>
        <v>DRE - ANANINDEUA / BELEMBelem 1</v>
      </c>
      <c r="F208" s="1">
        <f ca="1">IFERROR(__xludf.DUMMYFUNCTION("""COMPUTED_VALUE"""),2)</f>
        <v>2</v>
      </c>
      <c r="G208" s="1" t="str">
        <f ca="1">IFERROR(__xludf.DUMMYFUNCTION("""COMPUTED_VALUE"""),"DRE BELEM 1")</f>
        <v>DRE BELEM 1</v>
      </c>
      <c r="H208" s="1" t="str">
        <f ca="1">IFERROR(__xludf.DUMMYFUNCTION("""COMPUTED_VALUE"""),"19A URE - BELEM")</f>
        <v>19A URE - BELEM</v>
      </c>
      <c r="I208" s="2" t="str">
        <f ca="1">IFERROR(__xludf.DUMMYFUNCTION("""COMPUTED_VALUE"""),"Unidade 1")</f>
        <v>Unidade 1</v>
      </c>
      <c r="J208" s="1" t="str">
        <f ca="1">IFERROR(__xludf.DUMMYFUNCTION("""COMPUTED_VALUE"""),"BELEM")</f>
        <v>BELEM</v>
      </c>
      <c r="K208" s="1">
        <f ca="1">IFERROR(__xludf.DUMMYFUNCTION("""COMPUTED_VALUE"""),15040470)</f>
        <v>15040470</v>
      </c>
      <c r="L208" s="2" t="str">
        <f ca="1">IFERROR(__xludf.DUMMYFUNCTION("""COMPUTED_VALUE"""),"001920902340000")</f>
        <v>001920902340000</v>
      </c>
      <c r="M208" s="2" t="str">
        <f ca="1">IFERROR(__xludf.DUMMYFUNCTION("""COMPUTED_VALUE"""),"1920902340000")</f>
        <v>1920902340000</v>
      </c>
      <c r="N208" s="1" t="str">
        <f ca="1">IFERROR(__xludf.DUMMYFUNCTION("""COMPUTED_VALUE"""),"EEEIFM PROF ACY DE JESUS BARROS PEREIRA")</f>
        <v>EEEIFM PROF ACY DE JESUS BARROS PEREIRA</v>
      </c>
      <c r="O208" s="1"/>
      <c r="P208" s="1"/>
      <c r="Q208" s="1" t="s">
        <v>192</v>
      </c>
    </row>
    <row r="209" spans="1:17" x14ac:dyDescent="0.25">
      <c r="A209" s="2" t="str">
        <f ca="1">IFERROR(__xludf.DUMMYFUNCTION("""COMPUTED_VALUE"""),"REG DE INTEGRA  METROPOLITANA")</f>
        <v>REG DE INTEGRA  METROPOLITANA</v>
      </c>
      <c r="B209" s="1" t="str">
        <f ca="1">IFERROR(__xludf.DUMMYFUNCTION("""COMPUTED_VALUE"""),"DRE BELEM 1")</f>
        <v>DRE BELEM 1</v>
      </c>
      <c r="C209" s="2" t="str">
        <f ca="1">IFERROR(__xludf.DUMMYFUNCTION("""COMPUTED_VALUE"""),"DRE - ANANINDEUA / BELEM")</f>
        <v>DRE - ANANINDEUA / BELEM</v>
      </c>
      <c r="D209" s="2" t="str">
        <f ca="1">IFERROR(__xludf.DUMMYFUNCTION("""COMPUTED_VALUE"""),"Belem 1")</f>
        <v>Belem 1</v>
      </c>
      <c r="E209" s="2" t="str">
        <f ca="1">IFERROR(__xludf.DUMMYFUNCTION("""COMPUTED_VALUE"""),"DRE - ANANINDEUA / BELEMBelem 1")</f>
        <v>DRE - ANANINDEUA / BELEMBelem 1</v>
      </c>
      <c r="F209" s="1">
        <f ca="1">IFERROR(__xludf.DUMMYFUNCTION("""COMPUTED_VALUE"""),2)</f>
        <v>2</v>
      </c>
      <c r="G209" s="1" t="str">
        <f ca="1">IFERROR(__xludf.DUMMYFUNCTION("""COMPUTED_VALUE"""),"DRE BELEM 1")</f>
        <v>DRE BELEM 1</v>
      </c>
      <c r="H209" s="1" t="str">
        <f ca="1">IFERROR(__xludf.DUMMYFUNCTION("""COMPUTED_VALUE"""),"19A URE - BELEM")</f>
        <v>19A URE - BELEM</v>
      </c>
      <c r="I209" s="2" t="str">
        <f ca="1">IFERROR(__xludf.DUMMYFUNCTION("""COMPUTED_VALUE"""),"Unidade 1")</f>
        <v>Unidade 1</v>
      </c>
      <c r="J209" s="1" t="str">
        <f ca="1">IFERROR(__xludf.DUMMYFUNCTION("""COMPUTED_VALUE"""),"BELEM")</f>
        <v>BELEM</v>
      </c>
      <c r="K209" s="1">
        <f ca="1">IFERROR(__xludf.DUMMYFUNCTION("""COMPUTED_VALUE"""),15552586)</f>
        <v>15552586</v>
      </c>
      <c r="L209" s="2" t="str">
        <f ca="1">IFERROR(__xludf.DUMMYFUNCTION("""COMPUTED_VALUE"""),"001920929840000")</f>
        <v>001920929840000</v>
      </c>
      <c r="M209" s="2" t="str">
        <f ca="1">IFERROR(__xludf.DUMMYFUNCTION("""COMPUTED_VALUE"""),"1920929840000")</f>
        <v>1920929840000</v>
      </c>
      <c r="N209" s="1" t="str">
        <f ca="1">IFERROR(__xludf.DUMMYFUNCTION("""COMPUTED_VALUE"""),"EEEIFM PROF ANTONIO GOMES MOREIRA JUNIOR")</f>
        <v>EEEIFM PROF ANTONIO GOMES MOREIRA JUNIOR</v>
      </c>
      <c r="O209" s="1"/>
      <c r="P209" s="1"/>
      <c r="Q209" s="1" t="s">
        <v>192</v>
      </c>
    </row>
    <row r="210" spans="1:17" x14ac:dyDescent="0.25">
      <c r="A210" s="2" t="str">
        <f ca="1">IFERROR(__xludf.DUMMYFUNCTION("""COMPUTED_VALUE"""),"REG DE INTEGRA  METROPOLITANA")</f>
        <v>REG DE INTEGRA  METROPOLITANA</v>
      </c>
      <c r="B210" s="1" t="str">
        <f ca="1">IFERROR(__xludf.DUMMYFUNCTION("""COMPUTED_VALUE"""),"DRE BELEM 10")</f>
        <v>DRE BELEM 10</v>
      </c>
      <c r="C210" s="2" t="str">
        <f ca="1">IFERROR(__xludf.DUMMYFUNCTION("""COMPUTED_VALUE"""),"DRE - ANANINDEUA / BELEM")</f>
        <v>DRE - ANANINDEUA / BELEM</v>
      </c>
      <c r="D210" s="2" t="str">
        <f ca="1">IFERROR(__xludf.DUMMYFUNCTION("""COMPUTED_VALUE"""),"Belem 10")</f>
        <v>Belem 10</v>
      </c>
      <c r="E210" s="2" t="str">
        <f ca="1">IFERROR(__xludf.DUMMYFUNCTION("""COMPUTED_VALUE"""),"DRE - ANANINDEUA / BELEMBelem 10")</f>
        <v>DRE - ANANINDEUA / BELEMBelem 10</v>
      </c>
      <c r="F210" s="1">
        <f ca="1">IFERROR(__xludf.DUMMYFUNCTION("""COMPUTED_VALUE"""),2)</f>
        <v>2</v>
      </c>
      <c r="G210" s="1" t="str">
        <f ca="1">IFERROR(__xludf.DUMMYFUNCTION("""COMPUTED_VALUE"""),"DRE BELEM 11")</f>
        <v>DRE BELEM 11</v>
      </c>
      <c r="H210" s="1" t="str">
        <f ca="1">IFERROR(__xludf.DUMMYFUNCTION("""COMPUTED_VALUE"""),"19A URE - BELEM")</f>
        <v>19A URE - BELEM</v>
      </c>
      <c r="I210" s="2" t="str">
        <f ca="1">IFERROR(__xludf.DUMMYFUNCTION("""COMPUTED_VALUE"""),"Unidade 11")</f>
        <v>Unidade 11</v>
      </c>
      <c r="J210" s="1" t="str">
        <f ca="1">IFERROR(__xludf.DUMMYFUNCTION("""COMPUTED_VALUE"""),"ANANINDEUA")</f>
        <v>ANANINDEUA</v>
      </c>
      <c r="K210" s="1">
        <f ca="1">IFERROR(__xludf.DUMMYFUNCTION("""COMPUTED_VALUE"""),15170209)</f>
        <v>15170209</v>
      </c>
      <c r="L210" s="2" t="str">
        <f ca="1">IFERROR(__xludf.DUMMYFUNCTION("""COMPUTED_VALUE"""),"001920927740001")</f>
        <v>001920927740001</v>
      </c>
      <c r="M210" s="2" t="str">
        <f ca="1">IFERROR(__xludf.DUMMYFUNCTION("""COMPUTED_VALUE"""),"1920927740001")</f>
        <v>1920927740001</v>
      </c>
      <c r="N210" s="1" t="str">
        <f ca="1">IFERROR(__xludf.DUMMYFUNCTION("""COMPUTED_VALUE"""),"EEEF COLONIA DO FIDELIS- ANEXO I")</f>
        <v>EEEF COLONIA DO FIDELIS- ANEXO I</v>
      </c>
      <c r="O210" s="1"/>
      <c r="P210" s="1"/>
      <c r="Q210" s="1" t="s">
        <v>218</v>
      </c>
    </row>
    <row r="211" spans="1:17" x14ac:dyDescent="0.25">
      <c r="A211" s="2" t="str">
        <f ca="1">IFERROR(__xludf.DUMMYFUNCTION("""COMPUTED_VALUE"""),"REG DE INTEGRA  METROPOLITANA")</f>
        <v>REG DE INTEGRA  METROPOLITANA</v>
      </c>
      <c r="B211" s="1" t="str">
        <f ca="1">IFERROR(__xludf.DUMMYFUNCTION("""COMPUTED_VALUE"""),"DRE BELEM 10")</f>
        <v>DRE BELEM 10</v>
      </c>
      <c r="C211" s="2" t="str">
        <f ca="1">IFERROR(__xludf.DUMMYFUNCTION("""COMPUTED_VALUE"""),"DRE - ANANINDEUA / BELEM")</f>
        <v>DRE - ANANINDEUA / BELEM</v>
      </c>
      <c r="D211" s="2" t="str">
        <f ca="1">IFERROR(__xludf.DUMMYFUNCTION("""COMPUTED_VALUE"""),"Belem 10")</f>
        <v>Belem 10</v>
      </c>
      <c r="E211" s="2" t="str">
        <f ca="1">IFERROR(__xludf.DUMMYFUNCTION("""COMPUTED_VALUE"""),"DRE - ANANINDEUA / BELEMBelem 10")</f>
        <v>DRE - ANANINDEUA / BELEMBelem 10</v>
      </c>
      <c r="F211" s="1">
        <f ca="1">IFERROR(__xludf.DUMMYFUNCTION("""COMPUTED_VALUE"""),2)</f>
        <v>2</v>
      </c>
      <c r="G211" s="1" t="str">
        <f ca="1">IFERROR(__xludf.DUMMYFUNCTION("""COMPUTED_VALUE"""),"DRE BELEM 11")</f>
        <v>DRE BELEM 11</v>
      </c>
      <c r="H211" s="1" t="str">
        <f ca="1">IFERROR(__xludf.DUMMYFUNCTION("""COMPUTED_VALUE"""),"19A URE - BELEM")</f>
        <v>19A URE - BELEM</v>
      </c>
      <c r="I211" s="2" t="str">
        <f ca="1">IFERROR(__xludf.DUMMYFUNCTION("""COMPUTED_VALUE"""),"Unidade 11")</f>
        <v>Unidade 11</v>
      </c>
      <c r="J211" s="1" t="str">
        <f ca="1">IFERROR(__xludf.DUMMYFUNCTION("""COMPUTED_VALUE"""),"BELEM")</f>
        <v>BELEM</v>
      </c>
      <c r="K211" s="1">
        <f ca="1">IFERROR(__xludf.DUMMYFUNCTION("""COMPUTED_VALUE"""),15042820)</f>
        <v>15042820</v>
      </c>
      <c r="L211" s="2" t="str">
        <f ca="1">IFERROR(__xludf.DUMMYFUNCTION("""COMPUTED_VALUE"""),"001920902040000")</f>
        <v>001920902040000</v>
      </c>
      <c r="M211" s="2" t="str">
        <f ca="1">IFERROR(__xludf.DUMMYFUNCTION("""COMPUTED_VALUE"""),"1920902040000")</f>
        <v>1920902040000</v>
      </c>
      <c r="N211" s="1" t="str">
        <f ca="1">IFERROR(__xludf.DUMMYFUNCTION("""COMPUTED_VALUE"""),"EEEF CEL SARMENTO")</f>
        <v>EEEF CEL SARMENTO</v>
      </c>
      <c r="O211" s="1"/>
      <c r="P211" s="1"/>
      <c r="Q211" s="1" t="s">
        <v>218</v>
      </c>
    </row>
    <row r="212" spans="1:17" x14ac:dyDescent="0.25">
      <c r="A212" s="2" t="str">
        <f ca="1">IFERROR(__xludf.DUMMYFUNCTION("""COMPUTED_VALUE"""),"REG DE INTEGRA  METROPOLITANA")</f>
        <v>REG DE INTEGRA  METROPOLITANA</v>
      </c>
      <c r="B212" s="1" t="str">
        <f ca="1">IFERROR(__xludf.DUMMYFUNCTION("""COMPUTED_VALUE"""),"DRE BELEM 10")</f>
        <v>DRE BELEM 10</v>
      </c>
      <c r="C212" s="2" t="str">
        <f ca="1">IFERROR(__xludf.DUMMYFUNCTION("""COMPUTED_VALUE"""),"DRE - ANANINDEUA / BELEM")</f>
        <v>DRE - ANANINDEUA / BELEM</v>
      </c>
      <c r="D212" s="2" t="str">
        <f ca="1">IFERROR(__xludf.DUMMYFUNCTION("""COMPUTED_VALUE"""),"Belem 10")</f>
        <v>Belem 10</v>
      </c>
      <c r="E212" s="2" t="str">
        <f ca="1">IFERROR(__xludf.DUMMYFUNCTION("""COMPUTED_VALUE"""),"DRE - ANANINDEUA / BELEMBelem 10")</f>
        <v>DRE - ANANINDEUA / BELEMBelem 10</v>
      </c>
      <c r="F212" s="1">
        <f ca="1">IFERROR(__xludf.DUMMYFUNCTION("""COMPUTED_VALUE"""),2)</f>
        <v>2</v>
      </c>
      <c r="G212" s="1" t="str">
        <f ca="1">IFERROR(__xludf.DUMMYFUNCTION("""COMPUTED_VALUE"""),"DRE BELEM 11")</f>
        <v>DRE BELEM 11</v>
      </c>
      <c r="H212" s="1" t="str">
        <f ca="1">IFERROR(__xludf.DUMMYFUNCTION("""COMPUTED_VALUE"""),"19A URE - BELEM")</f>
        <v>19A URE - BELEM</v>
      </c>
      <c r="I212" s="2" t="str">
        <f ca="1">IFERROR(__xludf.DUMMYFUNCTION("""COMPUTED_VALUE"""),"Unidade 11")</f>
        <v>Unidade 11</v>
      </c>
      <c r="J212" s="1" t="str">
        <f ca="1">IFERROR(__xludf.DUMMYFUNCTION("""COMPUTED_VALUE"""),"BELEM")</f>
        <v>BELEM</v>
      </c>
      <c r="K212" s="1">
        <f ca="1">IFERROR(__xludf.DUMMYFUNCTION("""COMPUTED_VALUE"""),15042766)</f>
        <v>15042766</v>
      </c>
      <c r="L212" s="2" t="str">
        <f ca="1">IFERROR(__xludf.DUMMYFUNCTION("""COMPUTED_VALUE"""),"001920927740000")</f>
        <v>001920927740000</v>
      </c>
      <c r="M212" s="2" t="str">
        <f ca="1">IFERROR(__xludf.DUMMYFUNCTION("""COMPUTED_VALUE"""),"1920927740000")</f>
        <v>1920927740000</v>
      </c>
      <c r="N212" s="1" t="str">
        <f ca="1">IFERROR(__xludf.DUMMYFUNCTION("""COMPUTED_VALUE"""),"EEEF COLONIA DO FIDELIS")</f>
        <v>EEEF COLONIA DO FIDELIS</v>
      </c>
      <c r="O212" s="1"/>
      <c r="P212" s="1"/>
      <c r="Q212" s="1" t="s">
        <v>218</v>
      </c>
    </row>
    <row r="213" spans="1:17" x14ac:dyDescent="0.25">
      <c r="A213" s="2" t="str">
        <f ca="1">IFERROR(__xludf.DUMMYFUNCTION("""COMPUTED_VALUE"""),"REG DE INTEGRA  METROPOLITANA")</f>
        <v>REG DE INTEGRA  METROPOLITANA</v>
      </c>
      <c r="B213" s="1" t="str">
        <f ca="1">IFERROR(__xludf.DUMMYFUNCTION("""COMPUTED_VALUE"""),"DRE BELEM 10")</f>
        <v>DRE BELEM 10</v>
      </c>
      <c r="C213" s="2" t="str">
        <f ca="1">IFERROR(__xludf.DUMMYFUNCTION("""COMPUTED_VALUE"""),"DRE - ANANINDEUA / BELEM")</f>
        <v>DRE - ANANINDEUA / BELEM</v>
      </c>
      <c r="D213" s="2" t="str">
        <f ca="1">IFERROR(__xludf.DUMMYFUNCTION("""COMPUTED_VALUE"""),"Belem 10")</f>
        <v>Belem 10</v>
      </c>
      <c r="E213" s="2" t="str">
        <f ca="1">IFERROR(__xludf.DUMMYFUNCTION("""COMPUTED_VALUE"""),"DRE - ANANINDEUA / BELEMBelem 10")</f>
        <v>DRE - ANANINDEUA / BELEMBelem 10</v>
      </c>
      <c r="F213" s="1">
        <f ca="1">IFERROR(__xludf.DUMMYFUNCTION("""COMPUTED_VALUE"""),2)</f>
        <v>2</v>
      </c>
      <c r="G213" s="1" t="str">
        <f ca="1">IFERROR(__xludf.DUMMYFUNCTION("""COMPUTED_VALUE"""),"DRE BELEM 11")</f>
        <v>DRE BELEM 11</v>
      </c>
      <c r="H213" s="1" t="str">
        <f ca="1">IFERROR(__xludf.DUMMYFUNCTION("""COMPUTED_VALUE"""),"19A URE - BELEM")</f>
        <v>19A URE - BELEM</v>
      </c>
      <c r="I213" s="2" t="str">
        <f ca="1">IFERROR(__xludf.DUMMYFUNCTION("""COMPUTED_VALUE"""),"Unidade 11")</f>
        <v>Unidade 11</v>
      </c>
      <c r="J213" s="1" t="str">
        <f ca="1">IFERROR(__xludf.DUMMYFUNCTION("""COMPUTED_VALUE"""),"BELEM")</f>
        <v>BELEM</v>
      </c>
      <c r="K213" s="1">
        <f ca="1">IFERROR(__xludf.DUMMYFUNCTION("""COMPUTED_VALUE"""),15573710)</f>
        <v>15573710</v>
      </c>
      <c r="L213" s="2" t="str">
        <f ca="1">IFERROR(__xludf.DUMMYFUNCTION("""COMPUTED_VALUE"""),"001920930520000")</f>
        <v>001920930520000</v>
      </c>
      <c r="M213" s="2" t="str">
        <f ca="1">IFERROR(__xludf.DUMMYFUNCTION("""COMPUTED_VALUE"""),"1920930520000")</f>
        <v>1920930520000</v>
      </c>
      <c r="N213" s="1" t="str">
        <f ca="1">IFERROR(__xludf.DUMMYFUNCTION("""COMPUTED_VALUE"""),"EEEF CRUZEIRO DO SUL")</f>
        <v>EEEF CRUZEIRO DO SUL</v>
      </c>
      <c r="O213" s="1"/>
      <c r="P213" s="1"/>
      <c r="Q213" s="1" t="s">
        <v>218</v>
      </c>
    </row>
    <row r="214" spans="1:17" x14ac:dyDescent="0.25">
      <c r="A214" s="2" t="str">
        <f ca="1">IFERROR(__xludf.DUMMYFUNCTION("""COMPUTED_VALUE"""),"REG DE INTEGRA  METROPOLITANA")</f>
        <v>REG DE INTEGRA  METROPOLITANA</v>
      </c>
      <c r="B214" s="1" t="str">
        <f ca="1">IFERROR(__xludf.DUMMYFUNCTION("""COMPUTED_VALUE"""),"DRE BELEM 10")</f>
        <v>DRE BELEM 10</v>
      </c>
      <c r="C214" s="2" t="str">
        <f ca="1">IFERROR(__xludf.DUMMYFUNCTION("""COMPUTED_VALUE"""),"DRE - ANANINDEUA / BELEM")</f>
        <v>DRE - ANANINDEUA / BELEM</v>
      </c>
      <c r="D214" s="2" t="str">
        <f ca="1">IFERROR(__xludf.DUMMYFUNCTION("""COMPUTED_VALUE"""),"Belem 10")</f>
        <v>Belem 10</v>
      </c>
      <c r="E214" s="2" t="str">
        <f ca="1">IFERROR(__xludf.DUMMYFUNCTION("""COMPUTED_VALUE"""),"DRE - ANANINDEUA / BELEMBelem 10")</f>
        <v>DRE - ANANINDEUA / BELEMBelem 10</v>
      </c>
      <c r="F214" s="1">
        <f ca="1">IFERROR(__xludf.DUMMYFUNCTION("""COMPUTED_VALUE"""),2)</f>
        <v>2</v>
      </c>
      <c r="G214" s="1" t="str">
        <f ca="1">IFERROR(__xludf.DUMMYFUNCTION("""COMPUTED_VALUE"""),"DRE BELEM 11")</f>
        <v>DRE BELEM 11</v>
      </c>
      <c r="H214" s="1" t="str">
        <f ca="1">IFERROR(__xludf.DUMMYFUNCTION("""COMPUTED_VALUE"""),"19A URE - BELEM")</f>
        <v>19A URE - BELEM</v>
      </c>
      <c r="I214" s="2" t="str">
        <f ca="1">IFERROR(__xludf.DUMMYFUNCTION("""COMPUTED_VALUE"""),"Unidade 11")</f>
        <v>Unidade 11</v>
      </c>
      <c r="J214" s="1" t="str">
        <f ca="1">IFERROR(__xludf.DUMMYFUNCTION("""COMPUTED_VALUE"""),"BELEM")</f>
        <v>BELEM</v>
      </c>
      <c r="K214" s="1">
        <f ca="1">IFERROR(__xludf.DUMMYFUNCTION("""COMPUTED_VALUE"""),15573702)</f>
        <v>15573702</v>
      </c>
      <c r="L214" s="2" t="str">
        <f ca="1">IFERROR(__xludf.DUMMYFUNCTION("""COMPUTED_VALUE"""),"001920930140000")</f>
        <v>001920930140000</v>
      </c>
      <c r="M214" s="2" t="str">
        <f ca="1">IFERROR(__xludf.DUMMYFUNCTION("""COMPUTED_VALUE"""),"1920930140000")</f>
        <v>1920930140000</v>
      </c>
      <c r="N214" s="1" t="str">
        <f ca="1">IFERROR(__xludf.DUMMYFUNCTION("""COMPUTED_VALUE"""),"EEEF FRANKLIN DE MENEZES")</f>
        <v>EEEF FRANKLIN DE MENEZES</v>
      </c>
      <c r="O214" s="1"/>
      <c r="P214" s="1"/>
      <c r="Q214" s="1" t="s">
        <v>218</v>
      </c>
    </row>
    <row r="215" spans="1:17" x14ac:dyDescent="0.25">
      <c r="A215" s="2" t="str">
        <f ca="1">IFERROR(__xludf.DUMMYFUNCTION("""COMPUTED_VALUE"""),"REG DE INTEGRA  METROPOLITANA")</f>
        <v>REG DE INTEGRA  METROPOLITANA</v>
      </c>
      <c r="B215" s="1" t="str">
        <f ca="1">IFERROR(__xludf.DUMMYFUNCTION("""COMPUTED_VALUE"""),"DRE BELEM 10")</f>
        <v>DRE BELEM 10</v>
      </c>
      <c r="C215" s="2" t="str">
        <f ca="1">IFERROR(__xludf.DUMMYFUNCTION("""COMPUTED_VALUE"""),"DRE - ANANINDEUA / BELEM")</f>
        <v>DRE - ANANINDEUA / BELEM</v>
      </c>
      <c r="D215" s="2" t="str">
        <f ca="1">IFERROR(__xludf.DUMMYFUNCTION("""COMPUTED_VALUE"""),"Belem 10")</f>
        <v>Belem 10</v>
      </c>
      <c r="E215" s="2" t="str">
        <f ca="1">IFERROR(__xludf.DUMMYFUNCTION("""COMPUTED_VALUE"""),"DRE - ANANINDEUA / BELEMBelem 10")</f>
        <v>DRE - ANANINDEUA / BELEMBelem 10</v>
      </c>
      <c r="F215" s="1">
        <f ca="1">IFERROR(__xludf.DUMMYFUNCTION("""COMPUTED_VALUE"""),2)</f>
        <v>2</v>
      </c>
      <c r="G215" s="1" t="str">
        <f ca="1">IFERROR(__xludf.DUMMYFUNCTION("""COMPUTED_VALUE"""),"DRE BELEM 11")</f>
        <v>DRE BELEM 11</v>
      </c>
      <c r="H215" s="1" t="str">
        <f ca="1">IFERROR(__xludf.DUMMYFUNCTION("""COMPUTED_VALUE"""),"19A URE - BELEM")</f>
        <v>19A URE - BELEM</v>
      </c>
      <c r="I215" s="2" t="str">
        <f ca="1">IFERROR(__xludf.DUMMYFUNCTION("""COMPUTED_VALUE"""),"Unidade 11")</f>
        <v>Unidade 11</v>
      </c>
      <c r="J215" s="1" t="str">
        <f ca="1">IFERROR(__xludf.DUMMYFUNCTION("""COMPUTED_VALUE"""),"BELEM")</f>
        <v>BELEM</v>
      </c>
      <c r="K215" s="1">
        <f ca="1">IFERROR(__xludf.DUMMYFUNCTION("""COMPUTED_VALUE"""),15042634)</f>
        <v>15042634</v>
      </c>
      <c r="L215" s="2" t="str">
        <f ca="1">IFERROR(__xludf.DUMMYFUNCTION("""COMPUTED_VALUE"""),"001920930020000")</f>
        <v>001920930020000</v>
      </c>
      <c r="M215" s="2" t="str">
        <f ca="1">IFERROR(__xludf.DUMMYFUNCTION("""COMPUTED_VALUE"""),"1920930020000")</f>
        <v>1920930020000</v>
      </c>
      <c r="N215" s="1" t="str">
        <f ca="1">IFERROR(__xludf.DUMMYFUNCTION("""COMPUTED_VALUE"""),"EEEF GENY GABRIEL AMARAL")</f>
        <v>EEEF GENY GABRIEL AMARAL</v>
      </c>
      <c r="O215" s="1"/>
      <c r="P215" s="1"/>
      <c r="Q215" s="1" t="s">
        <v>218</v>
      </c>
    </row>
    <row r="216" spans="1:17" x14ac:dyDescent="0.25">
      <c r="A216" s="2" t="str">
        <f ca="1">IFERROR(__xludf.DUMMYFUNCTION("""COMPUTED_VALUE"""),"REG DE INTEGRA  METROPOLITANA")</f>
        <v>REG DE INTEGRA  METROPOLITANA</v>
      </c>
      <c r="B216" s="1" t="str">
        <f ca="1">IFERROR(__xludf.DUMMYFUNCTION("""COMPUTED_VALUE"""),"DRE BELEM 10")</f>
        <v>DRE BELEM 10</v>
      </c>
      <c r="C216" s="2" t="str">
        <f ca="1">IFERROR(__xludf.DUMMYFUNCTION("""COMPUTED_VALUE"""),"DRE - ANANINDEUA / BELEM")</f>
        <v>DRE - ANANINDEUA / BELEM</v>
      </c>
      <c r="D216" s="2" t="str">
        <f ca="1">IFERROR(__xludf.DUMMYFUNCTION("""COMPUTED_VALUE"""),"Belem 10")</f>
        <v>Belem 10</v>
      </c>
      <c r="E216" s="2" t="str">
        <f ca="1">IFERROR(__xludf.DUMMYFUNCTION("""COMPUTED_VALUE"""),"DRE - ANANINDEUA / BELEMBelem 10")</f>
        <v>DRE - ANANINDEUA / BELEMBelem 10</v>
      </c>
      <c r="F216" s="1">
        <f ca="1">IFERROR(__xludf.DUMMYFUNCTION("""COMPUTED_VALUE"""),2)</f>
        <v>2</v>
      </c>
      <c r="G216" s="1" t="str">
        <f ca="1">IFERROR(__xludf.DUMMYFUNCTION("""COMPUTED_VALUE"""),"DRE BELEM 11")</f>
        <v>DRE BELEM 11</v>
      </c>
      <c r="H216" s="1" t="str">
        <f ca="1">IFERROR(__xludf.DUMMYFUNCTION("""COMPUTED_VALUE"""),"19A URE - BELEM")</f>
        <v>19A URE - BELEM</v>
      </c>
      <c r="I216" s="2" t="str">
        <f ca="1">IFERROR(__xludf.DUMMYFUNCTION("""COMPUTED_VALUE"""),"Unidade 11")</f>
        <v>Unidade 11</v>
      </c>
      <c r="J216" s="1" t="str">
        <f ca="1">IFERROR(__xludf.DUMMYFUNCTION("""COMPUTED_VALUE"""),"BELEM")</f>
        <v>BELEM</v>
      </c>
      <c r="K216" s="1">
        <f ca="1">IFERROR(__xludf.DUMMYFUNCTION("""COMPUTED_VALUE"""),15042510)</f>
        <v>15042510</v>
      </c>
      <c r="L216" s="2" t="str">
        <f ca="1">IFERROR(__xludf.DUMMYFUNCTION("""COMPUTED_VALUE"""),"001920932190000")</f>
        <v>001920932190000</v>
      </c>
      <c r="M216" s="2" t="str">
        <f ca="1">IFERROR(__xludf.DUMMYFUNCTION("""COMPUTED_VALUE"""),"1920932190000")</f>
        <v>1920932190000</v>
      </c>
      <c r="N216" s="1" t="str">
        <f ca="1">IFERROR(__xludf.DUMMYFUNCTION("""COMPUTED_VALUE"""),"EEEF NOSSA SENHORA DA CONCEICAO")</f>
        <v>EEEF NOSSA SENHORA DA CONCEICAO</v>
      </c>
      <c r="O216" s="1"/>
      <c r="P216" s="1"/>
      <c r="Q216" s="1" t="s">
        <v>218</v>
      </c>
    </row>
    <row r="217" spans="1:17" x14ac:dyDescent="0.25">
      <c r="A217" s="2" t="str">
        <f ca="1">IFERROR(__xludf.DUMMYFUNCTION("""COMPUTED_VALUE"""),"REG DE INTEGRA  METROPOLITANA")</f>
        <v>REG DE INTEGRA  METROPOLITANA</v>
      </c>
      <c r="B217" s="1" t="str">
        <f ca="1">IFERROR(__xludf.DUMMYFUNCTION("""COMPUTED_VALUE"""),"DRE BELEM 10")</f>
        <v>DRE BELEM 10</v>
      </c>
      <c r="C217" s="2" t="str">
        <f ca="1">IFERROR(__xludf.DUMMYFUNCTION("""COMPUTED_VALUE"""),"DRE - ANANINDEUA / BELEM")</f>
        <v>DRE - ANANINDEUA / BELEM</v>
      </c>
      <c r="D217" s="2" t="str">
        <f ca="1">IFERROR(__xludf.DUMMYFUNCTION("""COMPUTED_VALUE"""),"Belem 10")</f>
        <v>Belem 10</v>
      </c>
      <c r="E217" s="2" t="str">
        <f ca="1">IFERROR(__xludf.DUMMYFUNCTION("""COMPUTED_VALUE"""),"DRE - ANANINDEUA / BELEMBelem 10")</f>
        <v>DRE - ANANINDEUA / BELEMBelem 10</v>
      </c>
      <c r="F217" s="1">
        <f ca="1">IFERROR(__xludf.DUMMYFUNCTION("""COMPUTED_VALUE"""),2)</f>
        <v>2</v>
      </c>
      <c r="G217" s="1" t="str">
        <f ca="1">IFERROR(__xludf.DUMMYFUNCTION("""COMPUTED_VALUE"""),"DRE BELEM 11")</f>
        <v>DRE BELEM 11</v>
      </c>
      <c r="H217" s="1" t="str">
        <f ca="1">IFERROR(__xludf.DUMMYFUNCTION("""COMPUTED_VALUE"""),"19A URE - BELEM")</f>
        <v>19A URE - BELEM</v>
      </c>
      <c r="I217" s="2" t="str">
        <f ca="1">IFERROR(__xludf.DUMMYFUNCTION("""COMPUTED_VALUE"""),"Unidade 11")</f>
        <v>Unidade 11</v>
      </c>
      <c r="J217" s="1" t="str">
        <f ca="1">IFERROR(__xludf.DUMMYFUNCTION("""COMPUTED_VALUE"""),"BELEM")</f>
        <v>BELEM</v>
      </c>
      <c r="K217" s="1">
        <f ca="1">IFERROR(__xludf.DUMMYFUNCTION("""COMPUTED_VALUE"""),15043185)</f>
        <v>15043185</v>
      </c>
      <c r="L217" s="2" t="str">
        <f ca="1">IFERROR(__xludf.DUMMYFUNCTION("""COMPUTED_VALUE"""),"001920930830000")</f>
        <v>001920930830000</v>
      </c>
      <c r="M217" s="2" t="str">
        <f ca="1">IFERROR(__xludf.DUMMYFUNCTION("""COMPUTED_VALUE"""),"1920930830000")</f>
        <v>1920930830000</v>
      </c>
      <c r="N217" s="1" t="str">
        <f ca="1">IFERROR(__xludf.DUMMYFUNCTION("""COMPUTED_VALUE"""),"EEEF NOSSA SENHORA DE FATIMA II")</f>
        <v>EEEF NOSSA SENHORA DE FATIMA II</v>
      </c>
      <c r="O217" s="1"/>
      <c r="P217" s="1"/>
      <c r="Q217" s="1" t="s">
        <v>218</v>
      </c>
    </row>
    <row r="218" spans="1:17" x14ac:dyDescent="0.25">
      <c r="A218" s="2" t="str">
        <f ca="1">IFERROR(__xludf.DUMMYFUNCTION("""COMPUTED_VALUE"""),"REG DE INTEGRA  METROPOLITANA")</f>
        <v>REG DE INTEGRA  METROPOLITANA</v>
      </c>
      <c r="B218" s="1" t="str">
        <f ca="1">IFERROR(__xludf.DUMMYFUNCTION("""COMPUTED_VALUE"""),"DRE BELEM 10")</f>
        <v>DRE BELEM 10</v>
      </c>
      <c r="C218" s="2" t="str">
        <f ca="1">IFERROR(__xludf.DUMMYFUNCTION("""COMPUTED_VALUE"""),"DRE - ANANINDEUA / BELEM")</f>
        <v>DRE - ANANINDEUA / BELEM</v>
      </c>
      <c r="D218" s="2" t="str">
        <f ca="1">IFERROR(__xludf.DUMMYFUNCTION("""COMPUTED_VALUE"""),"Belem 10")</f>
        <v>Belem 10</v>
      </c>
      <c r="E218" s="2" t="str">
        <f ca="1">IFERROR(__xludf.DUMMYFUNCTION("""COMPUTED_VALUE"""),"DRE - ANANINDEUA / BELEMBelem 10")</f>
        <v>DRE - ANANINDEUA / BELEMBelem 10</v>
      </c>
      <c r="F218" s="1">
        <f ca="1">IFERROR(__xludf.DUMMYFUNCTION("""COMPUTED_VALUE"""),2)</f>
        <v>2</v>
      </c>
      <c r="G218" s="1" t="str">
        <f ca="1">IFERROR(__xludf.DUMMYFUNCTION("""COMPUTED_VALUE"""),"DRE BELEM 11")</f>
        <v>DRE BELEM 11</v>
      </c>
      <c r="H218" s="1" t="str">
        <f ca="1">IFERROR(__xludf.DUMMYFUNCTION("""COMPUTED_VALUE"""),"19A URE - BELEM")</f>
        <v>19A URE - BELEM</v>
      </c>
      <c r="I218" s="2" t="str">
        <f ca="1">IFERROR(__xludf.DUMMYFUNCTION("""COMPUTED_VALUE"""),"Unidade 11")</f>
        <v>Unidade 11</v>
      </c>
      <c r="J218" s="1" t="str">
        <f ca="1">IFERROR(__xludf.DUMMYFUNCTION("""COMPUTED_VALUE"""),"BELEM")</f>
        <v>BELEM</v>
      </c>
      <c r="K218" s="1">
        <f ca="1">IFERROR(__xludf.DUMMYFUNCTION("""COMPUTED_VALUE"""),15042294)</f>
        <v>15042294</v>
      </c>
      <c r="L218" s="2" t="str">
        <f ca="1">IFERROR(__xludf.DUMMYFUNCTION("""COMPUTED_VALUE"""),"001920937580000")</f>
        <v>001920937580000</v>
      </c>
      <c r="M218" s="2" t="str">
        <f ca="1">IFERROR(__xludf.DUMMYFUNCTION("""COMPUTED_VALUE"""),"1920937580000")</f>
        <v>1920937580000</v>
      </c>
      <c r="N218" s="1" t="str">
        <f ca="1">IFERROR(__xludf.DUMMYFUNCTION("""COMPUTED_VALUE"""),"EEEF PROFA GUAJARINA DE SOUZA DA SILVA")</f>
        <v>EEEF PROFA GUAJARINA DE SOUZA DA SILVA</v>
      </c>
      <c r="O218" s="1"/>
      <c r="P218" s="1"/>
      <c r="Q218" s="1" t="s">
        <v>218</v>
      </c>
    </row>
    <row r="219" spans="1:17" x14ac:dyDescent="0.25">
      <c r="A219" s="2" t="str">
        <f ca="1">IFERROR(__xludf.DUMMYFUNCTION("""COMPUTED_VALUE"""),"REG DE INTEGRA  METROPOLITANA")</f>
        <v>REG DE INTEGRA  METROPOLITANA</v>
      </c>
      <c r="B219" s="1" t="str">
        <f ca="1">IFERROR(__xludf.DUMMYFUNCTION("""COMPUTED_VALUE"""),"DRE BELEM 10")</f>
        <v>DRE BELEM 10</v>
      </c>
      <c r="C219" s="2" t="str">
        <f ca="1">IFERROR(__xludf.DUMMYFUNCTION("""COMPUTED_VALUE"""),"DRE - ANANINDEUA / BELEM")</f>
        <v>DRE - ANANINDEUA / BELEM</v>
      </c>
      <c r="D219" s="2" t="str">
        <f ca="1">IFERROR(__xludf.DUMMYFUNCTION("""COMPUTED_VALUE"""),"Belem 10")</f>
        <v>Belem 10</v>
      </c>
      <c r="E219" s="2" t="str">
        <f ca="1">IFERROR(__xludf.DUMMYFUNCTION("""COMPUTED_VALUE"""),"DRE - ANANINDEUA / BELEMBelem 10")</f>
        <v>DRE - ANANINDEUA / BELEMBelem 10</v>
      </c>
      <c r="F219" s="1">
        <f ca="1">IFERROR(__xludf.DUMMYFUNCTION("""COMPUTED_VALUE"""),2)</f>
        <v>2</v>
      </c>
      <c r="G219" s="1" t="str">
        <f ca="1">IFERROR(__xludf.DUMMYFUNCTION("""COMPUTED_VALUE"""),"DRE BELEM 11")</f>
        <v>DRE BELEM 11</v>
      </c>
      <c r="H219" s="1" t="str">
        <f ca="1">IFERROR(__xludf.DUMMYFUNCTION("""COMPUTED_VALUE"""),"19A URE - BELEM")</f>
        <v>19A URE - BELEM</v>
      </c>
      <c r="I219" s="2" t="str">
        <f ca="1">IFERROR(__xludf.DUMMYFUNCTION("""COMPUTED_VALUE"""),"Unidade 11")</f>
        <v>Unidade 11</v>
      </c>
      <c r="J219" s="1" t="str">
        <f ca="1">IFERROR(__xludf.DUMMYFUNCTION("""COMPUTED_VALUE"""),"BELEM")</f>
        <v>BELEM</v>
      </c>
      <c r="K219" s="1">
        <f ca="1">IFERROR(__xludf.DUMMYFUNCTION("""COMPUTED_VALUE"""),15042618)</f>
        <v>15042618</v>
      </c>
      <c r="L219" s="2" t="str">
        <f ca="1">IFERROR(__xludf.DUMMYFUNCTION("""COMPUTED_VALUE"""),"001920931800000")</f>
        <v>001920931800000</v>
      </c>
      <c r="M219" s="2" t="str">
        <f ca="1">IFERROR(__xludf.DUMMYFUNCTION("""COMPUTED_VALUE"""),"1920931800000")</f>
        <v>1920931800000</v>
      </c>
      <c r="N219" s="1" t="str">
        <f ca="1">IFERROR(__xludf.DUMMYFUNCTION("""COMPUTED_VALUE"""),"EEEF RODOLFO TOURINHO")</f>
        <v>EEEF RODOLFO TOURINHO</v>
      </c>
      <c r="O219" s="1"/>
      <c r="P219" s="1"/>
      <c r="Q219" s="1" t="s">
        <v>218</v>
      </c>
    </row>
    <row r="220" spans="1:17" x14ac:dyDescent="0.25">
      <c r="A220" s="2" t="str">
        <f ca="1">IFERROR(__xludf.DUMMYFUNCTION("""COMPUTED_VALUE"""),"REG DE INTEGRA  METROPOLITANA")</f>
        <v>REG DE INTEGRA  METROPOLITANA</v>
      </c>
      <c r="B220" s="1" t="str">
        <f ca="1">IFERROR(__xludf.DUMMYFUNCTION("""COMPUTED_VALUE"""),"DRE BELEM 10")</f>
        <v>DRE BELEM 10</v>
      </c>
      <c r="C220" s="2" t="str">
        <f ca="1">IFERROR(__xludf.DUMMYFUNCTION("""COMPUTED_VALUE"""),"DRE - ANANINDEUA / BELEM")</f>
        <v>DRE - ANANINDEUA / BELEM</v>
      </c>
      <c r="D220" s="2" t="str">
        <f ca="1">IFERROR(__xludf.DUMMYFUNCTION("""COMPUTED_VALUE"""),"Belem 10")</f>
        <v>Belem 10</v>
      </c>
      <c r="E220" s="2" t="str">
        <f ca="1">IFERROR(__xludf.DUMMYFUNCTION("""COMPUTED_VALUE"""),"DRE - ANANINDEUA / BELEMBelem 10")</f>
        <v>DRE - ANANINDEUA / BELEMBelem 10</v>
      </c>
      <c r="F220" s="1">
        <f ca="1">IFERROR(__xludf.DUMMYFUNCTION("""COMPUTED_VALUE"""),2)</f>
        <v>2</v>
      </c>
      <c r="G220" s="1" t="str">
        <f ca="1">IFERROR(__xludf.DUMMYFUNCTION("""COMPUTED_VALUE"""),"DRE BELEM 11")</f>
        <v>DRE BELEM 11</v>
      </c>
      <c r="H220" s="1" t="str">
        <f ca="1">IFERROR(__xludf.DUMMYFUNCTION("""COMPUTED_VALUE"""),"19A URE - BELEM")</f>
        <v>19A URE - BELEM</v>
      </c>
      <c r="I220" s="2" t="str">
        <f ca="1">IFERROR(__xludf.DUMMYFUNCTION("""COMPUTED_VALUE"""),"Unidade 11")</f>
        <v>Unidade 11</v>
      </c>
      <c r="J220" s="1" t="str">
        <f ca="1">IFERROR(__xludf.DUMMYFUNCTION("""COMPUTED_VALUE"""),"BELEM")</f>
        <v>BELEM</v>
      </c>
      <c r="K220" s="1">
        <f ca="1">IFERROR(__xludf.DUMMYFUNCTION("""COMPUTED_VALUE"""),15043142)</f>
        <v>15043142</v>
      </c>
      <c r="L220" s="2" t="str">
        <f ca="1">IFERROR(__xludf.DUMMYFUNCTION("""COMPUTED_VALUE"""),"001920930840000")</f>
        <v>001920930840000</v>
      </c>
      <c r="M220" s="2" t="str">
        <f ca="1">IFERROR(__xludf.DUMMYFUNCTION("""COMPUTED_VALUE"""),"1920930840000")</f>
        <v>1920930840000</v>
      </c>
      <c r="N220" s="1" t="str">
        <f ca="1">IFERROR(__xludf.DUMMYFUNCTION("""COMPUTED_VALUE"""),"EEEF SAO JOAO BATISTA")</f>
        <v>EEEF SAO JOAO BATISTA</v>
      </c>
      <c r="O220" s="1"/>
      <c r="P220" s="1"/>
      <c r="Q220" s="1" t="s">
        <v>218</v>
      </c>
    </row>
    <row r="221" spans="1:17" x14ac:dyDescent="0.25">
      <c r="A221" s="2" t="str">
        <f ca="1">IFERROR(__xludf.DUMMYFUNCTION("""COMPUTED_VALUE"""),"REG DE INTEGRA  METROPOLITANA")</f>
        <v>REG DE INTEGRA  METROPOLITANA</v>
      </c>
      <c r="B221" s="1" t="str">
        <f ca="1">IFERROR(__xludf.DUMMYFUNCTION("""COMPUTED_VALUE"""),"DRE BELEM 10")</f>
        <v>DRE BELEM 10</v>
      </c>
      <c r="C221" s="2" t="str">
        <f ca="1">IFERROR(__xludf.DUMMYFUNCTION("""COMPUTED_VALUE"""),"DRE - ANANINDEUA / BELEM")</f>
        <v>DRE - ANANINDEUA / BELEM</v>
      </c>
      <c r="D221" s="2" t="str">
        <f ca="1">IFERROR(__xludf.DUMMYFUNCTION("""COMPUTED_VALUE"""),"Belem 10")</f>
        <v>Belem 10</v>
      </c>
      <c r="E221" s="2" t="str">
        <f ca="1">IFERROR(__xludf.DUMMYFUNCTION("""COMPUTED_VALUE"""),"DRE - ANANINDEUA / BELEMBelem 10")</f>
        <v>DRE - ANANINDEUA / BELEMBelem 10</v>
      </c>
      <c r="F221" s="1">
        <f ca="1">IFERROR(__xludf.DUMMYFUNCTION("""COMPUTED_VALUE"""),2)</f>
        <v>2</v>
      </c>
      <c r="G221" s="1" t="str">
        <f ca="1">IFERROR(__xludf.DUMMYFUNCTION("""COMPUTED_VALUE"""),"DRE BELEM 11")</f>
        <v>DRE BELEM 11</v>
      </c>
      <c r="H221" s="1" t="str">
        <f ca="1">IFERROR(__xludf.DUMMYFUNCTION("""COMPUTED_VALUE"""),"19A URE - BELEM")</f>
        <v>19A URE - BELEM</v>
      </c>
      <c r="I221" s="2" t="str">
        <f ca="1">IFERROR(__xludf.DUMMYFUNCTION("""COMPUTED_VALUE"""),"Unidade 11")</f>
        <v>Unidade 11</v>
      </c>
      <c r="J221" s="1" t="str">
        <f ca="1">IFERROR(__xludf.DUMMYFUNCTION("""COMPUTED_VALUE"""),"BELEM")</f>
        <v>BELEM</v>
      </c>
      <c r="K221" s="1">
        <f ca="1">IFERROR(__xludf.DUMMYFUNCTION("""COMPUTED_VALUE"""),15042812)</f>
        <v>15042812</v>
      </c>
      <c r="L221" s="2" t="str">
        <f ca="1">IFERROR(__xludf.DUMMYFUNCTION("""COMPUTED_VALUE"""),"001920928760000")</f>
        <v>001920928760000</v>
      </c>
      <c r="M221" s="2" t="str">
        <f ca="1">IFERROR(__xludf.DUMMYFUNCTION("""COMPUTED_VALUE"""),"1920928760000")</f>
        <v>1920928760000</v>
      </c>
      <c r="N221" s="1" t="str">
        <f ca="1">IFERROR(__xludf.DUMMYFUNCTION("""COMPUTED_VALUE"""),"EEEF YOLANDA LEDUC PERALTA")</f>
        <v>EEEF YOLANDA LEDUC PERALTA</v>
      </c>
      <c r="O221" s="1"/>
      <c r="P221" s="1"/>
      <c r="Q221" s="1" t="s">
        <v>218</v>
      </c>
    </row>
    <row r="222" spans="1:17" x14ac:dyDescent="0.25">
      <c r="A222" s="2" t="str">
        <f ca="1">IFERROR(__xludf.DUMMYFUNCTION("""COMPUTED_VALUE"""),"REG DE INTEGRA  METROPOLITANA")</f>
        <v>REG DE INTEGRA  METROPOLITANA</v>
      </c>
      <c r="B222" s="1" t="str">
        <f ca="1">IFERROR(__xludf.DUMMYFUNCTION("""COMPUTED_VALUE"""),"DRE BELEM 10")</f>
        <v>DRE BELEM 10</v>
      </c>
      <c r="C222" s="2" t="str">
        <f ca="1">IFERROR(__xludf.DUMMYFUNCTION("""COMPUTED_VALUE"""),"DRE - ANANINDEUA / BELEM")</f>
        <v>DRE - ANANINDEUA / BELEM</v>
      </c>
      <c r="D222" s="2" t="str">
        <f ca="1">IFERROR(__xludf.DUMMYFUNCTION("""COMPUTED_VALUE"""),"Belem 10")</f>
        <v>Belem 10</v>
      </c>
      <c r="E222" s="2" t="str">
        <f ca="1">IFERROR(__xludf.DUMMYFUNCTION("""COMPUTED_VALUE"""),"DRE - ANANINDEUA / BELEMBelem 10")</f>
        <v>DRE - ANANINDEUA / BELEMBelem 10</v>
      </c>
      <c r="F222" s="1">
        <f ca="1">IFERROR(__xludf.DUMMYFUNCTION("""COMPUTED_VALUE"""),2)</f>
        <v>2</v>
      </c>
      <c r="G222" s="1" t="str">
        <f ca="1">IFERROR(__xludf.DUMMYFUNCTION("""COMPUTED_VALUE"""),"DRE BELEM 11")</f>
        <v>DRE BELEM 11</v>
      </c>
      <c r="H222" s="1" t="str">
        <f ca="1">IFERROR(__xludf.DUMMYFUNCTION("""COMPUTED_VALUE"""),"19A URE - BELEM")</f>
        <v>19A URE - BELEM</v>
      </c>
      <c r="I222" s="2" t="str">
        <f ca="1">IFERROR(__xludf.DUMMYFUNCTION("""COMPUTED_VALUE"""),"Unidade 11")</f>
        <v>Unidade 11</v>
      </c>
      <c r="J222" s="1" t="str">
        <f ca="1">IFERROR(__xludf.DUMMYFUNCTION("""COMPUTED_VALUE"""),"BELEM")</f>
        <v>BELEM</v>
      </c>
      <c r="K222" s="1">
        <f ca="1">IFERROR(__xludf.DUMMYFUNCTION("""COMPUTED_VALUE"""),15042928)</f>
        <v>15042928</v>
      </c>
      <c r="L222" s="2" t="str">
        <f ca="1">IFERROR(__xludf.DUMMYFUNCTION("""COMPUTED_VALUE"""),"001920902170000")</f>
        <v>001920902170000</v>
      </c>
      <c r="M222" s="2" t="str">
        <f ca="1">IFERROR(__xludf.DUMMYFUNCTION("""COMPUTED_VALUE"""),"1920902170000")</f>
        <v>1920902170000</v>
      </c>
      <c r="N222" s="1" t="str">
        <f ca="1">IFERROR(__xludf.DUMMYFUNCTION("""COMPUTED_VALUE"""),"EEEFM AVERTANO ROCHA")</f>
        <v>EEEFM AVERTANO ROCHA</v>
      </c>
      <c r="O222" s="1"/>
      <c r="P222" s="1"/>
      <c r="Q222" s="1" t="s">
        <v>218</v>
      </c>
    </row>
    <row r="223" spans="1:17" x14ac:dyDescent="0.25">
      <c r="A223" s="2" t="str">
        <f ca="1">IFERROR(__xludf.DUMMYFUNCTION("""COMPUTED_VALUE"""),"REG DE INTEGRA  METROPOLITANA")</f>
        <v>REG DE INTEGRA  METROPOLITANA</v>
      </c>
      <c r="B223" s="1" t="str">
        <f ca="1">IFERROR(__xludf.DUMMYFUNCTION("""COMPUTED_VALUE"""),"DRE BELEM 10")</f>
        <v>DRE BELEM 10</v>
      </c>
      <c r="C223" s="2" t="str">
        <f ca="1">IFERROR(__xludf.DUMMYFUNCTION("""COMPUTED_VALUE"""),"DRE - ANANINDEUA / BELEM")</f>
        <v>DRE - ANANINDEUA / BELEM</v>
      </c>
      <c r="D223" s="2" t="str">
        <f ca="1">IFERROR(__xludf.DUMMYFUNCTION("""COMPUTED_VALUE"""),"Belem 10")</f>
        <v>Belem 10</v>
      </c>
      <c r="E223" s="2" t="str">
        <f ca="1">IFERROR(__xludf.DUMMYFUNCTION("""COMPUTED_VALUE"""),"DRE - ANANINDEUA / BELEMBelem 10")</f>
        <v>DRE - ANANINDEUA / BELEMBelem 10</v>
      </c>
      <c r="F223" s="1">
        <f ca="1">IFERROR(__xludf.DUMMYFUNCTION("""COMPUTED_VALUE"""),2)</f>
        <v>2</v>
      </c>
      <c r="G223" s="1" t="str">
        <f ca="1">IFERROR(__xludf.DUMMYFUNCTION("""COMPUTED_VALUE"""),"DRE BELEM 11")</f>
        <v>DRE BELEM 11</v>
      </c>
      <c r="H223" s="1" t="str">
        <f ca="1">IFERROR(__xludf.DUMMYFUNCTION("""COMPUTED_VALUE"""),"19A URE - BELEM")</f>
        <v>19A URE - BELEM</v>
      </c>
      <c r="I223" s="2" t="str">
        <f ca="1">IFERROR(__xludf.DUMMYFUNCTION("""COMPUTED_VALUE"""),"Unidade 11")</f>
        <v>Unidade 11</v>
      </c>
      <c r="J223" s="1" t="str">
        <f ca="1">IFERROR(__xludf.DUMMYFUNCTION("""COMPUTED_VALUE"""),"BELEM")</f>
        <v>BELEM</v>
      </c>
      <c r="K223" s="1">
        <f ca="1">IFERROR(__xludf.DUMMYFUNCTION("""COMPUTED_VALUE"""),15042677)</f>
        <v>15042677</v>
      </c>
      <c r="L223" s="2" t="str">
        <f ca="1">IFERROR(__xludf.DUMMYFUNCTION("""COMPUTED_VALUE"""),"001920929520000")</f>
        <v>001920929520000</v>
      </c>
      <c r="M223" s="2" t="str">
        <f ca="1">IFERROR(__xludf.DUMMYFUNCTION("""COMPUTED_VALUE"""),"1920929520000")</f>
        <v>1920929520000</v>
      </c>
      <c r="N223" s="1" t="str">
        <f ca="1">IFERROR(__xludf.DUMMYFUNCTION("""COMPUTED_VALUE"""),"EEEFM BRASILIA")</f>
        <v>EEEFM BRASILIA</v>
      </c>
      <c r="O223" s="1"/>
      <c r="P223" s="1"/>
      <c r="Q223" s="1" t="s">
        <v>218</v>
      </c>
    </row>
    <row r="224" spans="1:17" x14ac:dyDescent="0.25">
      <c r="A224" s="2" t="str">
        <f ca="1">IFERROR(__xludf.DUMMYFUNCTION("""COMPUTED_VALUE"""),"REG DE INTEGRA  METROPOLITANA")</f>
        <v>REG DE INTEGRA  METROPOLITANA</v>
      </c>
      <c r="B224" s="1" t="str">
        <f ca="1">IFERROR(__xludf.DUMMYFUNCTION("""COMPUTED_VALUE"""),"DRE BELEM 10")</f>
        <v>DRE BELEM 10</v>
      </c>
      <c r="C224" s="2" t="str">
        <f ca="1">IFERROR(__xludf.DUMMYFUNCTION("""COMPUTED_VALUE"""),"DRE - ANANINDEUA / BELEM")</f>
        <v>DRE - ANANINDEUA / BELEM</v>
      </c>
      <c r="D224" s="2" t="str">
        <f ca="1">IFERROR(__xludf.DUMMYFUNCTION("""COMPUTED_VALUE"""),"Belem 10")</f>
        <v>Belem 10</v>
      </c>
      <c r="E224" s="2" t="str">
        <f ca="1">IFERROR(__xludf.DUMMYFUNCTION("""COMPUTED_VALUE"""),"DRE - ANANINDEUA / BELEMBelem 10")</f>
        <v>DRE - ANANINDEUA / BELEMBelem 10</v>
      </c>
      <c r="F224" s="1">
        <f ca="1">IFERROR(__xludf.DUMMYFUNCTION("""COMPUTED_VALUE"""),2)</f>
        <v>2</v>
      </c>
      <c r="G224" s="1" t="str">
        <f ca="1">IFERROR(__xludf.DUMMYFUNCTION("""COMPUTED_VALUE"""),"DRE BELEM 11")</f>
        <v>DRE BELEM 11</v>
      </c>
      <c r="H224" s="1" t="str">
        <f ca="1">IFERROR(__xludf.DUMMYFUNCTION("""COMPUTED_VALUE"""),"19A URE - BELEM")</f>
        <v>19A URE - BELEM</v>
      </c>
      <c r="I224" s="2" t="str">
        <f ca="1">IFERROR(__xludf.DUMMYFUNCTION("""COMPUTED_VALUE"""),"Unidade 11")</f>
        <v>Unidade 11</v>
      </c>
      <c r="J224" s="1" t="str">
        <f ca="1">IFERROR(__xludf.DUMMYFUNCTION("""COMPUTED_VALUE"""),"BELEM")</f>
        <v>BELEM</v>
      </c>
      <c r="K224" s="1">
        <f ca="1">IFERROR(__xludf.DUMMYFUNCTION("""COMPUTED_VALUE"""),15042782)</f>
        <v>15042782</v>
      </c>
      <c r="L224" s="2" t="str">
        <f ca="1">IFERROR(__xludf.DUMMYFUNCTION("""COMPUTED_VALUE"""),"001920901750000")</f>
        <v>001920901750000</v>
      </c>
      <c r="M224" s="2" t="str">
        <f ca="1">IFERROR(__xludf.DUMMYFUNCTION("""COMPUTED_VALUE"""),"1920901750000")</f>
        <v>1920901750000</v>
      </c>
      <c r="N224" s="1" t="str">
        <f ca="1">IFERROR(__xludf.DUMMYFUNCTION("""COMPUTED_VALUE"""),"EEEFM DO OUTEIRO")</f>
        <v>EEEFM DO OUTEIRO</v>
      </c>
      <c r="O224" s="1"/>
      <c r="P224" s="1"/>
      <c r="Q224" s="1" t="s">
        <v>218</v>
      </c>
    </row>
    <row r="225" spans="1:17" x14ac:dyDescent="0.25">
      <c r="A225" s="2" t="str">
        <f ca="1">IFERROR(__xludf.DUMMYFUNCTION("""COMPUTED_VALUE"""),"REG DE INTEGRA  METROPOLITANA")</f>
        <v>REG DE INTEGRA  METROPOLITANA</v>
      </c>
      <c r="B225" s="1" t="str">
        <f ca="1">IFERROR(__xludf.DUMMYFUNCTION("""COMPUTED_VALUE"""),"DRE BELEM 10")</f>
        <v>DRE BELEM 10</v>
      </c>
      <c r="C225" s="2" t="str">
        <f ca="1">IFERROR(__xludf.DUMMYFUNCTION("""COMPUTED_VALUE"""),"DRE - ANANINDEUA / BELEM")</f>
        <v>DRE - ANANINDEUA / BELEM</v>
      </c>
      <c r="D225" s="2" t="str">
        <f ca="1">IFERROR(__xludf.DUMMYFUNCTION("""COMPUTED_VALUE"""),"Belem 10")</f>
        <v>Belem 10</v>
      </c>
      <c r="E225" s="2" t="str">
        <f ca="1">IFERROR(__xludf.DUMMYFUNCTION("""COMPUTED_VALUE"""),"DRE - ANANINDEUA / BELEMBelem 10")</f>
        <v>DRE - ANANINDEUA / BELEMBelem 10</v>
      </c>
      <c r="F225" s="1">
        <f ca="1">IFERROR(__xludf.DUMMYFUNCTION("""COMPUTED_VALUE"""),2)</f>
        <v>2</v>
      </c>
      <c r="G225" s="1" t="str">
        <f ca="1">IFERROR(__xludf.DUMMYFUNCTION("""COMPUTED_VALUE"""),"DRE BELEM 11")</f>
        <v>DRE BELEM 11</v>
      </c>
      <c r="H225" s="1" t="str">
        <f ca="1">IFERROR(__xludf.DUMMYFUNCTION("""COMPUTED_VALUE"""),"19A URE - BELEM")</f>
        <v>19A URE - BELEM</v>
      </c>
      <c r="I225" s="2" t="str">
        <f ca="1">IFERROR(__xludf.DUMMYFUNCTION("""COMPUTED_VALUE"""),"Unidade 11")</f>
        <v>Unidade 11</v>
      </c>
      <c r="J225" s="1" t="str">
        <f ca="1">IFERROR(__xludf.DUMMYFUNCTION("""COMPUTED_VALUE"""),"BELEM")</f>
        <v>BELEM</v>
      </c>
      <c r="K225" s="1">
        <f ca="1">IFERROR(__xludf.DUMMYFUNCTION("""COMPUTED_VALUE"""),15148947)</f>
        <v>15148947</v>
      </c>
      <c r="L225" s="2" t="str">
        <f ca="1">IFERROR(__xludf.DUMMYFUNCTION("""COMPUTED_VALUE"""),"001920930160000")</f>
        <v>001920930160000</v>
      </c>
      <c r="M225" s="2" t="str">
        <f ca="1">IFERROR(__xludf.DUMMYFUNCTION("""COMPUTED_VALUE"""),"1920930160000")</f>
        <v>1920930160000</v>
      </c>
      <c r="N225" s="1" t="str">
        <f ca="1">IFERROR(__xludf.DUMMYFUNCTION("""COMPUTED_VALUE"""),"EEEFM FELIZ LUZITANIA")</f>
        <v>EEEFM FELIZ LUZITANIA</v>
      </c>
      <c r="O225" s="1"/>
      <c r="P225" s="1"/>
      <c r="Q225" s="1" t="s">
        <v>218</v>
      </c>
    </row>
    <row r="226" spans="1:17" x14ac:dyDescent="0.25">
      <c r="A226" s="2" t="str">
        <f ca="1">IFERROR(__xludf.DUMMYFUNCTION("""COMPUTED_VALUE"""),"REG DE INTEGRA  METROPOLITANA")</f>
        <v>REG DE INTEGRA  METROPOLITANA</v>
      </c>
      <c r="B226" s="1" t="str">
        <f ca="1">IFERROR(__xludf.DUMMYFUNCTION("""COMPUTED_VALUE"""),"DRE BELEM 10")</f>
        <v>DRE BELEM 10</v>
      </c>
      <c r="C226" s="2" t="str">
        <f ca="1">IFERROR(__xludf.DUMMYFUNCTION("""COMPUTED_VALUE"""),"DRE - ANANINDEUA / BELEM")</f>
        <v>DRE - ANANINDEUA / BELEM</v>
      </c>
      <c r="D226" s="2" t="str">
        <f ca="1">IFERROR(__xludf.DUMMYFUNCTION("""COMPUTED_VALUE"""),"Belem 10")</f>
        <v>Belem 10</v>
      </c>
      <c r="E226" s="2" t="str">
        <f ca="1">IFERROR(__xludf.DUMMYFUNCTION("""COMPUTED_VALUE"""),"DRE - ANANINDEUA / BELEMBelem 10")</f>
        <v>DRE - ANANINDEUA / BELEMBelem 10</v>
      </c>
      <c r="F226" s="1">
        <f ca="1">IFERROR(__xludf.DUMMYFUNCTION("""COMPUTED_VALUE"""),2)</f>
        <v>2</v>
      </c>
      <c r="G226" s="1" t="str">
        <f ca="1">IFERROR(__xludf.DUMMYFUNCTION("""COMPUTED_VALUE"""),"DRE BELEM 11")</f>
        <v>DRE BELEM 11</v>
      </c>
      <c r="H226" s="1" t="str">
        <f ca="1">IFERROR(__xludf.DUMMYFUNCTION("""COMPUTED_VALUE"""),"19A URE - BELEM")</f>
        <v>19A URE - BELEM</v>
      </c>
      <c r="I226" s="2" t="str">
        <f ca="1">IFERROR(__xludf.DUMMYFUNCTION("""COMPUTED_VALUE"""),"Unidade 11")</f>
        <v>Unidade 11</v>
      </c>
      <c r="J226" s="1" t="str">
        <f ca="1">IFERROR(__xludf.DUMMYFUNCTION("""COMPUTED_VALUE"""),"BELEM")</f>
        <v>BELEM</v>
      </c>
      <c r="K226" s="1">
        <f ca="1">IFERROR(__xludf.DUMMYFUNCTION("""COMPUTED_VALUE"""),15042863)</f>
        <v>15042863</v>
      </c>
      <c r="L226" s="2" t="str">
        <f ca="1">IFERROR(__xludf.DUMMYFUNCTION("""COMPUTED_VALUE"""),"001920901070000")</f>
        <v>001920901070000</v>
      </c>
      <c r="M226" s="2" t="str">
        <f ca="1">IFERROR(__xludf.DUMMYFUNCTION("""COMPUTED_VALUE"""),"1920901070000")</f>
        <v>1920901070000</v>
      </c>
      <c r="N226" s="1" t="str">
        <f ca="1">IFERROR(__xludf.DUMMYFUNCTION("""COMPUTED_VALUE"""),"EEEFM IZABEL DOS SANTOS DIAS")</f>
        <v>EEEFM IZABEL DOS SANTOS DIAS</v>
      </c>
      <c r="O226" s="1"/>
      <c r="P226" s="1"/>
      <c r="Q226" s="1" t="s">
        <v>218</v>
      </c>
    </row>
    <row r="227" spans="1:17" x14ac:dyDescent="0.25">
      <c r="A227" s="2" t="str">
        <f ca="1">IFERROR(__xludf.DUMMYFUNCTION("""COMPUTED_VALUE"""),"REG DE INTEGRA  METROPOLITANA")</f>
        <v>REG DE INTEGRA  METROPOLITANA</v>
      </c>
      <c r="B227" s="1" t="str">
        <f ca="1">IFERROR(__xludf.DUMMYFUNCTION("""COMPUTED_VALUE"""),"DRE BELEM 10")</f>
        <v>DRE BELEM 10</v>
      </c>
      <c r="C227" s="2" t="str">
        <f ca="1">IFERROR(__xludf.DUMMYFUNCTION("""COMPUTED_VALUE"""),"DRE - ANANINDEUA / BELEM")</f>
        <v>DRE - ANANINDEUA / BELEM</v>
      </c>
      <c r="D227" s="2" t="str">
        <f ca="1">IFERROR(__xludf.DUMMYFUNCTION("""COMPUTED_VALUE"""),"Belem 10")</f>
        <v>Belem 10</v>
      </c>
      <c r="E227" s="2" t="str">
        <f ca="1">IFERROR(__xludf.DUMMYFUNCTION("""COMPUTED_VALUE"""),"DRE - ANANINDEUA / BELEMBelem 10")</f>
        <v>DRE - ANANINDEUA / BELEMBelem 10</v>
      </c>
      <c r="F227" s="1">
        <f ca="1">IFERROR(__xludf.DUMMYFUNCTION("""COMPUTED_VALUE"""),2)</f>
        <v>2</v>
      </c>
      <c r="G227" s="1" t="str">
        <f ca="1">IFERROR(__xludf.DUMMYFUNCTION("""COMPUTED_VALUE"""),"DRE BELEM 11")</f>
        <v>DRE BELEM 11</v>
      </c>
      <c r="H227" s="1" t="str">
        <f ca="1">IFERROR(__xludf.DUMMYFUNCTION("""COMPUTED_VALUE"""),"19A URE - BELEM")</f>
        <v>19A URE - BELEM</v>
      </c>
      <c r="I227" s="2" t="str">
        <f ca="1">IFERROR(__xludf.DUMMYFUNCTION("""COMPUTED_VALUE"""),"Unidade 11")</f>
        <v>Unidade 11</v>
      </c>
      <c r="J227" s="1" t="str">
        <f ca="1">IFERROR(__xludf.DUMMYFUNCTION("""COMPUTED_VALUE"""),"BELEM")</f>
        <v>BELEM</v>
      </c>
      <c r="K227" s="1">
        <f ca="1">IFERROR(__xludf.DUMMYFUNCTION("""COMPUTED_VALUE"""),15042650)</f>
        <v>15042650</v>
      </c>
      <c r="L227" s="2" t="str">
        <f ca="1">IFERROR(__xludf.DUMMYFUNCTION("""COMPUTED_VALUE"""),"001920901740000")</f>
        <v>001920901740000</v>
      </c>
      <c r="M227" s="2" t="str">
        <f ca="1">IFERROR(__xludf.DUMMYFUNCTION("""COMPUTED_VALUE"""),"1920901740000")</f>
        <v>1920901740000</v>
      </c>
      <c r="N227" s="1" t="str">
        <f ca="1">IFERROR(__xludf.DUMMYFUNCTION("""COMPUTED_VALUE"""),"EEEFM MARIA ANTONIETA SERRA FREIRE")</f>
        <v>EEEFM MARIA ANTONIETA SERRA FREIRE</v>
      </c>
      <c r="O227" s="1"/>
      <c r="P227" s="1"/>
      <c r="Q227" s="1" t="s">
        <v>218</v>
      </c>
    </row>
    <row r="228" spans="1:17" x14ac:dyDescent="0.25">
      <c r="A228" s="2" t="str">
        <f ca="1">IFERROR(__xludf.DUMMYFUNCTION("""COMPUTED_VALUE"""),"REG DE INTEGRA  METROPOLITANA")</f>
        <v>REG DE INTEGRA  METROPOLITANA</v>
      </c>
      <c r="B228" s="1" t="str">
        <f ca="1">IFERROR(__xludf.DUMMYFUNCTION("""COMPUTED_VALUE"""),"DRE BELEM 10")</f>
        <v>DRE BELEM 10</v>
      </c>
      <c r="C228" s="2" t="str">
        <f ca="1">IFERROR(__xludf.DUMMYFUNCTION("""COMPUTED_VALUE"""),"DRE - ANANINDEUA / BELEM")</f>
        <v>DRE - ANANINDEUA / BELEM</v>
      </c>
      <c r="D228" s="2" t="str">
        <f ca="1">IFERROR(__xludf.DUMMYFUNCTION("""COMPUTED_VALUE"""),"Belem 10")</f>
        <v>Belem 10</v>
      </c>
      <c r="E228" s="2" t="str">
        <f ca="1">IFERROR(__xludf.DUMMYFUNCTION("""COMPUTED_VALUE"""),"DRE - ANANINDEUA / BELEMBelem 10")</f>
        <v>DRE - ANANINDEUA / BELEMBelem 10</v>
      </c>
      <c r="F228" s="1">
        <f ca="1">IFERROR(__xludf.DUMMYFUNCTION("""COMPUTED_VALUE"""),2)</f>
        <v>2</v>
      </c>
      <c r="G228" s="1" t="str">
        <f ca="1">IFERROR(__xludf.DUMMYFUNCTION("""COMPUTED_VALUE"""),"DRE BELEM 11")</f>
        <v>DRE BELEM 11</v>
      </c>
      <c r="H228" s="1" t="str">
        <f ca="1">IFERROR(__xludf.DUMMYFUNCTION("""COMPUTED_VALUE"""),"19A URE - BELEM")</f>
        <v>19A URE - BELEM</v>
      </c>
      <c r="I228" s="2" t="str">
        <f ca="1">IFERROR(__xludf.DUMMYFUNCTION("""COMPUTED_VALUE"""),"Unidade 11")</f>
        <v>Unidade 11</v>
      </c>
      <c r="J228" s="1" t="str">
        <f ca="1">IFERROR(__xludf.DUMMYFUNCTION("""COMPUTED_VALUE"""),"BELEM")</f>
        <v>BELEM</v>
      </c>
      <c r="K228" s="1">
        <f ca="1">IFERROR(__xludf.DUMMYFUNCTION("""COMPUTED_VALUE"""),15567788)</f>
        <v>15567788</v>
      </c>
      <c r="L228" s="2" t="str">
        <f ca="1">IFERROR(__xludf.DUMMYFUNCTION("""COMPUTED_VALUE"""),"001920930030000")</f>
        <v>001920930030000</v>
      </c>
      <c r="M228" s="2" t="str">
        <f ca="1">IFERROR(__xludf.DUMMYFUNCTION("""COMPUTED_VALUE"""),"1920930030000")</f>
        <v>1920930030000</v>
      </c>
      <c r="N228" s="1" t="str">
        <f ca="1">IFERROR(__xludf.DUMMYFUNCTION("""COMPUTED_VALUE"""),"EEEFM PROF JORGE LOPES RAPOSO")</f>
        <v>EEEFM PROF JORGE LOPES RAPOSO</v>
      </c>
      <c r="O228" s="1"/>
      <c r="P228" s="1"/>
      <c r="Q228" s="1" t="s">
        <v>218</v>
      </c>
    </row>
    <row r="229" spans="1:17" x14ac:dyDescent="0.25">
      <c r="A229" s="2" t="str">
        <f ca="1">IFERROR(__xludf.DUMMYFUNCTION("""COMPUTED_VALUE"""),"REG DE INTEGRA  METROPOLITANA")</f>
        <v>REG DE INTEGRA  METROPOLITANA</v>
      </c>
      <c r="B229" s="1" t="str">
        <f ca="1">IFERROR(__xludf.DUMMYFUNCTION("""COMPUTED_VALUE"""),"DRE BELEM 10")</f>
        <v>DRE BELEM 10</v>
      </c>
      <c r="C229" s="2" t="str">
        <f ca="1">IFERROR(__xludf.DUMMYFUNCTION("""COMPUTED_VALUE"""),"DRE - ANANINDEUA / BELEM")</f>
        <v>DRE - ANANINDEUA / BELEM</v>
      </c>
      <c r="D229" s="2" t="str">
        <f ca="1">IFERROR(__xludf.DUMMYFUNCTION("""COMPUTED_VALUE"""),"Belem 10")</f>
        <v>Belem 10</v>
      </c>
      <c r="E229" s="2" t="str">
        <f ca="1">IFERROR(__xludf.DUMMYFUNCTION("""COMPUTED_VALUE"""),"DRE - ANANINDEUA / BELEMBelem 10")</f>
        <v>DRE - ANANINDEUA / BELEMBelem 10</v>
      </c>
      <c r="F229" s="1">
        <f ca="1">IFERROR(__xludf.DUMMYFUNCTION("""COMPUTED_VALUE"""),2)</f>
        <v>2</v>
      </c>
      <c r="G229" s="1" t="str">
        <f ca="1">IFERROR(__xludf.DUMMYFUNCTION("""COMPUTED_VALUE"""),"DRE BELEM 11")</f>
        <v>DRE BELEM 11</v>
      </c>
      <c r="H229" s="1" t="str">
        <f ca="1">IFERROR(__xludf.DUMMYFUNCTION("""COMPUTED_VALUE"""),"19A URE - BELEM")</f>
        <v>19A URE - BELEM</v>
      </c>
      <c r="I229" s="2" t="str">
        <f ca="1">IFERROR(__xludf.DUMMYFUNCTION("""COMPUTED_VALUE"""),"Unidade 11")</f>
        <v>Unidade 11</v>
      </c>
      <c r="J229" s="1" t="str">
        <f ca="1">IFERROR(__xludf.DUMMYFUNCTION("""COMPUTED_VALUE"""),"BELEM")</f>
        <v>BELEM</v>
      </c>
      <c r="K229" s="1">
        <f ca="1">IFERROR(__xludf.DUMMYFUNCTION("""COMPUTED_VALUE"""),15042880)</f>
        <v>15042880</v>
      </c>
      <c r="L229" s="2" t="str">
        <f ca="1">IFERROR(__xludf.DUMMYFUNCTION("""COMPUTED_VALUE"""),"001920901090000")</f>
        <v>001920901090000</v>
      </c>
      <c r="M229" s="2" t="str">
        <f ca="1">IFERROR(__xludf.DUMMYFUNCTION("""COMPUTED_VALUE"""),"1920901090000")</f>
        <v>1920901090000</v>
      </c>
      <c r="N229" s="1" t="str">
        <f ca="1">IFERROR(__xludf.DUMMYFUNCTION("""COMPUTED_VALUE"""),"EEEFM PROF PORANGA JUCA")</f>
        <v>EEEFM PROF PORANGA JUCA</v>
      </c>
      <c r="O229" s="1"/>
      <c r="P229" s="1"/>
      <c r="Q229" s="1" t="s">
        <v>218</v>
      </c>
    </row>
    <row r="230" spans="1:17" x14ac:dyDescent="0.25">
      <c r="A230" s="2" t="str">
        <f ca="1">IFERROR(__xludf.DUMMYFUNCTION("""COMPUTED_VALUE"""),"REG DE INTEGRA  METROPOLITANA")</f>
        <v>REG DE INTEGRA  METROPOLITANA</v>
      </c>
      <c r="B230" s="1" t="str">
        <f ca="1">IFERROR(__xludf.DUMMYFUNCTION("""COMPUTED_VALUE"""),"DRE BELEM 10")</f>
        <v>DRE BELEM 10</v>
      </c>
      <c r="C230" s="2" t="str">
        <f ca="1">IFERROR(__xludf.DUMMYFUNCTION("""COMPUTED_VALUE"""),"DRE - ANANINDEUA / BELEM")</f>
        <v>DRE - ANANINDEUA / BELEM</v>
      </c>
      <c r="D230" s="2" t="str">
        <f ca="1">IFERROR(__xludf.DUMMYFUNCTION("""COMPUTED_VALUE"""),"Belem 10")</f>
        <v>Belem 10</v>
      </c>
      <c r="E230" s="2" t="str">
        <f ca="1">IFERROR(__xludf.DUMMYFUNCTION("""COMPUTED_VALUE"""),"DRE - ANANINDEUA / BELEMBelem 10")</f>
        <v>DRE - ANANINDEUA / BELEMBelem 10</v>
      </c>
      <c r="F230" s="1">
        <f ca="1">IFERROR(__xludf.DUMMYFUNCTION("""COMPUTED_VALUE"""),2)</f>
        <v>2</v>
      </c>
      <c r="G230" s="1" t="str">
        <f ca="1">IFERROR(__xludf.DUMMYFUNCTION("""COMPUTED_VALUE"""),"DRE BELEM 11")</f>
        <v>DRE BELEM 11</v>
      </c>
      <c r="H230" s="1" t="str">
        <f ca="1">IFERROR(__xludf.DUMMYFUNCTION("""COMPUTED_VALUE"""),"19A URE - BELEM")</f>
        <v>19A URE - BELEM</v>
      </c>
      <c r="I230" s="2" t="str">
        <f ca="1">IFERROR(__xludf.DUMMYFUNCTION("""COMPUTED_VALUE"""),"Unidade 11")</f>
        <v>Unidade 11</v>
      </c>
      <c r="J230" s="1" t="str">
        <f ca="1">IFERROR(__xludf.DUMMYFUNCTION("""COMPUTED_VALUE"""),"BELEM")</f>
        <v>BELEM</v>
      </c>
      <c r="K230" s="1">
        <f ca="1">IFERROR(__xludf.DUMMYFUNCTION("""COMPUTED_VALUE"""),15042952)</f>
        <v>15042952</v>
      </c>
      <c r="L230" s="2" t="str">
        <f ca="1">IFERROR(__xludf.DUMMYFUNCTION("""COMPUTED_VALUE"""),"001920901080000")</f>
        <v>001920901080000</v>
      </c>
      <c r="M230" s="2" t="str">
        <f ca="1">IFERROR(__xludf.DUMMYFUNCTION("""COMPUTED_VALUE"""),"1920901080000")</f>
        <v>1920901080000</v>
      </c>
      <c r="N230" s="1" t="str">
        <f ca="1">IFERROR(__xludf.DUMMYFUNCTION("""COMPUTED_VALUE"""),"EEEFM PROFA MARTA DA CONCEICAO")</f>
        <v>EEEFM PROFA MARTA DA CONCEICAO</v>
      </c>
      <c r="O230" s="1"/>
      <c r="P230" s="1"/>
      <c r="Q230" s="1" t="s">
        <v>218</v>
      </c>
    </row>
    <row r="231" spans="1:17" x14ac:dyDescent="0.25">
      <c r="A231" s="2" t="str">
        <f ca="1">IFERROR(__xludf.DUMMYFUNCTION("""COMPUTED_VALUE"""),"REG DE INTEGRA  METROPOLITANA")</f>
        <v>REG DE INTEGRA  METROPOLITANA</v>
      </c>
      <c r="B231" s="1" t="str">
        <f ca="1">IFERROR(__xludf.DUMMYFUNCTION("""COMPUTED_VALUE"""),"DRE BELEM 10")</f>
        <v>DRE BELEM 10</v>
      </c>
      <c r="C231" s="2" t="str">
        <f ca="1">IFERROR(__xludf.DUMMYFUNCTION("""COMPUTED_VALUE"""),"DRE - ANANINDEUA / BELEM")</f>
        <v>DRE - ANANINDEUA / BELEM</v>
      </c>
      <c r="D231" s="2" t="str">
        <f ca="1">IFERROR(__xludf.DUMMYFUNCTION("""COMPUTED_VALUE"""),"Belem 10")</f>
        <v>Belem 10</v>
      </c>
      <c r="E231" s="2" t="str">
        <f ca="1">IFERROR(__xludf.DUMMYFUNCTION("""COMPUTED_VALUE"""),"DRE - ANANINDEUA / BELEMBelem 10")</f>
        <v>DRE - ANANINDEUA / BELEMBelem 10</v>
      </c>
      <c r="F231" s="1">
        <f ca="1">IFERROR(__xludf.DUMMYFUNCTION("""COMPUTED_VALUE"""),2)</f>
        <v>2</v>
      </c>
      <c r="G231" s="1" t="str">
        <f ca="1">IFERROR(__xludf.DUMMYFUNCTION("""COMPUTED_VALUE"""),"DRE BELEM 11")</f>
        <v>DRE BELEM 11</v>
      </c>
      <c r="H231" s="1" t="str">
        <f ca="1">IFERROR(__xludf.DUMMYFUNCTION("""COMPUTED_VALUE"""),"19A URE - BELEM")</f>
        <v>19A URE - BELEM</v>
      </c>
      <c r="I231" s="2" t="str">
        <f ca="1">IFERROR(__xludf.DUMMYFUNCTION("""COMPUTED_VALUE"""),"Unidade 11")</f>
        <v>Unidade 11</v>
      </c>
      <c r="J231" s="1" t="str">
        <f ca="1">IFERROR(__xludf.DUMMYFUNCTION("""COMPUTED_VALUE"""),"BELEM")</f>
        <v>BELEM</v>
      </c>
      <c r="K231" s="1">
        <f ca="1">IFERROR(__xludf.DUMMYFUNCTION("""COMPUTED_VALUE"""),15040569)</f>
        <v>15040569</v>
      </c>
      <c r="L231" s="2" t="str">
        <f ca="1">IFERROR(__xludf.DUMMYFUNCTION("""COMPUTED_VALUE"""),"001920901760000")</f>
        <v>001920901760000</v>
      </c>
      <c r="M231" s="2" t="str">
        <f ca="1">IFERROR(__xludf.DUMMYFUNCTION("""COMPUTED_VALUE"""),"1920901760000")</f>
        <v>1920901760000</v>
      </c>
      <c r="N231" s="1" t="str">
        <f ca="1">IFERROR(__xludf.DUMMYFUNCTION("""COMPUTED_VALUE"""),"EEEFM TEODORA BENTES")</f>
        <v>EEEFM TEODORA BENTES</v>
      </c>
      <c r="O231" s="1"/>
      <c r="P231" s="1"/>
      <c r="Q231" s="1" t="s">
        <v>218</v>
      </c>
    </row>
    <row r="232" spans="1:17" x14ac:dyDescent="0.25">
      <c r="A232" s="2" t="str">
        <f ca="1">IFERROR(__xludf.DUMMYFUNCTION("""COMPUTED_VALUE"""),"REG DE INTEGRA  METROPOLITANA")</f>
        <v>REG DE INTEGRA  METROPOLITANA</v>
      </c>
      <c r="B232" s="1" t="str">
        <f ca="1">IFERROR(__xludf.DUMMYFUNCTION("""COMPUTED_VALUE"""),"DRE BELEM 10")</f>
        <v>DRE BELEM 10</v>
      </c>
      <c r="C232" s="2" t="str">
        <f ca="1">IFERROR(__xludf.DUMMYFUNCTION("""COMPUTED_VALUE"""),"DRE - ANANINDEUA / BELEM")</f>
        <v>DRE - ANANINDEUA / BELEM</v>
      </c>
      <c r="D232" s="2" t="str">
        <f ca="1">IFERROR(__xludf.DUMMYFUNCTION("""COMPUTED_VALUE"""),"Belem 10")</f>
        <v>Belem 10</v>
      </c>
      <c r="E232" s="2" t="str">
        <f ca="1">IFERROR(__xludf.DUMMYFUNCTION("""COMPUTED_VALUE"""),"DRE - ANANINDEUA / BELEMBelem 10")</f>
        <v>DRE - ANANINDEUA / BELEMBelem 10</v>
      </c>
      <c r="F232" s="1">
        <f ca="1">IFERROR(__xludf.DUMMYFUNCTION("""COMPUTED_VALUE"""),2)</f>
        <v>2</v>
      </c>
      <c r="G232" s="1" t="str">
        <f ca="1">IFERROR(__xludf.DUMMYFUNCTION("""COMPUTED_VALUE"""),"DRE BELEM 11")</f>
        <v>DRE BELEM 11</v>
      </c>
      <c r="H232" s="1" t="str">
        <f ca="1">IFERROR(__xludf.DUMMYFUNCTION("""COMPUTED_VALUE"""),"19A URE - BELEM")</f>
        <v>19A URE - BELEM</v>
      </c>
      <c r="I232" s="2" t="str">
        <f ca="1">IFERROR(__xludf.DUMMYFUNCTION("""COMPUTED_VALUE"""),"Unidade 11")</f>
        <v>Unidade 11</v>
      </c>
      <c r="J232" s="1" t="str">
        <f ca="1">IFERROR(__xludf.DUMMYFUNCTION("""COMPUTED_VALUE"""),"BELEM")</f>
        <v>BELEM</v>
      </c>
      <c r="K232" s="1">
        <f ca="1">IFERROR(__xludf.DUMMYFUNCTION("""COMPUTED_VALUE"""),15098150)</f>
        <v>15098150</v>
      </c>
      <c r="L232" s="2" t="str">
        <f ca="1">IFERROR(__xludf.DUMMYFUNCTION("""COMPUTED_VALUE"""),"001920937360000")</f>
        <v>001920937360000</v>
      </c>
      <c r="M232" s="2" t="str">
        <f ca="1">IFERROR(__xludf.DUMMYFUNCTION("""COMPUTED_VALUE"""),"1920937360000")</f>
        <v>1920937360000</v>
      </c>
      <c r="N232" s="1" t="str">
        <f ca="1">IFERROR(__xludf.DUMMYFUNCTION("""COMPUTED_VALUE"""),"EEETPA- PROF FRANCISCO DAS CHAGAS AZEVEDO BELEM")</f>
        <v>EEETPA- PROF FRANCISCO DAS CHAGAS AZEVEDO BELEM</v>
      </c>
      <c r="O232" s="1"/>
      <c r="P232" s="1"/>
      <c r="Q232" s="1" t="s">
        <v>218</v>
      </c>
    </row>
    <row r="233" spans="1:17" x14ac:dyDescent="0.25">
      <c r="A233" s="2" t="str">
        <f ca="1">IFERROR(__xludf.DUMMYFUNCTION("""COMPUTED_VALUE"""),"REG DE INTEGRA  METROPOLITANA")</f>
        <v>REG DE INTEGRA  METROPOLITANA</v>
      </c>
      <c r="B233" s="1" t="str">
        <f ca="1">IFERROR(__xludf.DUMMYFUNCTION("""COMPUTED_VALUE"""),"DRE BELEM 2")</f>
        <v>DRE BELEM 2</v>
      </c>
      <c r="C233" s="2" t="str">
        <f ca="1">IFERROR(__xludf.DUMMYFUNCTION("""COMPUTED_VALUE"""),"DRE - ANANINDEUA / BELEM")</f>
        <v>DRE - ANANINDEUA / BELEM</v>
      </c>
      <c r="D233" s="2" t="str">
        <f ca="1">IFERROR(__xludf.DUMMYFUNCTION("""COMPUTED_VALUE"""),"Belem 2")</f>
        <v>Belem 2</v>
      </c>
      <c r="E233" s="2" t="str">
        <f ca="1">IFERROR(__xludf.DUMMYFUNCTION("""COMPUTED_VALUE"""),"DRE - ANANINDEUA / BELEMBelem 2")</f>
        <v>DRE - ANANINDEUA / BELEMBelem 2</v>
      </c>
      <c r="F233" s="1">
        <f ca="1">IFERROR(__xludf.DUMMYFUNCTION("""COMPUTED_VALUE"""),1)</f>
        <v>1</v>
      </c>
      <c r="G233" s="1" t="str">
        <f ca="1">IFERROR(__xludf.DUMMYFUNCTION("""COMPUTED_VALUE"""),"DRE BELEM 2")</f>
        <v>DRE BELEM 2</v>
      </c>
      <c r="H233" s="1" t="str">
        <f ca="1">IFERROR(__xludf.DUMMYFUNCTION("""COMPUTED_VALUE"""),"19A URE - BELEM")</f>
        <v>19A URE - BELEM</v>
      </c>
      <c r="I233" s="2" t="str">
        <f ca="1">IFERROR(__xludf.DUMMYFUNCTION("""COMPUTED_VALUE"""),"Unidade 2")</f>
        <v>Unidade 2</v>
      </c>
      <c r="J233" s="1" t="str">
        <f ca="1">IFERROR(__xludf.DUMMYFUNCTION("""COMPUTED_VALUE"""),"BELEM")</f>
        <v>BELEM</v>
      </c>
      <c r="K233" s="1">
        <f ca="1">IFERROR(__xludf.DUMMYFUNCTION("""COMPUTED_VALUE"""),15040364)</f>
        <v>15040364</v>
      </c>
      <c r="L233" s="2" t="str">
        <f ca="1">IFERROR(__xludf.DUMMYFUNCTION("""COMPUTED_VALUE"""),"001920902230000")</f>
        <v>001920902230000</v>
      </c>
      <c r="M233" s="2" t="str">
        <f ca="1">IFERROR(__xludf.DUMMYFUNCTION("""COMPUTED_VALUE"""),"1920902230000")</f>
        <v>1920902230000</v>
      </c>
      <c r="N233" s="1" t="str">
        <f ca="1">IFERROR(__xludf.DUMMYFUNCTION("""COMPUTED_VALUE"""),"COLEGIO ESTADUAL PAES DE CARVALHO")</f>
        <v>COLEGIO ESTADUAL PAES DE CARVALHO</v>
      </c>
      <c r="O233" s="1"/>
      <c r="P233" s="1"/>
      <c r="Q233" s="1" t="s">
        <v>242</v>
      </c>
    </row>
    <row r="234" spans="1:17" x14ac:dyDescent="0.25">
      <c r="A234" s="2" t="str">
        <f ca="1">IFERROR(__xludf.DUMMYFUNCTION("""COMPUTED_VALUE"""),"REG DE INTEGRA  METROPOLITANA")</f>
        <v>REG DE INTEGRA  METROPOLITANA</v>
      </c>
      <c r="B234" s="1" t="str">
        <f ca="1">IFERROR(__xludf.DUMMYFUNCTION("""COMPUTED_VALUE"""),"DRE BELEM 2")</f>
        <v>DRE BELEM 2</v>
      </c>
      <c r="C234" s="2" t="str">
        <f ca="1">IFERROR(__xludf.DUMMYFUNCTION("""COMPUTED_VALUE"""),"DRE - ANANINDEUA / BELEM")</f>
        <v>DRE - ANANINDEUA / BELEM</v>
      </c>
      <c r="D234" s="2" t="str">
        <f ca="1">IFERROR(__xludf.DUMMYFUNCTION("""COMPUTED_VALUE"""),"Belem 2")</f>
        <v>Belem 2</v>
      </c>
      <c r="E234" s="2" t="str">
        <f ca="1">IFERROR(__xludf.DUMMYFUNCTION("""COMPUTED_VALUE"""),"DRE - ANANINDEUA / BELEMBelem 2")</f>
        <v>DRE - ANANINDEUA / BELEMBelem 2</v>
      </c>
      <c r="F234" s="1">
        <f ca="1">IFERROR(__xludf.DUMMYFUNCTION("""COMPUTED_VALUE"""),1)</f>
        <v>1</v>
      </c>
      <c r="G234" s="1" t="str">
        <f ca="1">IFERROR(__xludf.DUMMYFUNCTION("""COMPUTED_VALUE"""),"DRE BELEM 2")</f>
        <v>DRE BELEM 2</v>
      </c>
      <c r="H234" s="1" t="str">
        <f ca="1">IFERROR(__xludf.DUMMYFUNCTION("""COMPUTED_VALUE"""),"19A URE - BELEM")</f>
        <v>19A URE - BELEM</v>
      </c>
      <c r="I234" s="2" t="str">
        <f ca="1">IFERROR(__xludf.DUMMYFUNCTION("""COMPUTED_VALUE"""),"Unidade 2")</f>
        <v>Unidade 2</v>
      </c>
      <c r="J234" s="1" t="str">
        <f ca="1">IFERROR(__xludf.DUMMYFUNCTION("""COMPUTED_VALUE"""),"BELEM")</f>
        <v>BELEM</v>
      </c>
      <c r="K234" s="1">
        <f ca="1">IFERROR(__xludf.DUMMYFUNCTION("""COMPUTED_VALUE"""),15140682)</f>
        <v>15140682</v>
      </c>
      <c r="L234" s="2" t="str">
        <f ca="1">IFERROR(__xludf.DUMMYFUNCTION("""COMPUTED_VALUE"""),"001920933430000")</f>
        <v>001920933430000</v>
      </c>
      <c r="M234" s="2" t="str">
        <f ca="1">IFERROR(__xludf.DUMMYFUNCTION("""COMPUTED_VALUE"""),"1920933430000")</f>
        <v>1920933430000</v>
      </c>
      <c r="N234" s="1" t="str">
        <f ca="1">IFERROR(__xludf.DUMMYFUNCTION("""COMPUTED_VALUE"""),"EEEF BENEDITO CHAVES MENDES SEARA")</f>
        <v>EEEF BENEDITO CHAVES MENDES SEARA</v>
      </c>
      <c r="O234" s="1"/>
      <c r="P234" s="1"/>
      <c r="Q234" s="1" t="s">
        <v>242</v>
      </c>
    </row>
    <row r="235" spans="1:17" x14ac:dyDescent="0.25">
      <c r="A235" s="2" t="str">
        <f ca="1">IFERROR(__xludf.DUMMYFUNCTION("""COMPUTED_VALUE"""),"REG DE INTEGRA  METROPOLITANA")</f>
        <v>REG DE INTEGRA  METROPOLITANA</v>
      </c>
      <c r="B235" s="1" t="str">
        <f ca="1">IFERROR(__xludf.DUMMYFUNCTION("""COMPUTED_VALUE"""),"DRE BELEM 2")</f>
        <v>DRE BELEM 2</v>
      </c>
      <c r="C235" s="2" t="str">
        <f ca="1">IFERROR(__xludf.DUMMYFUNCTION("""COMPUTED_VALUE"""),"DRE - ANANINDEUA / BELEM")</f>
        <v>DRE - ANANINDEUA / BELEM</v>
      </c>
      <c r="D235" s="2" t="str">
        <f ca="1">IFERROR(__xludf.DUMMYFUNCTION("""COMPUTED_VALUE"""),"Belem 2")</f>
        <v>Belem 2</v>
      </c>
      <c r="E235" s="2" t="str">
        <f ca="1">IFERROR(__xludf.DUMMYFUNCTION("""COMPUTED_VALUE"""),"DRE - ANANINDEUA / BELEMBelem 2")</f>
        <v>DRE - ANANINDEUA / BELEMBelem 2</v>
      </c>
      <c r="F235" s="1">
        <f ca="1">IFERROR(__xludf.DUMMYFUNCTION("""COMPUTED_VALUE"""),1)</f>
        <v>1</v>
      </c>
      <c r="G235" s="1" t="str">
        <f ca="1">IFERROR(__xludf.DUMMYFUNCTION("""COMPUTED_VALUE"""),"DRE BELEM 2")</f>
        <v>DRE BELEM 2</v>
      </c>
      <c r="H235" s="1" t="str">
        <f ca="1">IFERROR(__xludf.DUMMYFUNCTION("""COMPUTED_VALUE"""),"19A URE - BELEM")</f>
        <v>19A URE - BELEM</v>
      </c>
      <c r="I235" s="2" t="str">
        <f ca="1">IFERROR(__xludf.DUMMYFUNCTION("""COMPUTED_VALUE"""),"Unidade 2")</f>
        <v>Unidade 2</v>
      </c>
      <c r="J235" s="1" t="str">
        <f ca="1">IFERROR(__xludf.DUMMYFUNCTION("""COMPUTED_VALUE"""),"BELEM")</f>
        <v>BELEM</v>
      </c>
      <c r="K235" s="1">
        <f ca="1">IFERROR(__xludf.DUMMYFUNCTION("""COMPUTED_VALUE"""),15039617)</f>
        <v>15039617</v>
      </c>
      <c r="L235" s="2" t="str">
        <f ca="1">IFERROR(__xludf.DUMMYFUNCTION("""COMPUTED_VALUE"""),"001920901680000")</f>
        <v>001920901680000</v>
      </c>
      <c r="M235" s="2" t="str">
        <f ca="1">IFERROR(__xludf.DUMMYFUNCTION("""COMPUTED_VALUE"""),"1920901680000")</f>
        <v>1920901680000</v>
      </c>
      <c r="N235" s="1" t="str">
        <f ca="1">IFERROR(__xludf.DUMMYFUNCTION("""COMPUTED_VALUE"""),"EEEF CALDEIRA CASTELO BRANCO")</f>
        <v>EEEF CALDEIRA CASTELO BRANCO</v>
      </c>
      <c r="O235" s="1"/>
      <c r="P235" s="1"/>
      <c r="Q235" s="1" t="s">
        <v>242</v>
      </c>
    </row>
    <row r="236" spans="1:17" x14ac:dyDescent="0.25">
      <c r="A236" s="2" t="str">
        <f ca="1">IFERROR(__xludf.DUMMYFUNCTION("""COMPUTED_VALUE"""),"REG DE INTEGRA  METROPOLITANA")</f>
        <v>REG DE INTEGRA  METROPOLITANA</v>
      </c>
      <c r="B236" s="1" t="str">
        <f ca="1">IFERROR(__xludf.DUMMYFUNCTION("""COMPUTED_VALUE"""),"DRE BELEM 2")</f>
        <v>DRE BELEM 2</v>
      </c>
      <c r="C236" s="2" t="str">
        <f ca="1">IFERROR(__xludf.DUMMYFUNCTION("""COMPUTED_VALUE"""),"DRE - ANANINDEUA / BELEM")</f>
        <v>DRE - ANANINDEUA / BELEM</v>
      </c>
      <c r="D236" s="2" t="str">
        <f ca="1">IFERROR(__xludf.DUMMYFUNCTION("""COMPUTED_VALUE"""),"Belem 2")</f>
        <v>Belem 2</v>
      </c>
      <c r="E236" s="2" t="str">
        <f ca="1">IFERROR(__xludf.DUMMYFUNCTION("""COMPUTED_VALUE"""),"DRE - ANANINDEUA / BELEMBelem 2")</f>
        <v>DRE - ANANINDEUA / BELEMBelem 2</v>
      </c>
      <c r="F236" s="1">
        <f ca="1">IFERROR(__xludf.DUMMYFUNCTION("""COMPUTED_VALUE"""),1)</f>
        <v>1</v>
      </c>
      <c r="G236" s="1" t="str">
        <f ca="1">IFERROR(__xludf.DUMMYFUNCTION("""COMPUTED_VALUE"""),"DRE BELEM 2")</f>
        <v>DRE BELEM 2</v>
      </c>
      <c r="H236" s="1" t="str">
        <f ca="1">IFERROR(__xludf.DUMMYFUNCTION("""COMPUTED_VALUE"""),"19A URE - BELEM")</f>
        <v>19A URE - BELEM</v>
      </c>
      <c r="I236" s="2" t="str">
        <f ca="1">IFERROR(__xludf.DUMMYFUNCTION("""COMPUTED_VALUE"""),"Unidade 2")</f>
        <v>Unidade 2</v>
      </c>
      <c r="J236" s="1" t="str">
        <f ca="1">IFERROR(__xludf.DUMMYFUNCTION("""COMPUTED_VALUE"""),"BELEM")</f>
        <v>BELEM</v>
      </c>
      <c r="K236" s="1">
        <f ca="1">IFERROR(__xludf.DUMMYFUNCTION("""COMPUTED_VALUE"""),15039960)</f>
        <v>15039960</v>
      </c>
      <c r="L236" s="2" t="str">
        <f ca="1">IFERROR(__xludf.DUMMYFUNCTION("""COMPUTED_VALUE"""),"001920901690000")</f>
        <v>001920901690000</v>
      </c>
      <c r="M236" s="2" t="str">
        <f ca="1">IFERROR(__xludf.DUMMYFUNCTION("""COMPUTED_VALUE"""),"1920901690000")</f>
        <v>1920901690000</v>
      </c>
      <c r="N236" s="1" t="str">
        <f ca="1">IFERROR(__xludf.DUMMYFUNCTION("""COMPUTED_VALUE"""),"EEEF GENERAL GURJAO")</f>
        <v>EEEF GENERAL GURJAO</v>
      </c>
      <c r="O236" s="1"/>
      <c r="P236" s="1"/>
      <c r="Q236" s="1" t="s">
        <v>242</v>
      </c>
    </row>
    <row r="237" spans="1:17" x14ac:dyDescent="0.25">
      <c r="A237" s="2" t="str">
        <f ca="1">IFERROR(__xludf.DUMMYFUNCTION("""COMPUTED_VALUE"""),"REG DE INTEGRA  METROPOLITANA")</f>
        <v>REG DE INTEGRA  METROPOLITANA</v>
      </c>
      <c r="B237" s="1" t="str">
        <f ca="1">IFERROR(__xludf.DUMMYFUNCTION("""COMPUTED_VALUE"""),"DRE BELEM 2")</f>
        <v>DRE BELEM 2</v>
      </c>
      <c r="C237" s="2" t="str">
        <f ca="1">IFERROR(__xludf.DUMMYFUNCTION("""COMPUTED_VALUE"""),"DRE - ANANINDEUA / BELEM")</f>
        <v>DRE - ANANINDEUA / BELEM</v>
      </c>
      <c r="D237" s="2" t="str">
        <f ca="1">IFERROR(__xludf.DUMMYFUNCTION("""COMPUTED_VALUE"""),"Belem 2")</f>
        <v>Belem 2</v>
      </c>
      <c r="E237" s="2" t="str">
        <f ca="1">IFERROR(__xludf.DUMMYFUNCTION("""COMPUTED_VALUE"""),"DRE - ANANINDEUA / BELEMBelem 2")</f>
        <v>DRE - ANANINDEUA / BELEMBelem 2</v>
      </c>
      <c r="F237" s="1">
        <f ca="1">IFERROR(__xludf.DUMMYFUNCTION("""COMPUTED_VALUE"""),1)</f>
        <v>1</v>
      </c>
      <c r="G237" s="1" t="str">
        <f ca="1">IFERROR(__xludf.DUMMYFUNCTION("""COMPUTED_VALUE"""),"DRE BELEM 2")</f>
        <v>DRE BELEM 2</v>
      </c>
      <c r="H237" s="1" t="str">
        <f ca="1">IFERROR(__xludf.DUMMYFUNCTION("""COMPUTED_VALUE"""),"19A URE - BELEM")</f>
        <v>19A URE - BELEM</v>
      </c>
      <c r="I237" s="2" t="str">
        <f ca="1">IFERROR(__xludf.DUMMYFUNCTION("""COMPUTED_VALUE"""),"Unidade 2")</f>
        <v>Unidade 2</v>
      </c>
      <c r="J237" s="1" t="str">
        <f ca="1">IFERROR(__xludf.DUMMYFUNCTION("""COMPUTED_VALUE"""),"BELEM")</f>
        <v>BELEM</v>
      </c>
      <c r="K237" s="1">
        <f ca="1">IFERROR(__xludf.DUMMYFUNCTION("""COMPUTED_VALUE"""),15040054)</f>
        <v>15040054</v>
      </c>
      <c r="L237" s="2" t="str">
        <f ca="1">IFERROR(__xludf.DUMMYFUNCTION("""COMPUTED_VALUE"""),"001920901660000")</f>
        <v>001920901660000</v>
      </c>
      <c r="M237" s="2" t="str">
        <f ca="1">IFERROR(__xludf.DUMMYFUNCTION("""COMPUTED_VALUE"""),"1920901660000")</f>
        <v>1920901660000</v>
      </c>
      <c r="N237" s="1" t="str">
        <f ca="1">IFERROR(__xludf.DUMMYFUNCTION("""COMPUTED_VALUE"""),"EEEF JOSE VERISSIMO")</f>
        <v>EEEF JOSE VERISSIMO</v>
      </c>
      <c r="O237" s="1"/>
      <c r="P237" s="1"/>
      <c r="Q237" s="1" t="s">
        <v>242</v>
      </c>
    </row>
    <row r="238" spans="1:17" x14ac:dyDescent="0.25">
      <c r="A238" s="2" t="str">
        <f ca="1">IFERROR(__xludf.DUMMYFUNCTION("""COMPUTED_VALUE"""),"REG DE INTEGRA  METROPOLITANA")</f>
        <v>REG DE INTEGRA  METROPOLITANA</v>
      </c>
      <c r="B238" s="1" t="str">
        <f ca="1">IFERROR(__xludf.DUMMYFUNCTION("""COMPUTED_VALUE"""),"DRE BELEM 2")</f>
        <v>DRE BELEM 2</v>
      </c>
      <c r="C238" s="2" t="str">
        <f ca="1">IFERROR(__xludf.DUMMYFUNCTION("""COMPUTED_VALUE"""),"DRE - ANANINDEUA / BELEM")</f>
        <v>DRE - ANANINDEUA / BELEM</v>
      </c>
      <c r="D238" s="2" t="str">
        <f ca="1">IFERROR(__xludf.DUMMYFUNCTION("""COMPUTED_VALUE"""),"Belem 2")</f>
        <v>Belem 2</v>
      </c>
      <c r="E238" s="2" t="str">
        <f ca="1">IFERROR(__xludf.DUMMYFUNCTION("""COMPUTED_VALUE"""),"DRE - ANANINDEUA / BELEMBelem 2")</f>
        <v>DRE - ANANINDEUA / BELEMBelem 2</v>
      </c>
      <c r="F238" s="1">
        <f ca="1">IFERROR(__xludf.DUMMYFUNCTION("""COMPUTED_VALUE"""),1)</f>
        <v>1</v>
      </c>
      <c r="G238" s="1" t="str">
        <f ca="1">IFERROR(__xludf.DUMMYFUNCTION("""COMPUTED_VALUE"""),"DRE BELEM 2")</f>
        <v>DRE BELEM 2</v>
      </c>
      <c r="H238" s="1" t="str">
        <f ca="1">IFERROR(__xludf.DUMMYFUNCTION("""COMPUTED_VALUE"""),"19A URE - BELEM")</f>
        <v>19A URE - BELEM</v>
      </c>
      <c r="I238" s="2" t="str">
        <f ca="1">IFERROR(__xludf.DUMMYFUNCTION("""COMPUTED_VALUE"""),"Unidade 2")</f>
        <v>Unidade 2</v>
      </c>
      <c r="J238" s="1" t="str">
        <f ca="1">IFERROR(__xludf.DUMMYFUNCTION("""COMPUTED_VALUE"""),"BELEM")</f>
        <v>BELEM</v>
      </c>
      <c r="K238" s="1">
        <f ca="1">IFERROR(__xludf.DUMMYFUNCTION("""COMPUTED_VALUE"""),15038696)</f>
        <v>15038696</v>
      </c>
      <c r="L238" s="2" t="str">
        <f ca="1">IFERROR(__xludf.DUMMYFUNCTION("""COMPUTED_VALUE"""),"001920901120000")</f>
        <v>001920901120000</v>
      </c>
      <c r="M238" s="2" t="str">
        <f ca="1">IFERROR(__xludf.DUMMYFUNCTION("""COMPUTED_VALUE"""),"1920901120000")</f>
        <v>1920901120000</v>
      </c>
      <c r="N238" s="1" t="str">
        <f ca="1">IFERROR(__xludf.DUMMYFUNCTION("""COMPUTED_VALUE"""),"EEEF MARLUCE PACHECO FERREIRA")</f>
        <v>EEEF MARLUCE PACHECO FERREIRA</v>
      </c>
      <c r="O238" s="1"/>
      <c r="P238" s="1"/>
      <c r="Q238" s="1" t="s">
        <v>242</v>
      </c>
    </row>
    <row r="239" spans="1:17" x14ac:dyDescent="0.25">
      <c r="A239" s="2" t="str">
        <f ca="1">IFERROR(__xludf.DUMMYFUNCTION("""COMPUTED_VALUE"""),"REG DE INTEGRA  METROPOLITANA")</f>
        <v>REG DE INTEGRA  METROPOLITANA</v>
      </c>
      <c r="B239" s="1" t="str">
        <f ca="1">IFERROR(__xludf.DUMMYFUNCTION("""COMPUTED_VALUE"""),"DRE BELEM 2")</f>
        <v>DRE BELEM 2</v>
      </c>
      <c r="C239" s="2" t="str">
        <f ca="1">IFERROR(__xludf.DUMMYFUNCTION("""COMPUTED_VALUE"""),"DRE - ANANINDEUA / BELEM")</f>
        <v>DRE - ANANINDEUA / BELEM</v>
      </c>
      <c r="D239" s="2" t="str">
        <f ca="1">IFERROR(__xludf.DUMMYFUNCTION("""COMPUTED_VALUE"""),"Belem 2")</f>
        <v>Belem 2</v>
      </c>
      <c r="E239" s="2" t="str">
        <f ca="1">IFERROR(__xludf.DUMMYFUNCTION("""COMPUTED_VALUE"""),"DRE - ANANINDEUA / BELEMBelem 2")</f>
        <v>DRE - ANANINDEUA / BELEMBelem 2</v>
      </c>
      <c r="F239" s="1">
        <f ca="1">IFERROR(__xludf.DUMMYFUNCTION("""COMPUTED_VALUE"""),1)</f>
        <v>1</v>
      </c>
      <c r="G239" s="1" t="str">
        <f ca="1">IFERROR(__xludf.DUMMYFUNCTION("""COMPUTED_VALUE"""),"DRE BELEM 2")</f>
        <v>DRE BELEM 2</v>
      </c>
      <c r="H239" s="1" t="str">
        <f ca="1">IFERROR(__xludf.DUMMYFUNCTION("""COMPUTED_VALUE"""),"19A URE - BELEM")</f>
        <v>19A URE - BELEM</v>
      </c>
      <c r="I239" s="2" t="str">
        <f ca="1">IFERROR(__xludf.DUMMYFUNCTION("""COMPUTED_VALUE"""),"Unidade 2")</f>
        <v>Unidade 2</v>
      </c>
      <c r="J239" s="1" t="str">
        <f ca="1">IFERROR(__xludf.DUMMYFUNCTION("""COMPUTED_VALUE"""),"BELEM")</f>
        <v>BELEM</v>
      </c>
      <c r="K239" s="1">
        <f ca="1">IFERROR(__xludf.DUMMYFUNCTION("""COMPUTED_VALUE"""),15037126)</f>
        <v>15037126</v>
      </c>
      <c r="L239" s="2" t="str">
        <f ca="1">IFERROR(__xludf.DUMMYFUNCTION("""COMPUTED_VALUE"""),"001920932470000")</f>
        <v>001920932470000</v>
      </c>
      <c r="M239" s="2" t="str">
        <f ca="1">IFERROR(__xludf.DUMMYFUNCTION("""COMPUTED_VALUE"""),"1920932470000")</f>
        <v>1920932470000</v>
      </c>
      <c r="N239" s="1" t="str">
        <f ca="1">IFERROR(__xludf.DUMMYFUNCTION("""COMPUTED_VALUE"""),"EEEF MORADORES VILA NOVA P MOURA CARVALHO")</f>
        <v>EEEF MORADORES VILA NOVA P MOURA CARVALHO</v>
      </c>
      <c r="O239" s="1"/>
      <c r="P239" s="1"/>
      <c r="Q239" s="1" t="s">
        <v>242</v>
      </c>
    </row>
    <row r="240" spans="1:17" x14ac:dyDescent="0.25">
      <c r="A240" s="2" t="str">
        <f ca="1">IFERROR(__xludf.DUMMYFUNCTION("""COMPUTED_VALUE"""),"REG DE INTEGRA  METROPOLITANA")</f>
        <v>REG DE INTEGRA  METROPOLITANA</v>
      </c>
      <c r="B240" s="1" t="str">
        <f ca="1">IFERROR(__xludf.DUMMYFUNCTION("""COMPUTED_VALUE"""),"DRE BELEM 2")</f>
        <v>DRE BELEM 2</v>
      </c>
      <c r="C240" s="2" t="str">
        <f ca="1">IFERROR(__xludf.DUMMYFUNCTION("""COMPUTED_VALUE"""),"DRE - ANANINDEUA / BELEM")</f>
        <v>DRE - ANANINDEUA / BELEM</v>
      </c>
      <c r="D240" s="2" t="str">
        <f ca="1">IFERROR(__xludf.DUMMYFUNCTION("""COMPUTED_VALUE"""),"Belem 2")</f>
        <v>Belem 2</v>
      </c>
      <c r="E240" s="2" t="str">
        <f ca="1">IFERROR(__xludf.DUMMYFUNCTION("""COMPUTED_VALUE"""),"DRE - ANANINDEUA / BELEMBelem 2")</f>
        <v>DRE - ANANINDEUA / BELEMBelem 2</v>
      </c>
      <c r="F240" s="1">
        <f ca="1">IFERROR(__xludf.DUMMYFUNCTION("""COMPUTED_VALUE"""),1)</f>
        <v>1</v>
      </c>
      <c r="G240" s="1" t="str">
        <f ca="1">IFERROR(__xludf.DUMMYFUNCTION("""COMPUTED_VALUE"""),"DRE BELEM 2")</f>
        <v>DRE BELEM 2</v>
      </c>
      <c r="H240" s="1" t="str">
        <f ca="1">IFERROR(__xludf.DUMMYFUNCTION("""COMPUTED_VALUE"""),"19A URE - BELEM")</f>
        <v>19A URE - BELEM</v>
      </c>
      <c r="I240" s="2" t="str">
        <f ca="1">IFERROR(__xludf.DUMMYFUNCTION("""COMPUTED_VALUE"""),"Unidade 2")</f>
        <v>Unidade 2</v>
      </c>
      <c r="J240" s="1" t="str">
        <f ca="1">IFERROR(__xludf.DUMMYFUNCTION("""COMPUTED_VALUE"""),"BELEM")</f>
        <v>BELEM</v>
      </c>
      <c r="K240" s="1">
        <f ca="1">IFERROR(__xludf.DUMMYFUNCTION("""COMPUTED_VALUE"""),15041395)</f>
        <v>15041395</v>
      </c>
      <c r="L240" s="2" t="str">
        <f ca="1">IFERROR(__xludf.DUMMYFUNCTION("""COMPUTED_VALUE"""),"001920930870000")</f>
        <v>001920930870000</v>
      </c>
      <c r="M240" s="2" t="str">
        <f ca="1">IFERROR(__xludf.DUMMYFUNCTION("""COMPUTED_VALUE"""),"1920930870000")</f>
        <v>1920930870000</v>
      </c>
      <c r="N240" s="1" t="str">
        <f ca="1">IFERROR(__xludf.DUMMYFUNCTION("""COMPUTED_VALUE"""),"EEEF SAO PIO X")</f>
        <v>EEEF SAO PIO X</v>
      </c>
      <c r="O240" s="1"/>
      <c r="P240" s="1"/>
      <c r="Q240" s="1" t="s">
        <v>242</v>
      </c>
    </row>
    <row r="241" spans="1:17" x14ac:dyDescent="0.25">
      <c r="A241" s="2" t="str">
        <f ca="1">IFERROR(__xludf.DUMMYFUNCTION("""COMPUTED_VALUE"""),"REG DE INTEGRA  METROPOLITANA")</f>
        <v>REG DE INTEGRA  METROPOLITANA</v>
      </c>
      <c r="B241" s="1" t="str">
        <f ca="1">IFERROR(__xludf.DUMMYFUNCTION("""COMPUTED_VALUE"""),"DRE BELEM 2")</f>
        <v>DRE BELEM 2</v>
      </c>
      <c r="C241" s="2" t="str">
        <f ca="1">IFERROR(__xludf.DUMMYFUNCTION("""COMPUTED_VALUE"""),"DRE - ANANINDEUA / BELEM")</f>
        <v>DRE - ANANINDEUA / BELEM</v>
      </c>
      <c r="D241" s="2" t="str">
        <f ca="1">IFERROR(__xludf.DUMMYFUNCTION("""COMPUTED_VALUE"""),"Belem 2")</f>
        <v>Belem 2</v>
      </c>
      <c r="E241" s="2" t="str">
        <f ca="1">IFERROR(__xludf.DUMMYFUNCTION("""COMPUTED_VALUE"""),"DRE - ANANINDEUA / BELEMBelem 2")</f>
        <v>DRE - ANANINDEUA / BELEMBelem 2</v>
      </c>
      <c r="F241" s="1">
        <f ca="1">IFERROR(__xludf.DUMMYFUNCTION("""COMPUTED_VALUE"""),1)</f>
        <v>1</v>
      </c>
      <c r="G241" s="1" t="str">
        <f ca="1">IFERROR(__xludf.DUMMYFUNCTION("""COMPUTED_VALUE"""),"DRE BELEM 2")</f>
        <v>DRE BELEM 2</v>
      </c>
      <c r="H241" s="1" t="str">
        <f ca="1">IFERROR(__xludf.DUMMYFUNCTION("""COMPUTED_VALUE"""),"19A URE - BELEM")</f>
        <v>19A URE - BELEM</v>
      </c>
      <c r="I241" s="2" t="str">
        <f ca="1">IFERROR(__xludf.DUMMYFUNCTION("""COMPUTED_VALUE"""),"Unidade 2")</f>
        <v>Unidade 2</v>
      </c>
      <c r="J241" s="1" t="str">
        <f ca="1">IFERROR(__xludf.DUMMYFUNCTION("""COMPUTED_VALUE"""),"BELEM")</f>
        <v>BELEM</v>
      </c>
      <c r="K241" s="1">
        <f ca="1">IFERROR(__xludf.DUMMYFUNCTION("""COMPUTED_VALUE"""),15039668)</f>
        <v>15039668</v>
      </c>
      <c r="L241" s="2" t="str">
        <f ca="1">IFERROR(__xludf.DUMMYFUNCTION("""COMPUTED_VALUE"""),"001920902270000")</f>
        <v>001920902270000</v>
      </c>
      <c r="M241" s="2" t="str">
        <f ca="1">IFERROR(__xludf.DUMMYFUNCTION("""COMPUTED_VALUE"""),"1920902270000")</f>
        <v>1920902270000</v>
      </c>
      <c r="N241" s="1" t="str">
        <f ca="1">IFERROR(__xludf.DUMMYFUNCTION("""COMPUTED_VALUE"""),"EEEFM ARTHUR PORTO")</f>
        <v>EEEFM ARTHUR PORTO</v>
      </c>
      <c r="O241" s="1"/>
      <c r="P241" s="1"/>
      <c r="Q241" s="1" t="s">
        <v>242</v>
      </c>
    </row>
    <row r="242" spans="1:17" x14ac:dyDescent="0.25">
      <c r="A242" s="2" t="str">
        <f ca="1">IFERROR(__xludf.DUMMYFUNCTION("""COMPUTED_VALUE"""),"REG DE INTEGRA  METROPOLITANA")</f>
        <v>REG DE INTEGRA  METROPOLITANA</v>
      </c>
      <c r="B242" s="1" t="str">
        <f ca="1">IFERROR(__xludf.DUMMYFUNCTION("""COMPUTED_VALUE"""),"DRE BELEM 2")</f>
        <v>DRE BELEM 2</v>
      </c>
      <c r="C242" s="2" t="str">
        <f ca="1">IFERROR(__xludf.DUMMYFUNCTION("""COMPUTED_VALUE"""),"DRE - ANANINDEUA / BELEM")</f>
        <v>DRE - ANANINDEUA / BELEM</v>
      </c>
      <c r="D242" s="2" t="str">
        <f ca="1">IFERROR(__xludf.DUMMYFUNCTION("""COMPUTED_VALUE"""),"Belem 2")</f>
        <v>Belem 2</v>
      </c>
      <c r="E242" s="2" t="str">
        <f ca="1">IFERROR(__xludf.DUMMYFUNCTION("""COMPUTED_VALUE"""),"DRE - ANANINDEUA / BELEMBelem 2")</f>
        <v>DRE - ANANINDEUA / BELEMBelem 2</v>
      </c>
      <c r="F242" s="1">
        <f ca="1">IFERROR(__xludf.DUMMYFUNCTION("""COMPUTED_VALUE"""),1)</f>
        <v>1</v>
      </c>
      <c r="G242" s="1" t="str">
        <f ca="1">IFERROR(__xludf.DUMMYFUNCTION("""COMPUTED_VALUE"""),"DRE BELEM 2")</f>
        <v>DRE BELEM 2</v>
      </c>
      <c r="H242" s="1" t="str">
        <f ca="1">IFERROR(__xludf.DUMMYFUNCTION("""COMPUTED_VALUE"""),"19A URE - BELEM")</f>
        <v>19A URE - BELEM</v>
      </c>
      <c r="I242" s="2" t="str">
        <f ca="1">IFERROR(__xludf.DUMMYFUNCTION("""COMPUTED_VALUE"""),"Unidade 2")</f>
        <v>Unidade 2</v>
      </c>
      <c r="J242" s="1" t="str">
        <f ca="1">IFERROR(__xludf.DUMMYFUNCTION("""COMPUTED_VALUE"""),"BELEM")</f>
        <v>BELEM</v>
      </c>
      <c r="K242" s="1">
        <f ca="1">IFERROR(__xludf.DUMMYFUNCTION("""COMPUTED_VALUE"""),15523845)</f>
        <v>15523845</v>
      </c>
      <c r="L242" s="2" t="str">
        <f ca="1">IFERROR(__xludf.DUMMYFUNCTION("""COMPUTED_VALUE"""),"001920929510000")</f>
        <v>001920929510000</v>
      </c>
      <c r="M242" s="2" t="str">
        <f ca="1">IFERROR(__xludf.DUMMYFUNCTION("""COMPUTED_VALUE"""),"1920929510000")</f>
        <v>1920929510000</v>
      </c>
      <c r="N242" s="1" t="str">
        <f ca="1">IFERROR(__xludf.DUMMYFUNCTION("""COMPUTED_VALUE"""),"EEEFM DAVID SALOMAO MUFARREJ")</f>
        <v>EEEFM DAVID SALOMAO MUFARREJ</v>
      </c>
      <c r="O242" s="1"/>
      <c r="P242" s="1"/>
      <c r="Q242" s="1" t="s">
        <v>242</v>
      </c>
    </row>
    <row r="243" spans="1:17" x14ac:dyDescent="0.25">
      <c r="A243" s="2" t="str">
        <f ca="1">IFERROR(__xludf.DUMMYFUNCTION("""COMPUTED_VALUE"""),"REG DE INTEGRA  METROPOLITANA")</f>
        <v>REG DE INTEGRA  METROPOLITANA</v>
      </c>
      <c r="B243" s="1" t="str">
        <f ca="1">IFERROR(__xludf.DUMMYFUNCTION("""COMPUTED_VALUE"""),"DRE BELEM 2")</f>
        <v>DRE BELEM 2</v>
      </c>
      <c r="C243" s="2" t="str">
        <f ca="1">IFERROR(__xludf.DUMMYFUNCTION("""COMPUTED_VALUE"""),"DRE - ANANINDEUA / BELEM")</f>
        <v>DRE - ANANINDEUA / BELEM</v>
      </c>
      <c r="D243" s="2" t="str">
        <f ca="1">IFERROR(__xludf.DUMMYFUNCTION("""COMPUTED_VALUE"""),"Belem 2")</f>
        <v>Belem 2</v>
      </c>
      <c r="E243" s="2" t="str">
        <f ca="1">IFERROR(__xludf.DUMMYFUNCTION("""COMPUTED_VALUE"""),"DRE - ANANINDEUA / BELEMBelem 2")</f>
        <v>DRE - ANANINDEUA / BELEMBelem 2</v>
      </c>
      <c r="F243" s="1">
        <f ca="1">IFERROR(__xludf.DUMMYFUNCTION("""COMPUTED_VALUE"""),1)</f>
        <v>1</v>
      </c>
      <c r="G243" s="1" t="str">
        <f ca="1">IFERROR(__xludf.DUMMYFUNCTION("""COMPUTED_VALUE"""),"DRE BELEM 2")</f>
        <v>DRE BELEM 2</v>
      </c>
      <c r="H243" s="1" t="str">
        <f ca="1">IFERROR(__xludf.DUMMYFUNCTION("""COMPUTED_VALUE"""),"19A URE - BELEM")</f>
        <v>19A URE - BELEM</v>
      </c>
      <c r="I243" s="2" t="str">
        <f ca="1">IFERROR(__xludf.DUMMYFUNCTION("""COMPUTED_VALUE"""),"Unidade 2")</f>
        <v>Unidade 2</v>
      </c>
      <c r="J243" s="1" t="str">
        <f ca="1">IFERROR(__xludf.DUMMYFUNCTION("""COMPUTED_VALUE"""),"BELEM")</f>
        <v>BELEM</v>
      </c>
      <c r="K243" s="1">
        <f ca="1">IFERROR(__xludf.DUMMYFUNCTION("""COMPUTED_VALUE"""),15039684)</f>
        <v>15039684</v>
      </c>
      <c r="L243" s="2" t="str">
        <f ca="1">IFERROR(__xludf.DUMMYFUNCTION("""COMPUTED_VALUE"""),"001920927600000")</f>
        <v>001920927600000</v>
      </c>
      <c r="M243" s="2" t="str">
        <f ca="1">IFERROR(__xludf.DUMMYFUNCTION("""COMPUTED_VALUE"""),"1920927600000")</f>
        <v>1920927600000</v>
      </c>
      <c r="N243" s="1" t="str">
        <f ca="1">IFERROR(__xludf.DUMMYFUNCTION("""COMPUTED_VALUE"""),"EEEFM PADRE BENEDITO CHAVES")</f>
        <v>EEEFM PADRE BENEDITO CHAVES</v>
      </c>
      <c r="O243" s="1"/>
      <c r="P243" s="1"/>
      <c r="Q243" s="1" t="s">
        <v>242</v>
      </c>
    </row>
    <row r="244" spans="1:17" x14ac:dyDescent="0.25">
      <c r="A244" s="2" t="str">
        <f ca="1">IFERROR(__xludf.DUMMYFUNCTION("""COMPUTED_VALUE"""),"REG DE INTEGRA  METROPOLITANA")</f>
        <v>REG DE INTEGRA  METROPOLITANA</v>
      </c>
      <c r="B244" s="1" t="str">
        <f ca="1">IFERROR(__xludf.DUMMYFUNCTION("""COMPUTED_VALUE"""),"DRE BELEM 2")</f>
        <v>DRE BELEM 2</v>
      </c>
      <c r="C244" s="2" t="str">
        <f ca="1">IFERROR(__xludf.DUMMYFUNCTION("""COMPUTED_VALUE"""),"DRE - ANANINDEUA / BELEM")</f>
        <v>DRE - ANANINDEUA / BELEM</v>
      </c>
      <c r="D244" s="2" t="str">
        <f ca="1">IFERROR(__xludf.DUMMYFUNCTION("""COMPUTED_VALUE"""),"Belem 2")</f>
        <v>Belem 2</v>
      </c>
      <c r="E244" s="2" t="str">
        <f ca="1">IFERROR(__xludf.DUMMYFUNCTION("""COMPUTED_VALUE"""),"DRE - ANANINDEUA / BELEMBelem 2")</f>
        <v>DRE - ANANINDEUA / BELEMBelem 2</v>
      </c>
      <c r="F244" s="1">
        <f ca="1">IFERROR(__xludf.DUMMYFUNCTION("""COMPUTED_VALUE"""),1)</f>
        <v>1</v>
      </c>
      <c r="G244" s="1" t="str">
        <f ca="1">IFERROR(__xludf.DUMMYFUNCTION("""COMPUTED_VALUE"""),"DRE BELEM 2")</f>
        <v>DRE BELEM 2</v>
      </c>
      <c r="H244" s="1" t="str">
        <f ca="1">IFERROR(__xludf.DUMMYFUNCTION("""COMPUTED_VALUE"""),"19A URE - BELEM")</f>
        <v>19A URE - BELEM</v>
      </c>
      <c r="I244" s="2" t="str">
        <f ca="1">IFERROR(__xludf.DUMMYFUNCTION("""COMPUTED_VALUE"""),"Unidade 2")</f>
        <v>Unidade 2</v>
      </c>
      <c r="J244" s="1" t="str">
        <f ca="1">IFERROR(__xludf.DUMMYFUNCTION("""COMPUTED_VALUE"""),"BELEM")</f>
        <v>BELEM</v>
      </c>
      <c r="K244" s="1">
        <f ca="1">IFERROR(__xludf.DUMMYFUNCTION("""COMPUTED_VALUE"""),15039757)</f>
        <v>15039757</v>
      </c>
      <c r="L244" s="2" t="str">
        <f ca="1">IFERROR(__xludf.DUMMYFUNCTION("""COMPUTED_VALUE"""),"001920901780000")</f>
        <v>001920901780000</v>
      </c>
      <c r="M244" s="2" t="str">
        <f ca="1">IFERROR(__xludf.DUMMYFUNCTION("""COMPUTED_VALUE"""),"1920901780000")</f>
        <v>1920901780000</v>
      </c>
      <c r="N244" s="1" t="str">
        <f ca="1">IFERROR(__xludf.DUMMYFUNCTION("""COMPUTED_VALUE"""),"EEEFM PROFA PLACIDIA CARDOSO")</f>
        <v>EEEFM PROFA PLACIDIA CARDOSO</v>
      </c>
      <c r="O244" s="1"/>
      <c r="P244" s="1"/>
      <c r="Q244" s="1" t="s">
        <v>242</v>
      </c>
    </row>
    <row r="245" spans="1:17" x14ac:dyDescent="0.25">
      <c r="A245" s="2" t="str">
        <f ca="1">IFERROR(__xludf.DUMMYFUNCTION("""COMPUTED_VALUE"""),"REG DE INTEGRA  METROPOLITANA")</f>
        <v>REG DE INTEGRA  METROPOLITANA</v>
      </c>
      <c r="B245" s="1" t="str">
        <f ca="1">IFERROR(__xludf.DUMMYFUNCTION("""COMPUTED_VALUE"""),"DRE BELEM 2")</f>
        <v>DRE BELEM 2</v>
      </c>
      <c r="C245" s="2" t="str">
        <f ca="1">IFERROR(__xludf.DUMMYFUNCTION("""COMPUTED_VALUE"""),"DRE - ANANINDEUA / BELEM")</f>
        <v>DRE - ANANINDEUA / BELEM</v>
      </c>
      <c r="D245" s="2" t="str">
        <f ca="1">IFERROR(__xludf.DUMMYFUNCTION("""COMPUTED_VALUE"""),"Belem 2")</f>
        <v>Belem 2</v>
      </c>
      <c r="E245" s="2" t="str">
        <f ca="1">IFERROR(__xludf.DUMMYFUNCTION("""COMPUTED_VALUE"""),"DRE - ANANINDEUA / BELEMBelem 2")</f>
        <v>DRE - ANANINDEUA / BELEMBelem 2</v>
      </c>
      <c r="F245" s="1">
        <f ca="1">IFERROR(__xludf.DUMMYFUNCTION("""COMPUTED_VALUE"""),1)</f>
        <v>1</v>
      </c>
      <c r="G245" s="1" t="str">
        <f ca="1">IFERROR(__xludf.DUMMYFUNCTION("""COMPUTED_VALUE"""),"DRE BELEM 2")</f>
        <v>DRE BELEM 2</v>
      </c>
      <c r="H245" s="1" t="str">
        <f ca="1">IFERROR(__xludf.DUMMYFUNCTION("""COMPUTED_VALUE"""),"19A URE - BELEM")</f>
        <v>19A URE - BELEM</v>
      </c>
      <c r="I245" s="2" t="str">
        <f ca="1">IFERROR(__xludf.DUMMYFUNCTION("""COMPUTED_VALUE"""),"Unidade 2")</f>
        <v>Unidade 2</v>
      </c>
      <c r="J245" s="1" t="str">
        <f ca="1">IFERROR(__xludf.DUMMYFUNCTION("""COMPUTED_VALUE"""),"BELEM")</f>
        <v>BELEM</v>
      </c>
      <c r="K245" s="1">
        <f ca="1">IFERROR(__xludf.DUMMYFUNCTION("""COMPUTED_VALUE"""),15040186)</f>
        <v>15040186</v>
      </c>
      <c r="L245" s="2" t="str">
        <f ca="1">IFERROR(__xludf.DUMMYFUNCTION("""COMPUTED_VALUE"""),"001920901010000")</f>
        <v>001920901010000</v>
      </c>
      <c r="M245" s="2" t="str">
        <f ca="1">IFERROR(__xludf.DUMMYFUNCTION("""COMPUTED_VALUE"""),"1920901010000")</f>
        <v>1920901010000</v>
      </c>
      <c r="N245" s="1" t="str">
        <f ca="1">IFERROR(__xludf.DUMMYFUNCTION("""COMPUTED_VALUE"""),"EEEFM RUI BARBOSA")</f>
        <v>EEEFM RUI BARBOSA</v>
      </c>
      <c r="O245" s="1"/>
      <c r="P245" s="1"/>
      <c r="Q245" s="1" t="s">
        <v>242</v>
      </c>
    </row>
    <row r="246" spans="1:17" x14ac:dyDescent="0.25">
      <c r="A246" s="2" t="str">
        <f ca="1">IFERROR(__xludf.DUMMYFUNCTION("""COMPUTED_VALUE"""),"REG DE INTEGRA  METROPOLITANA")</f>
        <v>REG DE INTEGRA  METROPOLITANA</v>
      </c>
      <c r="B246" s="1" t="str">
        <f ca="1">IFERROR(__xludf.DUMMYFUNCTION("""COMPUTED_VALUE"""),"DRE BELEM 2")</f>
        <v>DRE BELEM 2</v>
      </c>
      <c r="C246" s="2" t="str">
        <f ca="1">IFERROR(__xludf.DUMMYFUNCTION("""COMPUTED_VALUE"""),"DRE - ANANINDEUA / BELEM")</f>
        <v>DRE - ANANINDEUA / BELEM</v>
      </c>
      <c r="D246" s="2" t="str">
        <f ca="1">IFERROR(__xludf.DUMMYFUNCTION("""COMPUTED_VALUE"""),"Belem 2")</f>
        <v>Belem 2</v>
      </c>
      <c r="E246" s="2" t="str">
        <f ca="1">IFERROR(__xludf.DUMMYFUNCTION("""COMPUTED_VALUE"""),"DRE - ANANINDEUA / BELEMBelem 2")</f>
        <v>DRE - ANANINDEUA / BELEMBelem 2</v>
      </c>
      <c r="F246" s="1">
        <f ca="1">IFERROR(__xludf.DUMMYFUNCTION("""COMPUTED_VALUE"""),1)</f>
        <v>1</v>
      </c>
      <c r="G246" s="1" t="str">
        <f ca="1">IFERROR(__xludf.DUMMYFUNCTION("""COMPUTED_VALUE"""),"DRE BELEM 2")</f>
        <v>DRE BELEM 2</v>
      </c>
      <c r="H246" s="1" t="str">
        <f ca="1">IFERROR(__xludf.DUMMYFUNCTION("""COMPUTED_VALUE"""),"19A URE - BELEM")</f>
        <v>19A URE - BELEM</v>
      </c>
      <c r="I246" s="2" t="str">
        <f ca="1">IFERROR(__xludf.DUMMYFUNCTION("""COMPUTED_VALUE"""),"Unidade 2")</f>
        <v>Unidade 2</v>
      </c>
      <c r="J246" s="1" t="str">
        <f ca="1">IFERROR(__xludf.DUMMYFUNCTION("""COMPUTED_VALUE"""),"BELEM")</f>
        <v>BELEM</v>
      </c>
      <c r="K246" s="1">
        <f ca="1">IFERROR(__xludf.DUMMYFUNCTION("""COMPUTED_VALUE"""),15040186)</f>
        <v>15040186</v>
      </c>
      <c r="L246" s="2" t="str">
        <f ca="1">IFERROR(__xludf.DUMMYFUNCTION("""COMPUTED_VALUE"""),"001920901010001")</f>
        <v>001920901010001</v>
      </c>
      <c r="M246" s="2" t="str">
        <f ca="1">IFERROR(__xludf.DUMMYFUNCTION("""COMPUTED_VALUE"""),"1920901010001")</f>
        <v>1920901010001</v>
      </c>
      <c r="N246" s="1" t="str">
        <f ca="1">IFERROR(__xludf.DUMMYFUNCTION("""COMPUTED_VALUE"""),"EEEFM RUI BARBOSA ANEXO I")</f>
        <v>EEEFM RUI BARBOSA ANEXO I</v>
      </c>
      <c r="O246" s="1"/>
      <c r="P246" s="1"/>
      <c r="Q246" s="1" t="s">
        <v>242</v>
      </c>
    </row>
    <row r="247" spans="1:17" x14ac:dyDescent="0.25">
      <c r="A247" s="2" t="str">
        <f ca="1">IFERROR(__xludf.DUMMYFUNCTION("""COMPUTED_VALUE"""),"REG DE INTEGRA  METROPOLITANA")</f>
        <v>REG DE INTEGRA  METROPOLITANA</v>
      </c>
      <c r="B247" s="1" t="str">
        <f ca="1">IFERROR(__xludf.DUMMYFUNCTION("""COMPUTED_VALUE"""),"DRE BELEM 2")</f>
        <v>DRE BELEM 2</v>
      </c>
      <c r="C247" s="2" t="str">
        <f ca="1">IFERROR(__xludf.DUMMYFUNCTION("""COMPUTED_VALUE"""),"DRE - ANANINDEUA / BELEM")</f>
        <v>DRE - ANANINDEUA / BELEM</v>
      </c>
      <c r="D247" s="2" t="str">
        <f ca="1">IFERROR(__xludf.DUMMYFUNCTION("""COMPUTED_VALUE"""),"Belem 2")</f>
        <v>Belem 2</v>
      </c>
      <c r="E247" s="2" t="str">
        <f ca="1">IFERROR(__xludf.DUMMYFUNCTION("""COMPUTED_VALUE"""),"DRE - ANANINDEUA / BELEMBelem 2")</f>
        <v>DRE - ANANINDEUA / BELEMBelem 2</v>
      </c>
      <c r="F247" s="1">
        <f ca="1">IFERROR(__xludf.DUMMYFUNCTION("""COMPUTED_VALUE"""),1)</f>
        <v>1</v>
      </c>
      <c r="G247" s="1" t="str">
        <f ca="1">IFERROR(__xludf.DUMMYFUNCTION("""COMPUTED_VALUE"""),"DRE BELEM 2")</f>
        <v>DRE BELEM 2</v>
      </c>
      <c r="H247" s="1" t="str">
        <f ca="1">IFERROR(__xludf.DUMMYFUNCTION("""COMPUTED_VALUE"""),"19A URE - BELEM")</f>
        <v>19A URE - BELEM</v>
      </c>
      <c r="I247" s="2" t="str">
        <f ca="1">IFERROR(__xludf.DUMMYFUNCTION("""COMPUTED_VALUE"""),"Unidade 2")</f>
        <v>Unidade 2</v>
      </c>
      <c r="J247" s="1" t="str">
        <f ca="1">IFERROR(__xludf.DUMMYFUNCTION("""COMPUTED_VALUE"""),"BELEM")</f>
        <v>BELEM</v>
      </c>
      <c r="K247" s="1">
        <f ca="1">IFERROR(__xludf.DUMMYFUNCTION("""COMPUTED_VALUE"""),15040143)</f>
        <v>15040143</v>
      </c>
      <c r="L247" s="2" t="str">
        <f ca="1">IFERROR(__xludf.DUMMYFUNCTION("""COMPUTED_VALUE"""),"001920901770000")</f>
        <v>001920901770000</v>
      </c>
      <c r="M247" s="2" t="str">
        <f ca="1">IFERROR(__xludf.DUMMYFUNCTION("""COMPUTED_VALUE"""),"1920901770000")</f>
        <v>1920901770000</v>
      </c>
      <c r="N247" s="1" t="str">
        <f ca="1">IFERROR(__xludf.DUMMYFUNCTION("""COMPUTED_VALUE"""),"EEEFM S PROF CAMILO SALGADO")</f>
        <v>EEEFM S PROF CAMILO SALGADO</v>
      </c>
      <c r="O247" s="1"/>
      <c r="P247" s="1"/>
      <c r="Q247" s="1" t="s">
        <v>242</v>
      </c>
    </row>
    <row r="248" spans="1:17" x14ac:dyDescent="0.25">
      <c r="A248" s="2" t="str">
        <f ca="1">IFERROR(__xludf.DUMMYFUNCTION("""COMPUTED_VALUE"""),"REG DE INTEGRA  METROPOLITANA")</f>
        <v>REG DE INTEGRA  METROPOLITANA</v>
      </c>
      <c r="B248" s="1" t="str">
        <f ca="1">IFERROR(__xludf.DUMMYFUNCTION("""COMPUTED_VALUE"""),"DRE BELEM 2")</f>
        <v>DRE BELEM 2</v>
      </c>
      <c r="C248" s="2" t="str">
        <f ca="1">IFERROR(__xludf.DUMMYFUNCTION("""COMPUTED_VALUE"""),"DRE - ANANINDEUA / BELEM")</f>
        <v>DRE - ANANINDEUA / BELEM</v>
      </c>
      <c r="D248" s="2" t="str">
        <f ca="1">IFERROR(__xludf.DUMMYFUNCTION("""COMPUTED_VALUE"""),"Belem 2")</f>
        <v>Belem 2</v>
      </c>
      <c r="E248" s="2" t="str">
        <f ca="1">IFERROR(__xludf.DUMMYFUNCTION("""COMPUTED_VALUE"""),"DRE - ANANINDEUA / BELEMBelem 2")</f>
        <v>DRE - ANANINDEUA / BELEMBelem 2</v>
      </c>
      <c r="F248" s="1">
        <f ca="1">IFERROR(__xludf.DUMMYFUNCTION("""COMPUTED_VALUE"""),1)</f>
        <v>1</v>
      </c>
      <c r="G248" s="1" t="str">
        <f ca="1">IFERROR(__xludf.DUMMYFUNCTION("""COMPUTED_VALUE"""),"DRE BELEM 2")</f>
        <v>DRE BELEM 2</v>
      </c>
      <c r="H248" s="1" t="str">
        <f ca="1">IFERROR(__xludf.DUMMYFUNCTION("""COMPUTED_VALUE"""),"19A URE - BELEM")</f>
        <v>19A URE - BELEM</v>
      </c>
      <c r="I248" s="2" t="str">
        <f ca="1">IFERROR(__xludf.DUMMYFUNCTION("""COMPUTED_VALUE"""),"Unidade 2")</f>
        <v>Unidade 2</v>
      </c>
      <c r="J248" s="1" t="str">
        <f ca="1">IFERROR(__xludf.DUMMYFUNCTION("""COMPUTED_VALUE"""),"BELEM")</f>
        <v>BELEM</v>
      </c>
      <c r="K248" s="1">
        <f ca="1">IFERROR(__xludf.DUMMYFUNCTION("""COMPUTED_VALUE"""),15038505)</f>
        <v>15038505</v>
      </c>
      <c r="L248" s="2" t="str">
        <f ca="1">IFERROR(__xludf.DUMMYFUNCTION("""COMPUTED_VALUE"""),"001920927820000")</f>
        <v>001920927820000</v>
      </c>
      <c r="M248" s="2" t="str">
        <f ca="1">IFERROR(__xludf.DUMMYFUNCTION("""COMPUTED_VALUE"""),"1920927820000")</f>
        <v>1920927820000</v>
      </c>
      <c r="N248" s="1" t="str">
        <f ca="1">IFERROR(__xludf.DUMMYFUNCTION("""COMPUTED_VALUE"""),"EEEFM SANTA MARIA DE BELEM")</f>
        <v>EEEFM SANTA MARIA DE BELEM</v>
      </c>
      <c r="O248" s="1"/>
      <c r="P248" s="1"/>
      <c r="Q248" s="1" t="s">
        <v>242</v>
      </c>
    </row>
    <row r="249" spans="1:17" x14ac:dyDescent="0.25">
      <c r="A249" s="2" t="str">
        <f ca="1">IFERROR(__xludf.DUMMYFUNCTION("""COMPUTED_VALUE"""),"REG DE INTEGRA  METROPOLITANA")</f>
        <v>REG DE INTEGRA  METROPOLITANA</v>
      </c>
      <c r="B249" s="1" t="str">
        <f ca="1">IFERROR(__xludf.DUMMYFUNCTION("""COMPUTED_VALUE"""),"DRE BELEM 2")</f>
        <v>DRE BELEM 2</v>
      </c>
      <c r="C249" s="2" t="str">
        <f ca="1">IFERROR(__xludf.DUMMYFUNCTION("""COMPUTED_VALUE"""),"DRE - ANANINDEUA / BELEM")</f>
        <v>DRE - ANANINDEUA / BELEM</v>
      </c>
      <c r="D249" s="2" t="str">
        <f ca="1">IFERROR(__xludf.DUMMYFUNCTION("""COMPUTED_VALUE"""),"Belem 2")</f>
        <v>Belem 2</v>
      </c>
      <c r="E249" s="2" t="str">
        <f ca="1">IFERROR(__xludf.DUMMYFUNCTION("""COMPUTED_VALUE"""),"DRE - ANANINDEUA / BELEMBelem 2")</f>
        <v>DRE - ANANINDEUA / BELEMBelem 2</v>
      </c>
      <c r="F249" s="1">
        <f ca="1">IFERROR(__xludf.DUMMYFUNCTION("""COMPUTED_VALUE"""),1)</f>
        <v>1</v>
      </c>
      <c r="G249" s="1" t="str">
        <f ca="1">IFERROR(__xludf.DUMMYFUNCTION("""COMPUTED_VALUE"""),"DRE BELEM 2")</f>
        <v>DRE BELEM 2</v>
      </c>
      <c r="H249" s="1" t="str">
        <f ca="1">IFERROR(__xludf.DUMMYFUNCTION("""COMPUTED_VALUE"""),"19A URE - BELEM")</f>
        <v>19A URE - BELEM</v>
      </c>
      <c r="I249" s="2" t="str">
        <f ca="1">IFERROR(__xludf.DUMMYFUNCTION("""COMPUTED_VALUE"""),"Unidade 2")</f>
        <v>Unidade 2</v>
      </c>
      <c r="J249" s="1" t="str">
        <f ca="1">IFERROR(__xludf.DUMMYFUNCTION("""COMPUTED_VALUE"""),"BELEM")</f>
        <v>BELEM</v>
      </c>
      <c r="K249" s="1">
        <f ca="1">IFERROR(__xludf.DUMMYFUNCTION("""COMPUTED_VALUE"""),15041425)</f>
        <v>15041425</v>
      </c>
      <c r="L249" s="2" t="str">
        <f ca="1">IFERROR(__xludf.DUMMYFUNCTION("""COMPUTED_VALUE"""),"001920928730000")</f>
        <v>001920928730000</v>
      </c>
      <c r="M249" s="2" t="str">
        <f ca="1">IFERROR(__xludf.DUMMYFUNCTION("""COMPUTED_VALUE"""),"1920928730000")</f>
        <v>1920928730000</v>
      </c>
      <c r="N249" s="1" t="str">
        <f ca="1">IFERROR(__xludf.DUMMYFUNCTION("""COMPUTED_VALUE"""),"EEEFM TIRADENTES I")</f>
        <v>EEEFM TIRADENTES I</v>
      </c>
      <c r="O249" s="1"/>
      <c r="P249" s="1"/>
      <c r="Q249" s="1" t="s">
        <v>242</v>
      </c>
    </row>
    <row r="250" spans="1:17" x14ac:dyDescent="0.25">
      <c r="A250" s="2" t="str">
        <f ca="1">IFERROR(__xludf.DUMMYFUNCTION("""COMPUTED_VALUE"""),"REG DE INTEGRA  METROPOLITANA")</f>
        <v>REG DE INTEGRA  METROPOLITANA</v>
      </c>
      <c r="B250" s="1" t="str">
        <f ca="1">IFERROR(__xludf.DUMMYFUNCTION("""COMPUTED_VALUE"""),"DRE BELEM 2")</f>
        <v>DRE BELEM 2</v>
      </c>
      <c r="C250" s="2" t="str">
        <f ca="1">IFERROR(__xludf.DUMMYFUNCTION("""COMPUTED_VALUE"""),"DRE - ANANINDEUA / BELEM")</f>
        <v>DRE - ANANINDEUA / BELEM</v>
      </c>
      <c r="D250" s="2" t="str">
        <f ca="1">IFERROR(__xludf.DUMMYFUNCTION("""COMPUTED_VALUE"""),"Belem 2")</f>
        <v>Belem 2</v>
      </c>
      <c r="E250" s="2" t="str">
        <f ca="1">IFERROR(__xludf.DUMMYFUNCTION("""COMPUTED_VALUE"""),"DRE - ANANINDEUA / BELEMBelem 2")</f>
        <v>DRE - ANANINDEUA / BELEMBelem 2</v>
      </c>
      <c r="F250" s="1">
        <f ca="1">IFERROR(__xludf.DUMMYFUNCTION("""COMPUTED_VALUE"""),1)</f>
        <v>1</v>
      </c>
      <c r="G250" s="1" t="str">
        <f ca="1">IFERROR(__xludf.DUMMYFUNCTION("""COMPUTED_VALUE"""),"DRE BELEM 2")</f>
        <v>DRE BELEM 2</v>
      </c>
      <c r="H250" s="1" t="str">
        <f ca="1">IFERROR(__xludf.DUMMYFUNCTION("""COMPUTED_VALUE"""),"19A URE - BELEM")</f>
        <v>19A URE - BELEM</v>
      </c>
      <c r="I250" s="2" t="str">
        <f ca="1">IFERROR(__xludf.DUMMYFUNCTION("""COMPUTED_VALUE"""),"Unidade 2")</f>
        <v>Unidade 2</v>
      </c>
      <c r="J250" s="1" t="str">
        <f ca="1">IFERROR(__xludf.DUMMYFUNCTION("""COMPUTED_VALUE"""),"BELEM")</f>
        <v>BELEM</v>
      </c>
      <c r="K250" s="1">
        <f ca="1">IFERROR(__xludf.DUMMYFUNCTION("""COMPUTED_VALUE"""),15209008)</f>
        <v>15209008</v>
      </c>
      <c r="L250" s="2" t="str">
        <f ca="1">IFERROR(__xludf.DUMMYFUNCTION("""COMPUTED_VALUE"""),"001920937440000")</f>
        <v>001920937440000</v>
      </c>
      <c r="M250" s="2" t="str">
        <f ca="1">IFERROR(__xludf.DUMMYFUNCTION("""COMPUTED_VALUE"""),"1920937440000")</f>
        <v>1920937440000</v>
      </c>
      <c r="N250" s="1" t="str">
        <f ca="1">IFERROR(__xludf.DUMMYFUNCTION("""COMPUTED_VALUE"""),"EEET  PROF ANISIO TEIXEIRA")</f>
        <v>EEET  PROF ANISIO TEIXEIRA</v>
      </c>
      <c r="O250" s="1"/>
      <c r="P250" s="1"/>
      <c r="Q250" s="1" t="s">
        <v>242</v>
      </c>
    </row>
    <row r="251" spans="1:17" x14ac:dyDescent="0.25">
      <c r="A251" s="2" t="str">
        <f ca="1">IFERROR(__xludf.DUMMYFUNCTION("""COMPUTED_VALUE"""),"REG DE INTEGRA  METROPOLITANA")</f>
        <v>REG DE INTEGRA  METROPOLITANA</v>
      </c>
      <c r="B251" s="1" t="str">
        <f ca="1">IFERROR(__xludf.DUMMYFUNCTION("""COMPUTED_VALUE"""),"DRE BELEM 2")</f>
        <v>DRE BELEM 2</v>
      </c>
      <c r="C251" s="2" t="str">
        <f ca="1">IFERROR(__xludf.DUMMYFUNCTION("""COMPUTED_VALUE"""),"DRE - ANANINDEUA / BELEM")</f>
        <v>DRE - ANANINDEUA / BELEM</v>
      </c>
      <c r="D251" s="2" t="str">
        <f ca="1">IFERROR(__xludf.DUMMYFUNCTION("""COMPUTED_VALUE"""),"Belem 2")</f>
        <v>Belem 2</v>
      </c>
      <c r="E251" s="2" t="str">
        <f ca="1">IFERROR(__xludf.DUMMYFUNCTION("""COMPUTED_VALUE"""),"DRE - ANANINDEUA / BELEMBelem 2")</f>
        <v>DRE - ANANINDEUA / BELEMBelem 2</v>
      </c>
      <c r="F251" s="1">
        <f ca="1">IFERROR(__xludf.DUMMYFUNCTION("""COMPUTED_VALUE"""),1)</f>
        <v>1</v>
      </c>
      <c r="G251" s="1" t="str">
        <f ca="1">IFERROR(__xludf.DUMMYFUNCTION("""COMPUTED_VALUE"""),"DRE BELEM 2")</f>
        <v>DRE BELEM 2</v>
      </c>
      <c r="H251" s="1" t="str">
        <f ca="1">IFERROR(__xludf.DUMMYFUNCTION("""COMPUTED_VALUE"""),"19A URE - BELEM")</f>
        <v>19A URE - BELEM</v>
      </c>
      <c r="I251" s="2" t="str">
        <f ca="1">IFERROR(__xludf.DUMMYFUNCTION("""COMPUTED_VALUE"""),"Unidade 2")</f>
        <v>Unidade 2</v>
      </c>
      <c r="J251" s="1" t="str">
        <f ca="1">IFERROR(__xludf.DUMMYFUNCTION("""COMPUTED_VALUE"""),"BELEM")</f>
        <v>BELEM</v>
      </c>
      <c r="K251" s="1">
        <f ca="1">IFERROR(__xludf.DUMMYFUNCTION("""COMPUTED_VALUE"""),15041352)</f>
        <v>15041352</v>
      </c>
      <c r="L251" s="2" t="str">
        <f ca="1">IFERROR(__xludf.DUMMYFUNCTION("""COMPUTED_VALUE"""),"001920930960000")</f>
        <v>001920930960000</v>
      </c>
      <c r="M251" s="2" t="str">
        <f ca="1">IFERROR(__xludf.DUMMYFUNCTION("""COMPUTED_VALUE"""),"1920930960000")</f>
        <v>1920930960000</v>
      </c>
      <c r="N251" s="1" t="str">
        <f ca="1">IFERROR(__xludf.DUMMYFUNCTION("""COMPUTED_VALUE"""),"ESCOLA ESTADUAL DE ENSINO FUNDAMENTAL PAULA FRASSINETTI")</f>
        <v>ESCOLA ESTADUAL DE ENSINO FUNDAMENTAL PAULA FRASSINETTI</v>
      </c>
      <c r="O251" s="1"/>
      <c r="P251" s="1"/>
      <c r="Q251" s="1" t="s">
        <v>242</v>
      </c>
    </row>
    <row r="252" spans="1:17" x14ac:dyDescent="0.25">
      <c r="A252" s="2" t="str">
        <f ca="1">IFERROR(__xludf.DUMMYFUNCTION("""COMPUTED_VALUE"""),"REG DE INTEGRA  METROPOLITANA")</f>
        <v>REG DE INTEGRA  METROPOLITANA</v>
      </c>
      <c r="B252" s="1" t="str">
        <f ca="1">IFERROR(__xludf.DUMMYFUNCTION("""COMPUTED_VALUE"""),"DRE BELEM 2")</f>
        <v>DRE BELEM 2</v>
      </c>
      <c r="C252" s="2" t="str">
        <f ca="1">IFERROR(__xludf.DUMMYFUNCTION("""COMPUTED_VALUE"""),"DRE - ANANINDEUA / BELEM")</f>
        <v>DRE - ANANINDEUA / BELEM</v>
      </c>
      <c r="D252" s="2" t="str">
        <f ca="1">IFERROR(__xludf.DUMMYFUNCTION("""COMPUTED_VALUE"""),"Belem 2")</f>
        <v>Belem 2</v>
      </c>
      <c r="E252" s="2" t="str">
        <f ca="1">IFERROR(__xludf.DUMMYFUNCTION("""COMPUTED_VALUE"""),"DRE - ANANINDEUA / BELEMBelem 2")</f>
        <v>DRE - ANANINDEUA / BELEMBelem 2</v>
      </c>
      <c r="F252" s="1">
        <f ca="1">IFERROR(__xludf.DUMMYFUNCTION("""COMPUTED_VALUE"""),1)</f>
        <v>1</v>
      </c>
      <c r="G252" s="1" t="str">
        <f ca="1">IFERROR(__xludf.DUMMYFUNCTION("""COMPUTED_VALUE"""),"DRE BELEM 2")</f>
        <v>DRE BELEM 2</v>
      </c>
      <c r="H252" s="1" t="str">
        <f ca="1">IFERROR(__xludf.DUMMYFUNCTION("""COMPUTED_VALUE"""),"19A URE - BELEM")</f>
        <v>19A URE - BELEM</v>
      </c>
      <c r="I252" s="2" t="str">
        <f ca="1">IFERROR(__xludf.DUMMYFUNCTION("""COMPUTED_VALUE"""),"Unidade 2")</f>
        <v>Unidade 2</v>
      </c>
      <c r="J252" s="1" t="str">
        <f ca="1">IFERROR(__xludf.DUMMYFUNCTION("""COMPUTED_VALUE"""),"BELEM")</f>
        <v>BELEM</v>
      </c>
      <c r="K252" s="1">
        <f ca="1">IFERROR(__xludf.DUMMYFUNCTION("""COMPUTED_VALUE"""),15041794)</f>
        <v>15041794</v>
      </c>
      <c r="L252" s="2" t="str">
        <f ca="1">IFERROR(__xludf.DUMMYFUNCTION("""COMPUTED_VALUE"""),"001920902190000")</f>
        <v>001920902190000</v>
      </c>
      <c r="M252" s="2" t="str">
        <f ca="1">IFERROR(__xludf.DUMMYFUNCTION("""COMPUTED_VALUE"""),"1920902190000")</f>
        <v>1920902190000</v>
      </c>
      <c r="N252" s="1" t="str">
        <f ca="1">IFERROR(__xludf.DUMMYFUNCTION("""COMPUTED_VALUE"""),"INSTITUTO DE EDUCACAO DO ESTADO DO PARA")</f>
        <v>INSTITUTO DE EDUCACAO DO ESTADO DO PARA</v>
      </c>
      <c r="O252" s="1"/>
      <c r="P252" s="1"/>
      <c r="Q252" s="1" t="s">
        <v>242</v>
      </c>
    </row>
    <row r="253" spans="1:17" x14ac:dyDescent="0.25">
      <c r="A253" s="2" t="str">
        <f ca="1">IFERROR(__xludf.DUMMYFUNCTION("""COMPUTED_VALUE"""),"REG DE INTEGRA  METROPOLITANA")</f>
        <v>REG DE INTEGRA  METROPOLITANA</v>
      </c>
      <c r="B253" s="1" t="str">
        <f ca="1">IFERROR(__xludf.DUMMYFUNCTION("""COMPUTED_VALUE"""),"DRE BELEM 2")</f>
        <v>DRE BELEM 2</v>
      </c>
      <c r="C253" s="2" t="str">
        <f ca="1">IFERROR(__xludf.DUMMYFUNCTION("""COMPUTED_VALUE"""),"DRE - ANANINDEUA / BELEM")</f>
        <v>DRE - ANANINDEUA / BELEM</v>
      </c>
      <c r="D253" s="2" t="str">
        <f ca="1">IFERROR(__xludf.DUMMYFUNCTION("""COMPUTED_VALUE"""),"Belem 2")</f>
        <v>Belem 2</v>
      </c>
      <c r="E253" s="2" t="str">
        <f ca="1">IFERROR(__xludf.DUMMYFUNCTION("""COMPUTED_VALUE"""),"DRE - ANANINDEUA / BELEMBelem 2")</f>
        <v>DRE - ANANINDEUA / BELEMBelem 2</v>
      </c>
      <c r="F253" s="1">
        <f ca="1">IFERROR(__xludf.DUMMYFUNCTION("""COMPUTED_VALUE"""),1)</f>
        <v>1</v>
      </c>
      <c r="G253" s="1" t="str">
        <f ca="1">IFERROR(__xludf.DUMMYFUNCTION("""COMPUTED_VALUE"""),"DRE BELEM 2")</f>
        <v>DRE BELEM 2</v>
      </c>
      <c r="H253" s="1" t="str">
        <f ca="1">IFERROR(__xludf.DUMMYFUNCTION("""COMPUTED_VALUE"""),"19A URE - BELEM")</f>
        <v>19A URE - BELEM</v>
      </c>
      <c r="I253" s="2" t="str">
        <f ca="1">IFERROR(__xludf.DUMMYFUNCTION("""COMPUTED_VALUE"""),"Unidade 2")</f>
        <v>Unidade 2</v>
      </c>
      <c r="J253" s="1" t="str">
        <f ca="1">IFERROR(__xludf.DUMMYFUNCTION("""COMPUTED_VALUE"""),"BELEM")</f>
        <v>BELEM</v>
      </c>
      <c r="K253" s="1">
        <f ca="1">IFERROR(__xludf.DUMMYFUNCTION("""COMPUTED_VALUE"""),15042065)</f>
        <v>15042065</v>
      </c>
      <c r="L253" s="2" t="str">
        <f ca="1">IFERROR(__xludf.DUMMYFUNCTION("""COMPUTED_VALUE"""),"001920935050000")</f>
        <v>001920935050000</v>
      </c>
      <c r="M253" s="2" t="str">
        <f ca="1">IFERROR(__xludf.DUMMYFUNCTION("""COMPUTED_VALUE"""),"1920935050000")</f>
        <v>1920935050000</v>
      </c>
      <c r="N253" s="1" t="str">
        <f ca="1">IFERROR(__xludf.DUMMYFUNCTION("""COMPUTED_VALUE"""),"UTE JOSE ALVARES DE AZEVEDO")</f>
        <v>UTE JOSE ALVARES DE AZEVEDO</v>
      </c>
      <c r="O253" s="1"/>
      <c r="P253" s="1"/>
      <c r="Q253" s="1" t="s">
        <v>242</v>
      </c>
    </row>
    <row r="254" spans="1:17" x14ac:dyDescent="0.25">
      <c r="A254" s="2" t="str">
        <f ca="1">IFERROR(__xludf.DUMMYFUNCTION("""COMPUTED_VALUE"""),"REG DE INTEGRA  METROPOLITANA")</f>
        <v>REG DE INTEGRA  METROPOLITANA</v>
      </c>
      <c r="B254" s="1" t="str">
        <f ca="1">IFERROR(__xludf.DUMMYFUNCTION("""COMPUTED_VALUE"""),"DRE BELEM 3")</f>
        <v>DRE BELEM 3</v>
      </c>
      <c r="C254" s="2" t="str">
        <f ca="1">IFERROR(__xludf.DUMMYFUNCTION("""COMPUTED_VALUE"""),"DRE - ANANINDEUA / BELEM")</f>
        <v>DRE - ANANINDEUA / BELEM</v>
      </c>
      <c r="D254" s="2" t="str">
        <f ca="1">IFERROR(__xludf.DUMMYFUNCTION("""COMPUTED_VALUE"""),"Belem 3")</f>
        <v>Belem 3</v>
      </c>
      <c r="E254" s="2" t="str">
        <f ca="1">IFERROR(__xludf.DUMMYFUNCTION("""COMPUTED_VALUE"""),"DRE - ANANINDEUA / BELEMBelem 3")</f>
        <v>DRE - ANANINDEUA / BELEMBelem 3</v>
      </c>
      <c r="F254" s="1">
        <f ca="1">IFERROR(__xludf.DUMMYFUNCTION("""COMPUTED_VALUE"""),1)</f>
        <v>1</v>
      </c>
      <c r="G254" s="1" t="str">
        <f ca="1">IFERROR(__xludf.DUMMYFUNCTION("""COMPUTED_VALUE"""),"DRE BELEM 3")</f>
        <v>DRE BELEM 3</v>
      </c>
      <c r="H254" s="1" t="str">
        <f ca="1">IFERROR(__xludf.DUMMYFUNCTION("""COMPUTED_VALUE"""),"19A URE - BELEM")</f>
        <v>19A URE - BELEM</v>
      </c>
      <c r="I254" s="2" t="str">
        <f ca="1">IFERROR(__xludf.DUMMYFUNCTION("""COMPUTED_VALUE"""),"Unidade 3")</f>
        <v>Unidade 3</v>
      </c>
      <c r="J254" s="1" t="str">
        <f ca="1">IFERROR(__xludf.DUMMYFUNCTION("""COMPUTED_VALUE"""),"BELEM")</f>
        <v>BELEM</v>
      </c>
      <c r="K254" s="1">
        <f ca="1">IFERROR(__xludf.DUMMYFUNCTION("""COMPUTED_VALUE"""),15039692)</f>
        <v>15039692</v>
      </c>
      <c r="L254" s="2" t="str">
        <f ca="1">IFERROR(__xludf.DUMMYFUNCTION("""COMPUTED_VALUE"""),"001920901000000")</f>
        <v>001920901000000</v>
      </c>
      <c r="M254" s="2" t="str">
        <f ca="1">IFERROR(__xludf.DUMMYFUNCTION("""COMPUTED_VALUE"""),"1920901000000")</f>
        <v>1920901000000</v>
      </c>
      <c r="N254" s="1" t="str">
        <f ca="1">IFERROR(__xludf.DUMMYFUNCTION("""COMPUTED_VALUE"""),"EEEF AMAZONAS DE FIGUEIREDO")</f>
        <v>EEEF AMAZONAS DE FIGUEIREDO</v>
      </c>
      <c r="O254" s="1"/>
      <c r="P254" s="1"/>
      <c r="Q254" s="1" t="s">
        <v>264</v>
      </c>
    </row>
    <row r="255" spans="1:17" x14ac:dyDescent="0.25">
      <c r="A255" s="2" t="str">
        <f ca="1">IFERROR(__xludf.DUMMYFUNCTION("""COMPUTED_VALUE"""),"REG DE INTEGRA  METROPOLITANA")</f>
        <v>REG DE INTEGRA  METROPOLITANA</v>
      </c>
      <c r="B255" s="1" t="str">
        <f ca="1">IFERROR(__xludf.DUMMYFUNCTION("""COMPUTED_VALUE"""),"DRE BELEM 3")</f>
        <v>DRE BELEM 3</v>
      </c>
      <c r="C255" s="2" t="str">
        <f ca="1">IFERROR(__xludf.DUMMYFUNCTION("""COMPUTED_VALUE"""),"DRE - ANANINDEUA / BELEM")</f>
        <v>DRE - ANANINDEUA / BELEM</v>
      </c>
      <c r="D255" s="2" t="str">
        <f ca="1">IFERROR(__xludf.DUMMYFUNCTION("""COMPUTED_VALUE"""),"Belem 3")</f>
        <v>Belem 3</v>
      </c>
      <c r="E255" s="2" t="str">
        <f ca="1">IFERROR(__xludf.DUMMYFUNCTION("""COMPUTED_VALUE"""),"DRE - ANANINDEUA / BELEMBelem 3")</f>
        <v>DRE - ANANINDEUA / BELEMBelem 3</v>
      </c>
      <c r="F255" s="1">
        <f ca="1">IFERROR(__xludf.DUMMYFUNCTION("""COMPUTED_VALUE"""),1)</f>
        <v>1</v>
      </c>
      <c r="G255" s="1" t="str">
        <f ca="1">IFERROR(__xludf.DUMMYFUNCTION("""COMPUTED_VALUE"""),"DRE BELEM 3")</f>
        <v>DRE BELEM 3</v>
      </c>
      <c r="H255" s="1" t="str">
        <f ca="1">IFERROR(__xludf.DUMMYFUNCTION("""COMPUTED_VALUE"""),"19A URE - BELEM")</f>
        <v>19A URE - BELEM</v>
      </c>
      <c r="I255" s="2" t="str">
        <f ca="1">IFERROR(__xludf.DUMMYFUNCTION("""COMPUTED_VALUE"""),"Unidade 6")</f>
        <v>Unidade 6</v>
      </c>
      <c r="J255" s="1" t="str">
        <f ca="1">IFERROR(__xludf.DUMMYFUNCTION("""COMPUTED_VALUE"""),"BELEM")</f>
        <v>BELEM</v>
      </c>
      <c r="K255" s="1">
        <f ca="1">IFERROR(__xludf.DUMMYFUNCTION("""COMPUTED_VALUE"""),15039170)</f>
        <v>15039170</v>
      </c>
      <c r="L255" s="2" t="str">
        <f ca="1">IFERROR(__xludf.DUMMYFUNCTION("""COMPUTED_VALUE"""),"001920931160000")</f>
        <v>001920931160000</v>
      </c>
      <c r="M255" s="2" t="str">
        <f ca="1">IFERROR(__xludf.DUMMYFUNCTION("""COMPUTED_VALUE"""),"1920931160000")</f>
        <v>1920931160000</v>
      </c>
      <c r="N255" s="1" t="str">
        <f ca="1">IFERROR(__xludf.DUMMYFUNCTION("""COMPUTED_VALUE"""),"EEEF BENTO XV")</f>
        <v>EEEF BENTO XV</v>
      </c>
      <c r="O255" s="1"/>
      <c r="P255" s="1"/>
      <c r="Q255" s="1" t="s">
        <v>264</v>
      </c>
    </row>
    <row r="256" spans="1:17" x14ac:dyDescent="0.25">
      <c r="A256" s="2" t="str">
        <f ca="1">IFERROR(__xludf.DUMMYFUNCTION("""COMPUTED_VALUE"""),"REG DE INTEGRA  METROPOLITANA")</f>
        <v>REG DE INTEGRA  METROPOLITANA</v>
      </c>
      <c r="B256" s="1" t="str">
        <f ca="1">IFERROR(__xludf.DUMMYFUNCTION("""COMPUTED_VALUE"""),"DRE BELEM 3")</f>
        <v>DRE BELEM 3</v>
      </c>
      <c r="C256" s="2" t="str">
        <f ca="1">IFERROR(__xludf.DUMMYFUNCTION("""COMPUTED_VALUE"""),"DRE - ANANINDEUA / BELEM")</f>
        <v>DRE - ANANINDEUA / BELEM</v>
      </c>
      <c r="D256" s="2" t="str">
        <f ca="1">IFERROR(__xludf.DUMMYFUNCTION("""COMPUTED_VALUE"""),"Belem 3")</f>
        <v>Belem 3</v>
      </c>
      <c r="E256" s="2" t="str">
        <f ca="1">IFERROR(__xludf.DUMMYFUNCTION("""COMPUTED_VALUE"""),"DRE - ANANINDEUA / BELEMBelem 3")</f>
        <v>DRE - ANANINDEUA / BELEMBelem 3</v>
      </c>
      <c r="F256" s="1">
        <f ca="1">IFERROR(__xludf.DUMMYFUNCTION("""COMPUTED_VALUE"""),1)</f>
        <v>1</v>
      </c>
      <c r="G256" s="1" t="str">
        <f ca="1">IFERROR(__xludf.DUMMYFUNCTION("""COMPUTED_VALUE"""),"DRE BELEM 3")</f>
        <v>DRE BELEM 3</v>
      </c>
      <c r="H256" s="1" t="str">
        <f ca="1">IFERROR(__xludf.DUMMYFUNCTION("""COMPUTED_VALUE"""),"19A URE - BELEM")</f>
        <v>19A URE - BELEM</v>
      </c>
      <c r="I256" s="2" t="str">
        <f ca="1">IFERROR(__xludf.DUMMYFUNCTION("""COMPUTED_VALUE"""),"Unidade 3")</f>
        <v>Unidade 3</v>
      </c>
      <c r="J256" s="1" t="str">
        <f ca="1">IFERROR(__xludf.DUMMYFUNCTION("""COMPUTED_VALUE"""),"BELEM")</f>
        <v>BELEM</v>
      </c>
      <c r="K256" s="1">
        <f ca="1">IFERROR(__xludf.DUMMYFUNCTION("""COMPUTED_VALUE"""),15039544)</f>
        <v>15039544</v>
      </c>
      <c r="L256" s="2" t="str">
        <f ca="1">IFERROR(__xludf.DUMMYFUNCTION("""COMPUTED_VALUE"""),"001920932360000")</f>
        <v>001920932360000</v>
      </c>
      <c r="M256" s="2" t="str">
        <f ca="1">IFERROR(__xludf.DUMMYFUNCTION("""COMPUTED_VALUE"""),"1920932360000")</f>
        <v>1920932360000</v>
      </c>
      <c r="N256" s="1" t="str">
        <f ca="1">IFERROR(__xludf.DUMMYFUNCTION("""COMPUTED_VALUE"""),"EEEF DONA ALZIRA TEIXEIRA DE SOUZA")</f>
        <v>EEEF DONA ALZIRA TEIXEIRA DE SOUZA</v>
      </c>
      <c r="O256" s="1"/>
      <c r="P256" s="1"/>
      <c r="Q256" s="1" t="s">
        <v>264</v>
      </c>
    </row>
    <row r="257" spans="1:17" x14ac:dyDescent="0.25">
      <c r="A257" s="2" t="str">
        <f ca="1">IFERROR(__xludf.DUMMYFUNCTION("""COMPUTED_VALUE"""),"REG DE INTEGRA  METROPOLITANA")</f>
        <v>REG DE INTEGRA  METROPOLITANA</v>
      </c>
      <c r="B257" s="1" t="str">
        <f ca="1">IFERROR(__xludf.DUMMYFUNCTION("""COMPUTED_VALUE"""),"DRE BELEM 3")</f>
        <v>DRE BELEM 3</v>
      </c>
      <c r="C257" s="2" t="str">
        <f ca="1">IFERROR(__xludf.DUMMYFUNCTION("""COMPUTED_VALUE"""),"DRE - ANANINDEUA / BELEM")</f>
        <v>DRE - ANANINDEUA / BELEM</v>
      </c>
      <c r="D257" s="2" t="str">
        <f ca="1">IFERROR(__xludf.DUMMYFUNCTION("""COMPUTED_VALUE"""),"Belem 3")</f>
        <v>Belem 3</v>
      </c>
      <c r="E257" s="2" t="str">
        <f ca="1">IFERROR(__xludf.DUMMYFUNCTION("""COMPUTED_VALUE"""),"DRE - ANANINDEUA / BELEMBelem 3")</f>
        <v>DRE - ANANINDEUA / BELEMBelem 3</v>
      </c>
      <c r="F257" s="1">
        <f ca="1">IFERROR(__xludf.DUMMYFUNCTION("""COMPUTED_VALUE"""),1)</f>
        <v>1</v>
      </c>
      <c r="G257" s="1" t="str">
        <f ca="1">IFERROR(__xludf.DUMMYFUNCTION("""COMPUTED_VALUE"""),"DRE BELEM 3")</f>
        <v>DRE BELEM 3</v>
      </c>
      <c r="H257" s="1" t="str">
        <f ca="1">IFERROR(__xludf.DUMMYFUNCTION("""COMPUTED_VALUE"""),"19A URE - BELEM")</f>
        <v>19A URE - BELEM</v>
      </c>
      <c r="I257" s="2" t="str">
        <f ca="1">IFERROR(__xludf.DUMMYFUNCTION("""COMPUTED_VALUE"""),"Unidade 6")</f>
        <v>Unidade 6</v>
      </c>
      <c r="J257" s="1" t="str">
        <f ca="1">IFERROR(__xludf.DUMMYFUNCTION("""COMPUTED_VALUE"""),"BELEM")</f>
        <v>BELEM</v>
      </c>
      <c r="K257" s="1">
        <f ca="1">IFERROR(__xludf.DUMMYFUNCTION("""COMPUTED_VALUE"""),15040321)</f>
        <v>15040321</v>
      </c>
      <c r="L257" s="2" t="str">
        <f ca="1">IFERROR(__xludf.DUMMYFUNCTION("""COMPUTED_VALUE"""),"001920901270000")</f>
        <v>001920901270000</v>
      </c>
      <c r="M257" s="2" t="str">
        <f ca="1">IFERROR(__xludf.DUMMYFUNCTION("""COMPUTED_VALUE"""),"1920901270000")</f>
        <v>1920901270000</v>
      </c>
      <c r="N257" s="1" t="str">
        <f ca="1">IFERROR(__xludf.DUMMYFUNCTION("""COMPUTED_VALUE"""),"EEEF DR ANIBAL DUARTE")</f>
        <v>EEEF DR ANIBAL DUARTE</v>
      </c>
      <c r="O257" s="1"/>
      <c r="P257" s="1"/>
      <c r="Q257" s="1" t="s">
        <v>264</v>
      </c>
    </row>
    <row r="258" spans="1:17" x14ac:dyDescent="0.25">
      <c r="A258" s="2" t="str">
        <f ca="1">IFERROR(__xludf.DUMMYFUNCTION("""COMPUTED_VALUE"""),"REG DE INTEGRA  METROPOLITANA")</f>
        <v>REG DE INTEGRA  METROPOLITANA</v>
      </c>
      <c r="B258" s="1" t="str">
        <f ca="1">IFERROR(__xludf.DUMMYFUNCTION("""COMPUTED_VALUE"""),"DRE BELEM 3")</f>
        <v>DRE BELEM 3</v>
      </c>
      <c r="C258" s="2" t="str">
        <f ca="1">IFERROR(__xludf.DUMMYFUNCTION("""COMPUTED_VALUE"""),"DRE - ANANINDEUA / BELEM")</f>
        <v>DRE - ANANINDEUA / BELEM</v>
      </c>
      <c r="D258" s="2" t="str">
        <f ca="1">IFERROR(__xludf.DUMMYFUNCTION("""COMPUTED_VALUE"""),"Belem 3")</f>
        <v>Belem 3</v>
      </c>
      <c r="E258" s="2" t="str">
        <f ca="1">IFERROR(__xludf.DUMMYFUNCTION("""COMPUTED_VALUE"""),"DRE - ANANINDEUA / BELEMBelem 3")</f>
        <v>DRE - ANANINDEUA / BELEMBelem 3</v>
      </c>
      <c r="F258" s="1">
        <f ca="1">IFERROR(__xludf.DUMMYFUNCTION("""COMPUTED_VALUE"""),1)</f>
        <v>1</v>
      </c>
      <c r="G258" s="1" t="str">
        <f ca="1">IFERROR(__xludf.DUMMYFUNCTION("""COMPUTED_VALUE"""),"DRE BELEM 3")</f>
        <v>DRE BELEM 3</v>
      </c>
      <c r="H258" s="1" t="str">
        <f ca="1">IFERROR(__xludf.DUMMYFUNCTION("""COMPUTED_VALUE"""),"19A URE - BELEM")</f>
        <v>19A URE - BELEM</v>
      </c>
      <c r="I258" s="2" t="str">
        <f ca="1">IFERROR(__xludf.DUMMYFUNCTION("""COMPUTED_VALUE"""),"Unidade 3")</f>
        <v>Unidade 3</v>
      </c>
      <c r="J258" s="1" t="str">
        <f ca="1">IFERROR(__xludf.DUMMYFUNCTION("""COMPUTED_VALUE"""),"BELEM")</f>
        <v>BELEM</v>
      </c>
      <c r="K258" s="1">
        <f ca="1">IFERROR(__xludf.DUMMYFUNCTION("""COMPUTED_VALUE"""),15039927)</f>
        <v>15039927</v>
      </c>
      <c r="L258" s="2" t="str">
        <f ca="1">IFERROR(__xludf.DUMMYFUNCTION("""COMPUTED_VALUE"""),"001920901710000")</f>
        <v>001920901710000</v>
      </c>
      <c r="M258" s="2" t="str">
        <f ca="1">IFERROR(__xludf.DUMMYFUNCTION("""COMPUTED_VALUE"""),"1920901710000")</f>
        <v>1920901710000</v>
      </c>
      <c r="N258" s="1" t="str">
        <f ca="1">IFERROR(__xludf.DUMMYFUNCTION("""COMPUTED_VALUE"""),"EEEF DR MARIO CHERMONT")</f>
        <v>EEEF DR MARIO CHERMONT</v>
      </c>
      <c r="O258" s="1"/>
      <c r="P258" s="1"/>
      <c r="Q258" s="1" t="s">
        <v>264</v>
      </c>
    </row>
    <row r="259" spans="1:17" x14ac:dyDescent="0.25">
      <c r="A259" s="2" t="str">
        <f ca="1">IFERROR(__xludf.DUMMYFUNCTION("""COMPUTED_VALUE"""),"REG DE INTEGRA  METROPOLITANA")</f>
        <v>REG DE INTEGRA  METROPOLITANA</v>
      </c>
      <c r="B259" s="1" t="str">
        <f ca="1">IFERROR(__xludf.DUMMYFUNCTION("""COMPUTED_VALUE"""),"DRE BELEM 3")</f>
        <v>DRE BELEM 3</v>
      </c>
      <c r="C259" s="2" t="str">
        <f ca="1">IFERROR(__xludf.DUMMYFUNCTION("""COMPUTED_VALUE"""),"DRE - ANANINDEUA / BELEM")</f>
        <v>DRE - ANANINDEUA / BELEM</v>
      </c>
      <c r="D259" s="2" t="str">
        <f ca="1">IFERROR(__xludf.DUMMYFUNCTION("""COMPUTED_VALUE"""),"Belem 3")</f>
        <v>Belem 3</v>
      </c>
      <c r="E259" s="2" t="str">
        <f ca="1">IFERROR(__xludf.DUMMYFUNCTION("""COMPUTED_VALUE"""),"DRE - ANANINDEUA / BELEMBelem 3")</f>
        <v>DRE - ANANINDEUA / BELEMBelem 3</v>
      </c>
      <c r="F259" s="1">
        <f ca="1">IFERROR(__xludf.DUMMYFUNCTION("""COMPUTED_VALUE"""),1)</f>
        <v>1</v>
      </c>
      <c r="G259" s="1" t="str">
        <f ca="1">IFERROR(__xludf.DUMMYFUNCTION("""COMPUTED_VALUE"""),"DRE BELEM 3")</f>
        <v>DRE BELEM 3</v>
      </c>
      <c r="H259" s="1" t="str">
        <f ca="1">IFERROR(__xludf.DUMMYFUNCTION("""COMPUTED_VALUE"""),"19A URE - BELEM")</f>
        <v>19A URE - BELEM</v>
      </c>
      <c r="I259" s="2" t="str">
        <f ca="1">IFERROR(__xludf.DUMMYFUNCTION("""COMPUTED_VALUE"""),"Unidade 3")</f>
        <v>Unidade 3</v>
      </c>
      <c r="J259" s="1" t="str">
        <f ca="1">IFERROR(__xludf.DUMMYFUNCTION("""COMPUTED_VALUE"""),"BELEM")</f>
        <v>BELEM</v>
      </c>
      <c r="K259" s="1">
        <f ca="1">IFERROR(__xludf.DUMMYFUNCTION("""COMPUTED_VALUE"""),15039986)</f>
        <v>15039986</v>
      </c>
      <c r="L259" s="2" t="str">
        <f ca="1">IFERROR(__xludf.DUMMYFUNCTION("""COMPUTED_VALUE"""),"001920901790000")</f>
        <v>001920901790000</v>
      </c>
      <c r="M259" s="2" t="str">
        <f ca="1">IFERROR(__xludf.DUMMYFUNCTION("""COMPUTED_VALUE"""),"1920901790000")</f>
        <v>1920901790000</v>
      </c>
      <c r="N259" s="1" t="str">
        <f ca="1">IFERROR(__xludf.DUMMYFUNCTION("""COMPUTED_VALUE"""),"EEEF GONCALO DUARTE")</f>
        <v>EEEF GONCALO DUARTE</v>
      </c>
      <c r="O259" s="1"/>
      <c r="P259" s="1"/>
      <c r="Q259" s="1" t="s">
        <v>264</v>
      </c>
    </row>
    <row r="260" spans="1:17" x14ac:dyDescent="0.25">
      <c r="A260" s="2" t="str">
        <f ca="1">IFERROR(__xludf.DUMMYFUNCTION("""COMPUTED_VALUE"""),"REG DE INTEGRA  METROPOLITANA")</f>
        <v>REG DE INTEGRA  METROPOLITANA</v>
      </c>
      <c r="B260" s="1" t="str">
        <f ca="1">IFERROR(__xludf.DUMMYFUNCTION("""COMPUTED_VALUE"""),"DRE BELEM 3")</f>
        <v>DRE BELEM 3</v>
      </c>
      <c r="C260" s="2" t="str">
        <f ca="1">IFERROR(__xludf.DUMMYFUNCTION("""COMPUTED_VALUE"""),"DRE - ANANINDEUA / BELEM")</f>
        <v>DRE - ANANINDEUA / BELEM</v>
      </c>
      <c r="D260" s="2" t="str">
        <f ca="1">IFERROR(__xludf.DUMMYFUNCTION("""COMPUTED_VALUE"""),"Belem 3")</f>
        <v>Belem 3</v>
      </c>
      <c r="E260" s="2" t="str">
        <f ca="1">IFERROR(__xludf.DUMMYFUNCTION("""COMPUTED_VALUE"""),"DRE - ANANINDEUA / BELEMBelem 3")</f>
        <v>DRE - ANANINDEUA / BELEMBelem 3</v>
      </c>
      <c r="F260" s="1">
        <f ca="1">IFERROR(__xludf.DUMMYFUNCTION("""COMPUTED_VALUE"""),1)</f>
        <v>1</v>
      </c>
      <c r="G260" s="1" t="str">
        <f ca="1">IFERROR(__xludf.DUMMYFUNCTION("""COMPUTED_VALUE"""),"DRE BELEM 3")</f>
        <v>DRE BELEM 3</v>
      </c>
      <c r="H260" s="1" t="str">
        <f ca="1">IFERROR(__xludf.DUMMYFUNCTION("""COMPUTED_VALUE"""),"19A URE - BELEM")</f>
        <v>19A URE - BELEM</v>
      </c>
      <c r="I260" s="2" t="str">
        <f ca="1">IFERROR(__xludf.DUMMYFUNCTION("""COMPUTED_VALUE"""),"Unidade 3")</f>
        <v>Unidade 3</v>
      </c>
      <c r="J260" s="1" t="str">
        <f ca="1">IFERROR(__xludf.DUMMYFUNCTION("""COMPUTED_VALUE"""),"BELEM")</f>
        <v>BELEM</v>
      </c>
      <c r="K260" s="1">
        <f ca="1">IFERROR(__xludf.DUMMYFUNCTION("""COMPUTED_VALUE"""),15041310)</f>
        <v>15041310</v>
      </c>
      <c r="L260" s="2" t="str">
        <f ca="1">IFERROR(__xludf.DUMMYFUNCTION("""COMPUTED_VALUE"""),"001920930800000")</f>
        <v>001920930800000</v>
      </c>
      <c r="M260" s="2" t="str">
        <f ca="1">IFERROR(__xludf.DUMMYFUNCTION("""COMPUTED_VALUE"""),"1920930800000")</f>
        <v>1920930800000</v>
      </c>
      <c r="N260" s="1" t="str">
        <f ca="1">IFERROR(__xludf.DUMMYFUNCTION("""COMPUTED_VALUE"""),"EEEF HUMBERTO DE CAMPOS")</f>
        <v>EEEF HUMBERTO DE CAMPOS</v>
      </c>
      <c r="O260" s="1"/>
      <c r="P260" s="1"/>
      <c r="Q260" s="1" t="s">
        <v>264</v>
      </c>
    </row>
    <row r="261" spans="1:17" x14ac:dyDescent="0.25">
      <c r="A261" s="2" t="str">
        <f ca="1">IFERROR(__xludf.DUMMYFUNCTION("""COMPUTED_VALUE"""),"REG DE INTEGRA  METROPOLITANA")</f>
        <v>REG DE INTEGRA  METROPOLITANA</v>
      </c>
      <c r="B261" s="1" t="str">
        <f ca="1">IFERROR(__xludf.DUMMYFUNCTION("""COMPUTED_VALUE"""),"DRE BELEM 3")</f>
        <v>DRE BELEM 3</v>
      </c>
      <c r="C261" s="2" t="str">
        <f ca="1">IFERROR(__xludf.DUMMYFUNCTION("""COMPUTED_VALUE"""),"DRE - ANANINDEUA / BELEM")</f>
        <v>DRE - ANANINDEUA / BELEM</v>
      </c>
      <c r="D261" s="2" t="str">
        <f ca="1">IFERROR(__xludf.DUMMYFUNCTION("""COMPUTED_VALUE"""),"Belem 3")</f>
        <v>Belem 3</v>
      </c>
      <c r="E261" s="2" t="str">
        <f ca="1">IFERROR(__xludf.DUMMYFUNCTION("""COMPUTED_VALUE"""),"DRE - ANANINDEUA / BELEMBelem 3")</f>
        <v>DRE - ANANINDEUA / BELEMBelem 3</v>
      </c>
      <c r="F261" s="1">
        <f ca="1">IFERROR(__xludf.DUMMYFUNCTION("""COMPUTED_VALUE"""),1)</f>
        <v>1</v>
      </c>
      <c r="G261" s="1" t="str">
        <f ca="1">IFERROR(__xludf.DUMMYFUNCTION("""COMPUTED_VALUE"""),"DRE BELEM 3")</f>
        <v>DRE BELEM 3</v>
      </c>
      <c r="H261" s="1" t="str">
        <f ca="1">IFERROR(__xludf.DUMMYFUNCTION("""COMPUTED_VALUE"""),"19A URE - BELEM")</f>
        <v>19A URE - BELEM</v>
      </c>
      <c r="I261" s="2" t="str">
        <f ca="1">IFERROR(__xludf.DUMMYFUNCTION("""COMPUTED_VALUE"""),"Unidade 6")</f>
        <v>Unidade 6</v>
      </c>
      <c r="J261" s="1" t="str">
        <f ca="1">IFERROR(__xludf.DUMMYFUNCTION("""COMPUTED_VALUE"""),"BELEM")</f>
        <v>BELEM</v>
      </c>
      <c r="K261" s="1">
        <f ca="1">IFERROR(__xludf.DUMMYFUNCTION("""COMPUTED_VALUE"""),15041328)</f>
        <v>15041328</v>
      </c>
      <c r="L261" s="2" t="str">
        <f ca="1">IFERROR(__xludf.DUMMYFUNCTION("""COMPUTED_VALUE"""),"001920930910000")</f>
        <v>001920930910000</v>
      </c>
      <c r="M261" s="2" t="str">
        <f ca="1">IFERROR(__xludf.DUMMYFUNCTION("""COMPUTED_VALUE"""),"1920930910000")</f>
        <v>1920930910000</v>
      </c>
      <c r="N261" s="1" t="str">
        <f ca="1">IFERROR(__xludf.DUMMYFUNCTION("""COMPUTED_VALUE"""),"EEEF LAR DE MARIA")</f>
        <v>EEEF LAR DE MARIA</v>
      </c>
      <c r="O261" s="1"/>
      <c r="P261" s="1"/>
      <c r="Q261" s="1" t="s">
        <v>264</v>
      </c>
    </row>
    <row r="262" spans="1:17" x14ac:dyDescent="0.25">
      <c r="A262" s="2" t="str">
        <f ca="1">IFERROR(__xludf.DUMMYFUNCTION("""COMPUTED_VALUE"""),"REG DE INTEGRA  METROPOLITANA")</f>
        <v>REG DE INTEGRA  METROPOLITANA</v>
      </c>
      <c r="B262" s="1" t="str">
        <f ca="1">IFERROR(__xludf.DUMMYFUNCTION("""COMPUTED_VALUE"""),"DRE BELEM 3")</f>
        <v>DRE BELEM 3</v>
      </c>
      <c r="C262" s="2" t="str">
        <f ca="1">IFERROR(__xludf.DUMMYFUNCTION("""COMPUTED_VALUE"""),"DRE - ANANINDEUA / BELEM")</f>
        <v>DRE - ANANINDEUA / BELEM</v>
      </c>
      <c r="D262" s="2" t="str">
        <f ca="1">IFERROR(__xludf.DUMMYFUNCTION("""COMPUTED_VALUE"""),"Belem 3")</f>
        <v>Belem 3</v>
      </c>
      <c r="E262" s="2" t="str">
        <f ca="1">IFERROR(__xludf.DUMMYFUNCTION("""COMPUTED_VALUE"""),"DRE - ANANINDEUA / BELEMBelem 3")</f>
        <v>DRE - ANANINDEUA / BELEMBelem 3</v>
      </c>
      <c r="F262" s="1">
        <f ca="1">IFERROR(__xludf.DUMMYFUNCTION("""COMPUTED_VALUE"""),1)</f>
        <v>1</v>
      </c>
      <c r="G262" s="1" t="str">
        <f ca="1">IFERROR(__xludf.DUMMYFUNCTION("""COMPUTED_VALUE"""),"DRE BELEM 3")</f>
        <v>DRE BELEM 3</v>
      </c>
      <c r="H262" s="1" t="str">
        <f ca="1">IFERROR(__xludf.DUMMYFUNCTION("""COMPUTED_VALUE"""),"19A URE - BELEM")</f>
        <v>19A URE - BELEM</v>
      </c>
      <c r="I262" s="2" t="str">
        <f ca="1">IFERROR(__xludf.DUMMYFUNCTION("""COMPUTED_VALUE"""),"Unidade 3")</f>
        <v>Unidade 3</v>
      </c>
      <c r="J262" s="1" t="str">
        <f ca="1">IFERROR(__xludf.DUMMYFUNCTION("""COMPUTED_VALUE"""),"BELEM")</f>
        <v>BELEM</v>
      </c>
      <c r="K262" s="1">
        <f ca="1">IFERROR(__xludf.DUMMYFUNCTION("""COMPUTED_VALUE"""),15039226)</f>
        <v>15039226</v>
      </c>
      <c r="L262" s="2" t="str">
        <f ca="1">IFERROR(__xludf.DUMMYFUNCTION("""COMPUTED_VALUE"""),"001920901110000")</f>
        <v>001920901110000</v>
      </c>
      <c r="M262" s="2" t="str">
        <f ca="1">IFERROR(__xludf.DUMMYFUNCTION("""COMPUTED_VALUE"""),"1920901110000")</f>
        <v>1920901110000</v>
      </c>
      <c r="N262" s="1" t="str">
        <f ca="1">IFERROR(__xludf.DUMMYFUNCTION("""COMPUTED_VALUE"""),"EEEF MARIA LUIZA VELLA ALVES")</f>
        <v>EEEF MARIA LUIZA VELLA ALVES</v>
      </c>
      <c r="O262" s="1"/>
      <c r="P262" s="1"/>
      <c r="Q262" s="1" t="s">
        <v>264</v>
      </c>
    </row>
    <row r="263" spans="1:17" x14ac:dyDescent="0.25">
      <c r="A263" s="2" t="str">
        <f ca="1">IFERROR(__xludf.DUMMYFUNCTION("""COMPUTED_VALUE"""),"REG DE INTEGRA  METROPOLITANA")</f>
        <v>REG DE INTEGRA  METROPOLITANA</v>
      </c>
      <c r="B263" s="1" t="str">
        <f ca="1">IFERROR(__xludf.DUMMYFUNCTION("""COMPUTED_VALUE"""),"DRE BELEM 3")</f>
        <v>DRE BELEM 3</v>
      </c>
      <c r="C263" s="2" t="str">
        <f ca="1">IFERROR(__xludf.DUMMYFUNCTION("""COMPUTED_VALUE"""),"DRE - ANANINDEUA / BELEM")</f>
        <v>DRE - ANANINDEUA / BELEM</v>
      </c>
      <c r="D263" s="2" t="str">
        <f ca="1">IFERROR(__xludf.DUMMYFUNCTION("""COMPUTED_VALUE"""),"Belem 3")</f>
        <v>Belem 3</v>
      </c>
      <c r="E263" s="2" t="str">
        <f ca="1">IFERROR(__xludf.DUMMYFUNCTION("""COMPUTED_VALUE"""),"DRE - ANANINDEUA / BELEMBelem 3")</f>
        <v>DRE - ANANINDEUA / BELEMBelem 3</v>
      </c>
      <c r="F263" s="1">
        <f ca="1">IFERROR(__xludf.DUMMYFUNCTION("""COMPUTED_VALUE"""),1)</f>
        <v>1</v>
      </c>
      <c r="G263" s="1" t="str">
        <f ca="1">IFERROR(__xludf.DUMMYFUNCTION("""COMPUTED_VALUE"""),"DRE BELEM 3")</f>
        <v>DRE BELEM 3</v>
      </c>
      <c r="H263" s="1" t="str">
        <f ca="1">IFERROR(__xludf.DUMMYFUNCTION("""COMPUTED_VALUE"""),"19A URE - BELEM")</f>
        <v>19A URE - BELEM</v>
      </c>
      <c r="I263" s="2" t="str">
        <f ca="1">IFERROR(__xludf.DUMMYFUNCTION("""COMPUTED_VALUE"""),"Unidade 3")</f>
        <v>Unidade 3</v>
      </c>
      <c r="J263" s="1" t="str">
        <f ca="1">IFERROR(__xludf.DUMMYFUNCTION("""COMPUTED_VALUE"""),"BELEM")</f>
        <v>BELEM</v>
      </c>
      <c r="K263" s="1">
        <f ca="1">IFERROR(__xludf.DUMMYFUNCTION("""COMPUTED_VALUE"""),15516539)</f>
        <v>15516539</v>
      </c>
      <c r="L263" s="2" t="str">
        <f ca="1">IFERROR(__xludf.DUMMYFUNCTION("""COMPUTED_VALUE"""),"001920933060000")</f>
        <v>001920933060000</v>
      </c>
      <c r="M263" s="2" t="str">
        <f ca="1">IFERROR(__xludf.DUMMYFUNCTION("""COMPUTED_VALUE"""),"1920933060000")</f>
        <v>1920933060000</v>
      </c>
      <c r="N263" s="1" t="str">
        <f ca="1">IFERROR(__xludf.DUMMYFUNCTION("""COMPUTED_VALUE"""),"EEEF MONTE SERRAT")</f>
        <v>EEEF MONTE SERRAT</v>
      </c>
      <c r="O263" s="1"/>
      <c r="P263" s="1"/>
      <c r="Q263" s="1" t="s">
        <v>264</v>
      </c>
    </row>
    <row r="264" spans="1:17" x14ac:dyDescent="0.25">
      <c r="A264" s="2" t="str">
        <f ca="1">IFERROR(__xludf.DUMMYFUNCTION("""COMPUTED_VALUE"""),"REG DE INTEGRA  METROPOLITANA")</f>
        <v>REG DE INTEGRA  METROPOLITANA</v>
      </c>
      <c r="B264" s="1" t="str">
        <f ca="1">IFERROR(__xludf.DUMMYFUNCTION("""COMPUTED_VALUE"""),"DRE BELEM 3")</f>
        <v>DRE BELEM 3</v>
      </c>
      <c r="C264" s="2" t="str">
        <f ca="1">IFERROR(__xludf.DUMMYFUNCTION("""COMPUTED_VALUE"""),"DRE - ANANINDEUA / BELEM")</f>
        <v>DRE - ANANINDEUA / BELEM</v>
      </c>
      <c r="D264" s="2" t="str">
        <f ca="1">IFERROR(__xludf.DUMMYFUNCTION("""COMPUTED_VALUE"""),"Belem 3")</f>
        <v>Belem 3</v>
      </c>
      <c r="E264" s="2" t="str">
        <f ca="1">IFERROR(__xludf.DUMMYFUNCTION("""COMPUTED_VALUE"""),"DRE - ANANINDEUA / BELEMBelem 3")</f>
        <v>DRE - ANANINDEUA / BELEMBelem 3</v>
      </c>
      <c r="F264" s="1">
        <f ca="1">IFERROR(__xludf.DUMMYFUNCTION("""COMPUTED_VALUE"""),1)</f>
        <v>1</v>
      </c>
      <c r="G264" s="1" t="str">
        <f ca="1">IFERROR(__xludf.DUMMYFUNCTION("""COMPUTED_VALUE"""),"DRE BELEM 3")</f>
        <v>DRE BELEM 3</v>
      </c>
      <c r="H264" s="1" t="str">
        <f ca="1">IFERROR(__xludf.DUMMYFUNCTION("""COMPUTED_VALUE"""),"19A URE - BELEM")</f>
        <v>19A URE - BELEM</v>
      </c>
      <c r="I264" s="2" t="str">
        <f ca="1">IFERROR(__xludf.DUMMYFUNCTION("""COMPUTED_VALUE"""),"Unidade 6")</f>
        <v>Unidade 6</v>
      </c>
      <c r="J264" s="1" t="str">
        <f ca="1">IFERROR(__xludf.DUMMYFUNCTION("""COMPUTED_VALUE"""),"BELEM")</f>
        <v>BELEM</v>
      </c>
      <c r="K264" s="1">
        <f ca="1">IFERROR(__xludf.DUMMYFUNCTION("""COMPUTED_VALUE"""),15041344)</f>
        <v>15041344</v>
      </c>
      <c r="L264" s="2" t="str">
        <f ca="1">IFERROR(__xludf.DUMMYFUNCTION("""COMPUTED_VALUE"""),"001920930810000")</f>
        <v>001920930810000</v>
      </c>
      <c r="M264" s="2" t="str">
        <f ca="1">IFERROR(__xludf.DUMMYFUNCTION("""COMPUTED_VALUE"""),"1920930810000")</f>
        <v>1920930810000</v>
      </c>
      <c r="N264" s="1" t="str">
        <f ca="1">IFERROR(__xludf.DUMMYFUNCTION("""COMPUTED_VALUE"""),"EEEF NOSSA SENHORA DAS GRACAS GUAMA")</f>
        <v>EEEF NOSSA SENHORA DAS GRACAS GUAMA</v>
      </c>
      <c r="O264" s="1"/>
      <c r="P264" s="1"/>
      <c r="Q264" s="1" t="s">
        <v>264</v>
      </c>
    </row>
    <row r="265" spans="1:17" x14ac:dyDescent="0.25">
      <c r="A265" s="2" t="str">
        <f ca="1">IFERROR(__xludf.DUMMYFUNCTION("""COMPUTED_VALUE"""),"REG DE INTEGRA  METROPOLITANA")</f>
        <v>REG DE INTEGRA  METROPOLITANA</v>
      </c>
      <c r="B265" s="1" t="str">
        <f ca="1">IFERROR(__xludf.DUMMYFUNCTION("""COMPUTED_VALUE"""),"DRE BELEM 3")</f>
        <v>DRE BELEM 3</v>
      </c>
      <c r="C265" s="2" t="str">
        <f ca="1">IFERROR(__xludf.DUMMYFUNCTION("""COMPUTED_VALUE"""),"DRE - ANANINDEUA / BELEM")</f>
        <v>DRE - ANANINDEUA / BELEM</v>
      </c>
      <c r="D265" s="2" t="str">
        <f ca="1">IFERROR(__xludf.DUMMYFUNCTION("""COMPUTED_VALUE"""),"Belem 3")</f>
        <v>Belem 3</v>
      </c>
      <c r="E265" s="2" t="str">
        <f ca="1">IFERROR(__xludf.DUMMYFUNCTION("""COMPUTED_VALUE"""),"DRE - ANANINDEUA / BELEMBelem 3")</f>
        <v>DRE - ANANINDEUA / BELEMBelem 3</v>
      </c>
      <c r="F265" s="1">
        <f ca="1">IFERROR(__xludf.DUMMYFUNCTION("""COMPUTED_VALUE"""),1)</f>
        <v>1</v>
      </c>
      <c r="G265" s="1" t="str">
        <f ca="1">IFERROR(__xludf.DUMMYFUNCTION("""COMPUTED_VALUE"""),"DRE BELEM 3")</f>
        <v>DRE BELEM 3</v>
      </c>
      <c r="H265" s="1" t="str">
        <f ca="1">IFERROR(__xludf.DUMMYFUNCTION("""COMPUTED_VALUE"""),"19A URE - BELEM")</f>
        <v>19A URE - BELEM</v>
      </c>
      <c r="I265" s="2" t="str">
        <f ca="1">IFERROR(__xludf.DUMMYFUNCTION("""COMPUTED_VALUE"""),"Unidade 3")</f>
        <v>Unidade 3</v>
      </c>
      <c r="J265" s="1" t="str">
        <f ca="1">IFERROR(__xludf.DUMMYFUNCTION("""COMPUTED_VALUE"""),"BELEM")</f>
        <v>BELEM</v>
      </c>
      <c r="K265" s="1">
        <f ca="1">IFERROR(__xludf.DUMMYFUNCTION("""COMPUTED_VALUE"""),15039749)</f>
        <v>15039749</v>
      </c>
      <c r="L265" s="2" t="str">
        <f ca="1">IFERROR(__xludf.DUMMYFUNCTION("""COMPUTED_VALUE"""),"001920901040000")</f>
        <v>001920901040000</v>
      </c>
      <c r="M265" s="2" t="str">
        <f ca="1">IFERROR(__xludf.DUMMYFUNCTION("""COMPUTED_VALUE"""),"1920901040000")</f>
        <v>1920901040000</v>
      </c>
      <c r="N265" s="1" t="str">
        <f ca="1">IFERROR(__xludf.DUMMYFUNCTION("""COMPUTED_VALUE"""),"EEEF PROF JOAO RENATO FRANCO")</f>
        <v>EEEF PROF JOAO RENATO FRANCO</v>
      </c>
      <c r="O265" s="1"/>
      <c r="P265" s="1"/>
      <c r="Q265" s="1" t="s">
        <v>264</v>
      </c>
    </row>
    <row r="266" spans="1:17" x14ac:dyDescent="0.25">
      <c r="A266" s="2" t="str">
        <f ca="1">IFERROR(__xludf.DUMMYFUNCTION("""COMPUTED_VALUE"""),"REG DE INTEGRA  METROPOLITANA")</f>
        <v>REG DE INTEGRA  METROPOLITANA</v>
      </c>
      <c r="B266" s="1" t="str">
        <f ca="1">IFERROR(__xludf.DUMMYFUNCTION("""COMPUTED_VALUE"""),"DRE BELEM 3")</f>
        <v>DRE BELEM 3</v>
      </c>
      <c r="C266" s="2" t="str">
        <f ca="1">IFERROR(__xludf.DUMMYFUNCTION("""COMPUTED_VALUE"""),"DRE - ANANINDEUA / BELEM")</f>
        <v>DRE - ANANINDEUA / BELEM</v>
      </c>
      <c r="D266" s="2" t="str">
        <f ca="1">IFERROR(__xludf.DUMMYFUNCTION("""COMPUTED_VALUE"""),"Belem 3")</f>
        <v>Belem 3</v>
      </c>
      <c r="E266" s="2" t="str">
        <f ca="1">IFERROR(__xludf.DUMMYFUNCTION("""COMPUTED_VALUE"""),"DRE - ANANINDEUA / BELEMBelem 3")</f>
        <v>DRE - ANANINDEUA / BELEMBelem 3</v>
      </c>
      <c r="F266" s="1">
        <f ca="1">IFERROR(__xludf.DUMMYFUNCTION("""COMPUTED_VALUE"""),1)</f>
        <v>1</v>
      </c>
      <c r="G266" s="1" t="str">
        <f ca="1">IFERROR(__xludf.DUMMYFUNCTION("""COMPUTED_VALUE"""),"DRE BELEM 3")</f>
        <v>DRE BELEM 3</v>
      </c>
      <c r="H266" s="1" t="str">
        <f ca="1">IFERROR(__xludf.DUMMYFUNCTION("""COMPUTED_VALUE"""),"19A URE - BELEM")</f>
        <v>19A URE - BELEM</v>
      </c>
      <c r="I266" s="2" t="str">
        <f ca="1">IFERROR(__xludf.DUMMYFUNCTION("""COMPUTED_VALUE"""),"Unidade 3")</f>
        <v>Unidade 3</v>
      </c>
      <c r="J266" s="1" t="str">
        <f ca="1">IFERROR(__xludf.DUMMYFUNCTION("""COMPUTED_VALUE"""),"BELEM")</f>
        <v>BELEM</v>
      </c>
      <c r="K266" s="1">
        <f ca="1">IFERROR(__xludf.DUMMYFUNCTION("""COMPUTED_VALUE"""),15040488)</f>
        <v>15040488</v>
      </c>
      <c r="L266" s="2" t="str">
        <f ca="1">IFERROR(__xludf.DUMMYFUNCTION("""COMPUTED_VALUE"""),"001920923810000")</f>
        <v>001920923810000</v>
      </c>
      <c r="M266" s="2" t="str">
        <f ca="1">IFERROR(__xludf.DUMMYFUNCTION("""COMPUTED_VALUE"""),"1920923810000")</f>
        <v>1920923810000</v>
      </c>
      <c r="N266" s="1" t="str">
        <f ca="1">IFERROR(__xludf.DUMMYFUNCTION("""COMPUTED_VALUE"""),"EEEF PROFA CELINA ANGLADA")</f>
        <v>EEEF PROFA CELINA ANGLADA</v>
      </c>
      <c r="O266" s="1"/>
      <c r="P266" s="1"/>
      <c r="Q266" s="1" t="s">
        <v>264</v>
      </c>
    </row>
    <row r="267" spans="1:17" x14ac:dyDescent="0.25">
      <c r="A267" s="2" t="str">
        <f ca="1">IFERROR(__xludf.DUMMYFUNCTION("""COMPUTED_VALUE"""),"REG DE INTEGRA  METROPOLITANA")</f>
        <v>REG DE INTEGRA  METROPOLITANA</v>
      </c>
      <c r="B267" s="1" t="str">
        <f ca="1">IFERROR(__xludf.DUMMYFUNCTION("""COMPUTED_VALUE"""),"DRE BELEM 3")</f>
        <v>DRE BELEM 3</v>
      </c>
      <c r="C267" s="2" t="str">
        <f ca="1">IFERROR(__xludf.DUMMYFUNCTION("""COMPUTED_VALUE"""),"DRE - ANANINDEUA / BELEM")</f>
        <v>DRE - ANANINDEUA / BELEM</v>
      </c>
      <c r="D267" s="2" t="str">
        <f ca="1">IFERROR(__xludf.DUMMYFUNCTION("""COMPUTED_VALUE"""),"Belem 3")</f>
        <v>Belem 3</v>
      </c>
      <c r="E267" s="2" t="str">
        <f ca="1">IFERROR(__xludf.DUMMYFUNCTION("""COMPUTED_VALUE"""),"DRE - ANANINDEUA / BELEMBelem 3")</f>
        <v>DRE - ANANINDEUA / BELEMBelem 3</v>
      </c>
      <c r="F267" s="1">
        <f ca="1">IFERROR(__xludf.DUMMYFUNCTION("""COMPUTED_VALUE"""),1)</f>
        <v>1</v>
      </c>
      <c r="G267" s="1" t="str">
        <f ca="1">IFERROR(__xludf.DUMMYFUNCTION("""COMPUTED_VALUE"""),"DRE BELEM 3")</f>
        <v>DRE BELEM 3</v>
      </c>
      <c r="H267" s="1" t="str">
        <f ca="1">IFERROR(__xludf.DUMMYFUNCTION("""COMPUTED_VALUE"""),"19A URE - BELEM")</f>
        <v>19A URE - BELEM</v>
      </c>
      <c r="I267" s="2" t="str">
        <f ca="1">IFERROR(__xludf.DUMMYFUNCTION("""COMPUTED_VALUE"""),"Unidade 3")</f>
        <v>Unidade 3</v>
      </c>
      <c r="J267" s="1" t="str">
        <f ca="1">IFERROR(__xludf.DUMMYFUNCTION("""COMPUTED_VALUE"""),"BELEM")</f>
        <v>BELEM</v>
      </c>
      <c r="K267" s="1">
        <f ca="1">IFERROR(__xludf.DUMMYFUNCTION("""COMPUTED_VALUE"""),15039790)</f>
        <v>15039790</v>
      </c>
      <c r="L267" s="2" t="str">
        <f ca="1">IFERROR(__xludf.DUMMYFUNCTION("""COMPUTED_VALUE"""),"001920901030000")</f>
        <v>001920901030000</v>
      </c>
      <c r="M267" s="2" t="str">
        <f ca="1">IFERROR(__xludf.DUMMYFUNCTION("""COMPUTED_VALUE"""),"1920901030000")</f>
        <v>1920901030000</v>
      </c>
      <c r="N267" s="1" t="str">
        <f ca="1">IFERROR(__xludf.DUMMYFUNCTION("""COMPUTED_VALUE"""),"EEEF STELIO MAROJA")</f>
        <v>EEEF STELIO MAROJA</v>
      </c>
      <c r="O267" s="1"/>
      <c r="P267" s="1"/>
      <c r="Q267" s="1" t="s">
        <v>264</v>
      </c>
    </row>
    <row r="268" spans="1:17" x14ac:dyDescent="0.25">
      <c r="A268" s="2" t="str">
        <f ca="1">IFERROR(__xludf.DUMMYFUNCTION("""COMPUTED_VALUE"""),"REG DE INTEGRA  METROPOLITANA")</f>
        <v>REG DE INTEGRA  METROPOLITANA</v>
      </c>
      <c r="B268" s="1" t="str">
        <f ca="1">IFERROR(__xludf.DUMMYFUNCTION("""COMPUTED_VALUE"""),"DRE BELEM 3")</f>
        <v>DRE BELEM 3</v>
      </c>
      <c r="C268" s="2" t="str">
        <f ca="1">IFERROR(__xludf.DUMMYFUNCTION("""COMPUTED_VALUE"""),"DRE - ANANINDEUA / BELEM")</f>
        <v>DRE - ANANINDEUA / BELEM</v>
      </c>
      <c r="D268" s="2" t="str">
        <f ca="1">IFERROR(__xludf.DUMMYFUNCTION("""COMPUTED_VALUE"""),"Belem 3")</f>
        <v>Belem 3</v>
      </c>
      <c r="E268" s="2" t="str">
        <f ca="1">IFERROR(__xludf.DUMMYFUNCTION("""COMPUTED_VALUE"""),"DRE - ANANINDEUA / BELEMBelem 3")</f>
        <v>DRE - ANANINDEUA / BELEMBelem 3</v>
      </c>
      <c r="F268" s="1">
        <f ca="1">IFERROR(__xludf.DUMMYFUNCTION("""COMPUTED_VALUE"""),1)</f>
        <v>1</v>
      </c>
      <c r="G268" s="1" t="str">
        <f ca="1">IFERROR(__xludf.DUMMYFUNCTION("""COMPUTED_VALUE"""),"DRE BELEM 3")</f>
        <v>DRE BELEM 3</v>
      </c>
      <c r="H268" s="1" t="str">
        <f ca="1">IFERROR(__xludf.DUMMYFUNCTION("""COMPUTED_VALUE"""),"19A URE - BELEM")</f>
        <v>19A URE - BELEM</v>
      </c>
      <c r="I268" s="2" t="str">
        <f ca="1">IFERROR(__xludf.DUMMYFUNCTION("""COMPUTED_VALUE"""),"Unidade 3")</f>
        <v>Unidade 3</v>
      </c>
      <c r="J268" s="1" t="str">
        <f ca="1">IFERROR(__xludf.DUMMYFUNCTION("""COMPUTED_VALUE"""),"BELEM")</f>
        <v>BELEM</v>
      </c>
      <c r="K268" s="1">
        <f ca="1">IFERROR(__xludf.DUMMYFUNCTION("""COMPUTED_VALUE"""),15039552)</f>
        <v>15039552</v>
      </c>
      <c r="L268" s="2" t="str">
        <f ca="1">IFERROR(__xludf.DUMMYFUNCTION("""COMPUTED_VALUE"""),"001920927610000")</f>
        <v>001920927610000</v>
      </c>
      <c r="M268" s="2" t="str">
        <f ca="1">IFERROR(__xludf.DUMMYFUNCTION("""COMPUTED_VALUE"""),"1920927610000")</f>
        <v>1920927610000</v>
      </c>
      <c r="N268" s="1" t="str">
        <f ca="1">IFERROR(__xludf.DUMMYFUNCTION("""COMPUTED_VALUE"""),"EEEFM AMILCAR ALVES TUPIASSU")</f>
        <v>EEEFM AMILCAR ALVES TUPIASSU</v>
      </c>
      <c r="O268" s="1"/>
      <c r="P268" s="1"/>
      <c r="Q268" s="1" t="s">
        <v>264</v>
      </c>
    </row>
    <row r="269" spans="1:17" x14ac:dyDescent="0.25">
      <c r="A269" s="2" t="str">
        <f ca="1">IFERROR(__xludf.DUMMYFUNCTION("""COMPUTED_VALUE"""),"REG DE INTEGRA  METROPOLITANA")</f>
        <v>REG DE INTEGRA  METROPOLITANA</v>
      </c>
      <c r="B269" s="1" t="str">
        <f ca="1">IFERROR(__xludf.DUMMYFUNCTION("""COMPUTED_VALUE"""),"DRE BELEM 3")</f>
        <v>DRE BELEM 3</v>
      </c>
      <c r="C269" s="2" t="str">
        <f ca="1">IFERROR(__xludf.DUMMYFUNCTION("""COMPUTED_VALUE"""),"DRE - ANANINDEUA / BELEM")</f>
        <v>DRE - ANANINDEUA / BELEM</v>
      </c>
      <c r="D269" s="2" t="str">
        <f ca="1">IFERROR(__xludf.DUMMYFUNCTION("""COMPUTED_VALUE"""),"Belem 3")</f>
        <v>Belem 3</v>
      </c>
      <c r="E269" s="2" t="str">
        <f ca="1">IFERROR(__xludf.DUMMYFUNCTION("""COMPUTED_VALUE"""),"DRE - ANANINDEUA / BELEMBelem 3")</f>
        <v>DRE - ANANINDEUA / BELEMBelem 3</v>
      </c>
      <c r="F269" s="1">
        <f ca="1">IFERROR(__xludf.DUMMYFUNCTION("""COMPUTED_VALUE"""),1)</f>
        <v>1</v>
      </c>
      <c r="G269" s="1" t="str">
        <f ca="1">IFERROR(__xludf.DUMMYFUNCTION("""COMPUTED_VALUE"""),"DRE BELEM 3")</f>
        <v>DRE BELEM 3</v>
      </c>
      <c r="H269" s="1" t="str">
        <f ca="1">IFERROR(__xludf.DUMMYFUNCTION("""COMPUTED_VALUE"""),"19A URE - BELEM")</f>
        <v>19A URE - BELEM</v>
      </c>
      <c r="I269" s="2" t="str">
        <f ca="1">IFERROR(__xludf.DUMMYFUNCTION("""COMPUTED_VALUE"""),"Unidade 3")</f>
        <v>Unidade 3</v>
      </c>
      <c r="J269" s="1" t="str">
        <f ca="1">IFERROR(__xludf.DUMMYFUNCTION("""COMPUTED_VALUE"""),"BELEM")</f>
        <v>BELEM</v>
      </c>
      <c r="K269" s="1">
        <f ca="1">IFERROR(__xludf.DUMMYFUNCTION("""COMPUTED_VALUE"""),15040356)</f>
        <v>15040356</v>
      </c>
      <c r="L269" s="2" t="str">
        <f ca="1">IFERROR(__xludf.DUMMYFUNCTION("""COMPUTED_VALUE"""),"001920902250000")</f>
        <v>001920902250000</v>
      </c>
      <c r="M269" s="2" t="str">
        <f ca="1">IFERROR(__xludf.DUMMYFUNCTION("""COMPUTED_VALUE"""),"1920902250000")</f>
        <v>1920902250000</v>
      </c>
      <c r="N269" s="1" t="str">
        <f ca="1">IFERROR(__xludf.DUMMYFUNCTION("""COMPUTED_VALUE"""),"EEEFM EDGAR PINHEIRO PORTO")</f>
        <v>EEEFM EDGAR PINHEIRO PORTO</v>
      </c>
      <c r="O269" s="1"/>
      <c r="P269" s="1"/>
      <c r="Q269" s="1" t="s">
        <v>264</v>
      </c>
    </row>
    <row r="270" spans="1:17" x14ac:dyDescent="0.25">
      <c r="A270" s="2" t="str">
        <f ca="1">IFERROR(__xludf.DUMMYFUNCTION("""COMPUTED_VALUE"""),"REG DE INTEGRA  METROPOLITANA")</f>
        <v>REG DE INTEGRA  METROPOLITANA</v>
      </c>
      <c r="B270" s="1" t="str">
        <f ca="1">IFERROR(__xludf.DUMMYFUNCTION("""COMPUTED_VALUE"""),"DRE BELEM 3")</f>
        <v>DRE BELEM 3</v>
      </c>
      <c r="C270" s="2" t="str">
        <f ca="1">IFERROR(__xludf.DUMMYFUNCTION("""COMPUTED_VALUE"""),"DRE - ANANINDEUA / BELEM")</f>
        <v>DRE - ANANINDEUA / BELEM</v>
      </c>
      <c r="D270" s="2" t="str">
        <f ca="1">IFERROR(__xludf.DUMMYFUNCTION("""COMPUTED_VALUE"""),"Belem 3")</f>
        <v>Belem 3</v>
      </c>
      <c r="E270" s="2" t="str">
        <f ca="1">IFERROR(__xludf.DUMMYFUNCTION("""COMPUTED_VALUE"""),"DRE - ANANINDEUA / BELEMBelem 3")</f>
        <v>DRE - ANANINDEUA / BELEMBelem 3</v>
      </c>
      <c r="F270" s="1">
        <f ca="1">IFERROR(__xludf.DUMMYFUNCTION("""COMPUTED_VALUE"""),1)</f>
        <v>1</v>
      </c>
      <c r="G270" s="1" t="str">
        <f ca="1">IFERROR(__xludf.DUMMYFUNCTION("""COMPUTED_VALUE"""),"DRE BELEM 3")</f>
        <v>DRE BELEM 3</v>
      </c>
      <c r="H270" s="1" t="str">
        <f ca="1">IFERROR(__xludf.DUMMYFUNCTION("""COMPUTED_VALUE"""),"19A URE - BELEM")</f>
        <v>19A URE - BELEM</v>
      </c>
      <c r="I270" s="2" t="str">
        <f ca="1">IFERROR(__xludf.DUMMYFUNCTION("""COMPUTED_VALUE"""),"Unidade 3")</f>
        <v>Unidade 3</v>
      </c>
      <c r="J270" s="1" t="str">
        <f ca="1">IFERROR(__xludf.DUMMYFUNCTION("""COMPUTED_VALUE"""),"BELEM")</f>
        <v>BELEM</v>
      </c>
      <c r="K270" s="1">
        <f ca="1">IFERROR(__xludf.DUMMYFUNCTION("""COMPUTED_VALUE"""),15039951)</f>
        <v>15039951</v>
      </c>
      <c r="L270" s="2" t="str">
        <f ca="1">IFERROR(__xludf.DUMMYFUNCTION("""COMPUTED_VALUE"""),"001920901050000")</f>
        <v>001920901050000</v>
      </c>
      <c r="M270" s="2" t="str">
        <f ca="1">IFERROR(__xludf.DUMMYFUNCTION("""COMPUTED_VALUE"""),"1920901050000")</f>
        <v>1920901050000</v>
      </c>
      <c r="N270" s="1" t="str">
        <f ca="1">IFERROR(__xludf.DUMMYFUNCTION("""COMPUTED_VALUE"""),"EEEFM FREI DANIEL")</f>
        <v>EEEFM FREI DANIEL</v>
      </c>
      <c r="O270" s="1"/>
      <c r="P270" s="1"/>
      <c r="Q270" s="1" t="s">
        <v>264</v>
      </c>
    </row>
    <row r="271" spans="1:17" x14ac:dyDescent="0.25">
      <c r="A271" s="2" t="str">
        <f ca="1">IFERROR(__xludf.DUMMYFUNCTION("""COMPUTED_VALUE"""),"REG DE INTEGRA  METROPOLITANA")</f>
        <v>REG DE INTEGRA  METROPOLITANA</v>
      </c>
      <c r="B271" s="1" t="str">
        <f ca="1">IFERROR(__xludf.DUMMYFUNCTION("""COMPUTED_VALUE"""),"DRE BELEM 3")</f>
        <v>DRE BELEM 3</v>
      </c>
      <c r="C271" s="2" t="str">
        <f ca="1">IFERROR(__xludf.DUMMYFUNCTION("""COMPUTED_VALUE"""),"DRE - ANANINDEUA / BELEM")</f>
        <v>DRE - ANANINDEUA / BELEM</v>
      </c>
      <c r="D271" s="2" t="str">
        <f ca="1">IFERROR(__xludf.DUMMYFUNCTION("""COMPUTED_VALUE"""),"Belem 3")</f>
        <v>Belem 3</v>
      </c>
      <c r="E271" s="2" t="str">
        <f ca="1">IFERROR(__xludf.DUMMYFUNCTION("""COMPUTED_VALUE"""),"DRE - ANANINDEUA / BELEMBelem 3")</f>
        <v>DRE - ANANINDEUA / BELEMBelem 3</v>
      </c>
      <c r="F271" s="1">
        <f ca="1">IFERROR(__xludf.DUMMYFUNCTION("""COMPUTED_VALUE"""),1)</f>
        <v>1</v>
      </c>
      <c r="G271" s="1" t="str">
        <f ca="1">IFERROR(__xludf.DUMMYFUNCTION("""COMPUTED_VALUE"""),"DRE BELEM 3")</f>
        <v>DRE BELEM 3</v>
      </c>
      <c r="H271" s="1" t="str">
        <f ca="1">IFERROR(__xludf.DUMMYFUNCTION("""COMPUTED_VALUE"""),"19A URE - BELEM")</f>
        <v>19A URE - BELEM</v>
      </c>
      <c r="I271" s="2" t="str">
        <f ca="1">IFERROR(__xludf.DUMMYFUNCTION("""COMPUTED_VALUE"""),"Unidade 3")</f>
        <v>Unidade 3</v>
      </c>
      <c r="J271" s="1" t="str">
        <f ca="1">IFERROR(__xludf.DUMMYFUNCTION("""COMPUTED_VALUE"""),"BELEM")</f>
        <v>BELEM</v>
      </c>
      <c r="K271" s="1">
        <f ca="1">IFERROR(__xludf.DUMMYFUNCTION("""COMPUTED_VALUE"""),15039765)</f>
        <v>15039765</v>
      </c>
      <c r="L271" s="2" t="str">
        <f ca="1">IFERROR(__xludf.DUMMYFUNCTION("""COMPUTED_VALUE"""),"001920931000000")</f>
        <v>001920931000000</v>
      </c>
      <c r="M271" s="2" t="str">
        <f ca="1">IFERROR(__xludf.DUMMYFUNCTION("""COMPUTED_VALUE"""),"1920931000000")</f>
        <v>1920931000000</v>
      </c>
      <c r="N271" s="1" t="str">
        <f ca="1">IFERROR(__xludf.DUMMYFUNCTION("""COMPUTED_VALUE"""),"EEEFM MONSENHOR AZEVEDO")</f>
        <v>EEEFM MONSENHOR AZEVEDO</v>
      </c>
      <c r="O271" s="1"/>
      <c r="P271" s="1"/>
      <c r="Q271" s="1" t="s">
        <v>264</v>
      </c>
    </row>
    <row r="272" spans="1:17" x14ac:dyDescent="0.25">
      <c r="A272" s="2" t="str">
        <f ca="1">IFERROR(__xludf.DUMMYFUNCTION("""COMPUTED_VALUE"""),"REG DE INTEGRA  METROPOLITANA")</f>
        <v>REG DE INTEGRA  METROPOLITANA</v>
      </c>
      <c r="B272" s="1" t="str">
        <f ca="1">IFERROR(__xludf.DUMMYFUNCTION("""COMPUTED_VALUE"""),"DRE BELEM 3")</f>
        <v>DRE BELEM 3</v>
      </c>
      <c r="C272" s="2" t="str">
        <f ca="1">IFERROR(__xludf.DUMMYFUNCTION("""COMPUTED_VALUE"""),"DRE - ANANINDEUA / BELEM")</f>
        <v>DRE - ANANINDEUA / BELEM</v>
      </c>
      <c r="D272" s="2" t="str">
        <f ca="1">IFERROR(__xludf.DUMMYFUNCTION("""COMPUTED_VALUE"""),"Belem 3")</f>
        <v>Belem 3</v>
      </c>
      <c r="E272" s="2" t="str">
        <f ca="1">IFERROR(__xludf.DUMMYFUNCTION("""COMPUTED_VALUE"""),"DRE - ANANINDEUA / BELEMBelem 3")</f>
        <v>DRE - ANANINDEUA / BELEMBelem 3</v>
      </c>
      <c r="F272" s="1">
        <f ca="1">IFERROR(__xludf.DUMMYFUNCTION("""COMPUTED_VALUE"""),1)</f>
        <v>1</v>
      </c>
      <c r="G272" s="1" t="str">
        <f ca="1">IFERROR(__xludf.DUMMYFUNCTION("""COMPUTED_VALUE"""),"DRE BELEM 3")</f>
        <v>DRE BELEM 3</v>
      </c>
      <c r="H272" s="1" t="str">
        <f ca="1">IFERROR(__xludf.DUMMYFUNCTION("""COMPUTED_VALUE"""),"19A URE - BELEM")</f>
        <v>19A URE - BELEM</v>
      </c>
      <c r="I272" s="2" t="str">
        <f ca="1">IFERROR(__xludf.DUMMYFUNCTION("""COMPUTED_VALUE"""),"Unidade 3")</f>
        <v>Unidade 3</v>
      </c>
      <c r="J272" s="1" t="str">
        <f ca="1">IFERROR(__xludf.DUMMYFUNCTION("""COMPUTED_VALUE"""),"BELEM")</f>
        <v>BELEM</v>
      </c>
      <c r="K272" s="1">
        <f ca="1">IFERROR(__xludf.DUMMYFUNCTION("""COMPUTED_VALUE"""),15040291)</f>
        <v>15040291</v>
      </c>
      <c r="L272" s="2" t="str">
        <f ca="1">IFERROR(__xludf.DUMMYFUNCTION("""COMPUTED_VALUE"""),"001920902010000")</f>
        <v>001920902010000</v>
      </c>
      <c r="M272" s="2" t="str">
        <f ca="1">IFERROR(__xludf.DUMMYFUNCTION("""COMPUTED_VALUE"""),"1920902010000")</f>
        <v>1920902010000</v>
      </c>
      <c r="N272" s="1" t="str">
        <f ca="1">IFERROR(__xludf.DUMMYFUNCTION("""COMPUTED_VALUE"""),"EEEFM PROF RUTH ROSITA DE NAZARE GONZALES")</f>
        <v>EEEFM PROF RUTH ROSITA DE NAZARE GONZALES</v>
      </c>
      <c r="O272" s="1"/>
      <c r="P272" s="1"/>
      <c r="Q272" s="1" t="s">
        <v>264</v>
      </c>
    </row>
    <row r="273" spans="1:17" x14ac:dyDescent="0.25">
      <c r="A273" s="2" t="str">
        <f ca="1">IFERROR(__xludf.DUMMYFUNCTION("""COMPUTED_VALUE"""),"REG DE INTEGRA  METROPOLITANA")</f>
        <v>REG DE INTEGRA  METROPOLITANA</v>
      </c>
      <c r="B273" s="1" t="str">
        <f ca="1">IFERROR(__xludf.DUMMYFUNCTION("""COMPUTED_VALUE"""),"DRE BELEM 3")</f>
        <v>DRE BELEM 3</v>
      </c>
      <c r="C273" s="2" t="str">
        <f ca="1">IFERROR(__xludf.DUMMYFUNCTION("""COMPUTED_VALUE"""),"DRE - ANANINDEUA / BELEM")</f>
        <v>DRE - ANANINDEUA / BELEM</v>
      </c>
      <c r="D273" s="2" t="str">
        <f ca="1">IFERROR(__xludf.DUMMYFUNCTION("""COMPUTED_VALUE"""),"Belem 3")</f>
        <v>Belem 3</v>
      </c>
      <c r="E273" s="2" t="str">
        <f ca="1">IFERROR(__xludf.DUMMYFUNCTION("""COMPUTED_VALUE"""),"DRE - ANANINDEUA / BELEMBelem 3")</f>
        <v>DRE - ANANINDEUA / BELEMBelem 3</v>
      </c>
      <c r="F273" s="1">
        <f ca="1">IFERROR(__xludf.DUMMYFUNCTION("""COMPUTED_VALUE"""),1)</f>
        <v>1</v>
      </c>
      <c r="G273" s="1" t="str">
        <f ca="1">IFERROR(__xludf.DUMMYFUNCTION("""COMPUTED_VALUE"""),"DRE BELEM 3")</f>
        <v>DRE BELEM 3</v>
      </c>
      <c r="H273" s="1" t="str">
        <f ca="1">IFERROR(__xludf.DUMMYFUNCTION("""COMPUTED_VALUE"""),"19A URE - BELEM")</f>
        <v>19A URE - BELEM</v>
      </c>
      <c r="I273" s="2" t="str">
        <f ca="1">IFERROR(__xludf.DUMMYFUNCTION("""COMPUTED_VALUE"""),"Unidade 3")</f>
        <v>Unidade 3</v>
      </c>
      <c r="J273" s="1" t="str">
        <f ca="1">IFERROR(__xludf.DUMMYFUNCTION("""COMPUTED_VALUE"""),"BELEM")</f>
        <v>BELEM</v>
      </c>
      <c r="K273" s="1">
        <f ca="1">IFERROR(__xludf.DUMMYFUNCTION("""COMPUTED_VALUE"""),15039811)</f>
        <v>15039811</v>
      </c>
      <c r="L273" s="2" t="str">
        <f ca="1">IFERROR(__xludf.DUMMYFUNCTION("""COMPUTED_VALUE"""),"001920901020000")</f>
        <v>001920901020000</v>
      </c>
      <c r="M273" s="2" t="str">
        <f ca="1">IFERROR(__xludf.DUMMYFUNCTION("""COMPUTED_VALUE"""),"1920901020000")</f>
        <v>1920901020000</v>
      </c>
      <c r="N273" s="1" t="str">
        <f ca="1">IFERROR(__xludf.DUMMYFUNCTION("""COMPUTED_VALUE"""),"EEEFM PROFA ANTONIA PAES DA SILVA")</f>
        <v>EEEFM PROFA ANTONIA PAES DA SILVA</v>
      </c>
      <c r="O273" s="1"/>
      <c r="P273" s="1"/>
      <c r="Q273" s="1" t="s">
        <v>264</v>
      </c>
    </row>
    <row r="274" spans="1:17" x14ac:dyDescent="0.25">
      <c r="A274" s="2" t="str">
        <f ca="1">IFERROR(__xludf.DUMMYFUNCTION("""COMPUTED_VALUE"""),"REG DE INTEGRA  METROPOLITANA")</f>
        <v>REG DE INTEGRA  METROPOLITANA</v>
      </c>
      <c r="B274" s="1" t="str">
        <f ca="1">IFERROR(__xludf.DUMMYFUNCTION("""COMPUTED_VALUE"""),"DRE BELEM 3")</f>
        <v>DRE BELEM 3</v>
      </c>
      <c r="C274" s="2" t="str">
        <f ca="1">IFERROR(__xludf.DUMMYFUNCTION("""COMPUTED_VALUE"""),"DRE - ANANINDEUA / BELEM")</f>
        <v>DRE - ANANINDEUA / BELEM</v>
      </c>
      <c r="D274" s="2" t="str">
        <f ca="1">IFERROR(__xludf.DUMMYFUNCTION("""COMPUTED_VALUE"""),"Belem 3")</f>
        <v>Belem 3</v>
      </c>
      <c r="E274" s="2" t="str">
        <f ca="1">IFERROR(__xludf.DUMMYFUNCTION("""COMPUTED_VALUE"""),"DRE - ANANINDEUA / BELEMBelem 3")</f>
        <v>DRE - ANANINDEUA / BELEMBelem 3</v>
      </c>
      <c r="F274" s="1">
        <f ca="1">IFERROR(__xludf.DUMMYFUNCTION("""COMPUTED_VALUE"""),1)</f>
        <v>1</v>
      </c>
      <c r="G274" s="1" t="str">
        <f ca="1">IFERROR(__xludf.DUMMYFUNCTION("""COMPUTED_VALUE"""),"DRE BELEM 3")</f>
        <v>DRE BELEM 3</v>
      </c>
      <c r="H274" s="1" t="str">
        <f ca="1">IFERROR(__xludf.DUMMYFUNCTION("""COMPUTED_VALUE"""),"19A URE - BELEM")</f>
        <v>19A URE - BELEM</v>
      </c>
      <c r="I274" s="2" t="str">
        <f ca="1">IFERROR(__xludf.DUMMYFUNCTION("""COMPUTED_VALUE"""),"Unidade 3")</f>
        <v>Unidade 3</v>
      </c>
      <c r="J274" s="1" t="str">
        <f ca="1">IFERROR(__xludf.DUMMYFUNCTION("""COMPUTED_VALUE"""),"BELEM")</f>
        <v>BELEM</v>
      </c>
      <c r="K274" s="1">
        <f ca="1">IFERROR(__xludf.DUMMYFUNCTION("""COMPUTED_VALUE"""),15040151)</f>
        <v>15040151</v>
      </c>
      <c r="L274" s="2" t="str">
        <f ca="1">IFERROR(__xludf.DUMMYFUNCTION("""COMPUTED_VALUE"""),"001920902030000")</f>
        <v>001920902030000</v>
      </c>
      <c r="M274" s="2" t="str">
        <f ca="1">IFERROR(__xludf.DUMMYFUNCTION("""COMPUTED_VALUE"""),"1920902030000")</f>
        <v>1920902030000</v>
      </c>
      <c r="N274" s="1" t="str">
        <f ca="1">IFERROR(__xludf.DUMMYFUNCTION("""COMPUTED_VALUE"""),"EEEIF PROFA NORMA MORHY")</f>
        <v>EEEIF PROFA NORMA MORHY</v>
      </c>
      <c r="O274" s="1"/>
      <c r="P274" s="1"/>
      <c r="Q274" s="1" t="s">
        <v>264</v>
      </c>
    </row>
    <row r="275" spans="1:17" x14ac:dyDescent="0.25">
      <c r="A275" s="2" t="str">
        <f ca="1">IFERROR(__xludf.DUMMYFUNCTION("""COMPUTED_VALUE"""),"REG DE INTEGRA  METROPOLITANA")</f>
        <v>REG DE INTEGRA  METROPOLITANA</v>
      </c>
      <c r="B275" s="1" t="str">
        <f ca="1">IFERROR(__xludf.DUMMYFUNCTION("""COMPUTED_VALUE"""),"DRE BELEM 4")</f>
        <v>DRE BELEM 4</v>
      </c>
      <c r="C275" s="2" t="str">
        <f ca="1">IFERROR(__xludf.DUMMYFUNCTION("""COMPUTED_VALUE"""),"DRE - ANANINDEUA / BELEM")</f>
        <v>DRE - ANANINDEUA / BELEM</v>
      </c>
      <c r="D275" s="2" t="str">
        <f ca="1">IFERROR(__xludf.DUMMYFUNCTION("""COMPUTED_VALUE"""),"Belem 4")</f>
        <v>Belem 4</v>
      </c>
      <c r="E275" s="2" t="str">
        <f ca="1">IFERROR(__xludf.DUMMYFUNCTION("""COMPUTED_VALUE"""),"DRE - ANANINDEUA / BELEMBelem 4")</f>
        <v>DRE - ANANINDEUA / BELEMBelem 4</v>
      </c>
      <c r="F275" s="1">
        <f ca="1">IFERROR(__xludf.DUMMYFUNCTION("""COMPUTED_VALUE"""),2)</f>
        <v>2</v>
      </c>
      <c r="G275" s="1" t="str">
        <f ca="1">IFERROR(__xludf.DUMMYFUNCTION("""COMPUTED_VALUE"""),"DRE BELEM 4")</f>
        <v>DRE BELEM 4</v>
      </c>
      <c r="H275" s="1" t="str">
        <f ca="1">IFERROR(__xludf.DUMMYFUNCTION("""COMPUTED_VALUE"""),"19A URE - BELEM")</f>
        <v>19A URE - BELEM</v>
      </c>
      <c r="I275" s="2" t="str">
        <f ca="1">IFERROR(__xludf.DUMMYFUNCTION("""COMPUTED_VALUE"""),"Unidade 4")</f>
        <v>Unidade 4</v>
      </c>
      <c r="J275" s="1" t="str">
        <f ca="1">IFERROR(__xludf.DUMMYFUNCTION("""COMPUTED_VALUE"""),"BELEM")</f>
        <v>BELEM</v>
      </c>
      <c r="K275" s="1">
        <f ca="1">IFERROR(__xludf.DUMMYFUNCTION("""COMPUTED_VALUE"""),15176487)</f>
        <v>15176487</v>
      </c>
      <c r="L275" s="2" t="str">
        <f ca="1">IFERROR(__xludf.DUMMYFUNCTION("""COMPUTED_VALUE"""),"001920953000000")</f>
        <v>001920953000000</v>
      </c>
      <c r="M275" s="2" t="str">
        <f ca="1">IFERROR(__xludf.DUMMYFUNCTION("""COMPUTED_VALUE"""),"1920953000000")</f>
        <v>1920953000000</v>
      </c>
      <c r="N275" s="1" t="str">
        <f ca="1">IFERROR(__xludf.DUMMYFUNCTION("""COMPUTED_VALUE"""),"CENTRO DE REFERENCIA DE EDUCACAO INFANTIL PROF ORLANDO BITAR")</f>
        <v>CENTRO DE REFERENCIA DE EDUCACAO INFANTIL PROF ORLANDO BITAR</v>
      </c>
      <c r="O275" s="1"/>
      <c r="P275" s="1"/>
      <c r="Q275" s="1" t="s">
        <v>287</v>
      </c>
    </row>
    <row r="276" spans="1:17" x14ac:dyDescent="0.25">
      <c r="A276" s="2" t="str">
        <f ca="1">IFERROR(__xludf.DUMMYFUNCTION("""COMPUTED_VALUE"""),"REG DE INTEGRA  METROPOLITANA")</f>
        <v>REG DE INTEGRA  METROPOLITANA</v>
      </c>
      <c r="B276" s="1" t="str">
        <f ca="1">IFERROR(__xludf.DUMMYFUNCTION("""COMPUTED_VALUE"""),"DRE BELEM 4")</f>
        <v>DRE BELEM 4</v>
      </c>
      <c r="C276" s="2" t="str">
        <f ca="1">IFERROR(__xludf.DUMMYFUNCTION("""COMPUTED_VALUE"""),"DRE - ANANINDEUA / BELEM")</f>
        <v>DRE - ANANINDEUA / BELEM</v>
      </c>
      <c r="D276" s="2" t="str">
        <f ca="1">IFERROR(__xludf.DUMMYFUNCTION("""COMPUTED_VALUE"""),"Belem 4")</f>
        <v>Belem 4</v>
      </c>
      <c r="E276" s="2" t="str">
        <f ca="1">IFERROR(__xludf.DUMMYFUNCTION("""COMPUTED_VALUE"""),"DRE - ANANINDEUA / BELEMBelem 4")</f>
        <v>DRE - ANANINDEUA / BELEMBelem 4</v>
      </c>
      <c r="F276" s="1">
        <f ca="1">IFERROR(__xludf.DUMMYFUNCTION("""COMPUTED_VALUE"""),2)</f>
        <v>2</v>
      </c>
      <c r="G276" s="1" t="str">
        <f ca="1">IFERROR(__xludf.DUMMYFUNCTION("""COMPUTED_VALUE"""),"DRE BELEM 4")</f>
        <v>DRE BELEM 4</v>
      </c>
      <c r="H276" s="1" t="str">
        <f ca="1">IFERROR(__xludf.DUMMYFUNCTION("""COMPUTED_VALUE"""),"19A URE - BELEM")</f>
        <v>19A URE - BELEM</v>
      </c>
      <c r="I276" s="2" t="str">
        <f ca="1">IFERROR(__xludf.DUMMYFUNCTION("""COMPUTED_VALUE"""),"Unidade 4")</f>
        <v>Unidade 4</v>
      </c>
      <c r="J276" s="1" t="str">
        <f ca="1">IFERROR(__xludf.DUMMYFUNCTION("""COMPUTED_VALUE"""),"BELEM")</f>
        <v>BELEM</v>
      </c>
      <c r="K276" s="1">
        <f ca="1">IFERROR(__xludf.DUMMYFUNCTION("""COMPUTED_VALUE"""),15151093)</f>
        <v>15151093</v>
      </c>
      <c r="L276" s="2" t="str">
        <f ca="1">IFERROR(__xludf.DUMMYFUNCTION("""COMPUTED_VALUE"""),"001920931970000")</f>
        <v>001920931970000</v>
      </c>
      <c r="M276" s="2" t="str">
        <f ca="1">IFERROR(__xludf.DUMMYFUNCTION("""COMPUTED_VALUE"""),"1920931970000")</f>
        <v>1920931970000</v>
      </c>
      <c r="N276" s="1" t="str">
        <f ca="1">IFERROR(__xludf.DUMMYFUNCTION("""COMPUTED_VALUE"""),"CIEES - CENTRO INTEGRADO EDUCACAO ESPECIAL")</f>
        <v>CIEES - CENTRO INTEGRADO EDUCACAO ESPECIAL</v>
      </c>
      <c r="O276" s="1"/>
      <c r="P276" s="1"/>
      <c r="Q276" s="1" t="s">
        <v>287</v>
      </c>
    </row>
    <row r="277" spans="1:17" x14ac:dyDescent="0.25">
      <c r="A277" s="2" t="str">
        <f ca="1">IFERROR(__xludf.DUMMYFUNCTION("""COMPUTED_VALUE"""),"REG DE INTEGRA  METROPOLITANA")</f>
        <v>REG DE INTEGRA  METROPOLITANA</v>
      </c>
      <c r="B277" s="1" t="str">
        <f ca="1">IFERROR(__xludf.DUMMYFUNCTION("""COMPUTED_VALUE"""),"DRE BELEM 4")</f>
        <v>DRE BELEM 4</v>
      </c>
      <c r="C277" s="2" t="str">
        <f ca="1">IFERROR(__xludf.DUMMYFUNCTION("""COMPUTED_VALUE"""),"DRE - ANANINDEUA / BELEM")</f>
        <v>DRE - ANANINDEUA / BELEM</v>
      </c>
      <c r="D277" s="2" t="str">
        <f ca="1">IFERROR(__xludf.DUMMYFUNCTION("""COMPUTED_VALUE"""),"Belem 4")</f>
        <v>Belem 4</v>
      </c>
      <c r="E277" s="2" t="str">
        <f ca="1">IFERROR(__xludf.DUMMYFUNCTION("""COMPUTED_VALUE"""),"DRE - ANANINDEUA / BELEMBelem 4")</f>
        <v>DRE - ANANINDEUA / BELEMBelem 4</v>
      </c>
      <c r="F277" s="1">
        <f ca="1">IFERROR(__xludf.DUMMYFUNCTION("""COMPUTED_VALUE"""),2)</f>
        <v>2</v>
      </c>
      <c r="G277" s="1" t="str">
        <f ca="1">IFERROR(__xludf.DUMMYFUNCTION("""COMPUTED_VALUE"""),"DRE BELEM 4")</f>
        <v>DRE BELEM 4</v>
      </c>
      <c r="H277" s="1" t="str">
        <f ca="1">IFERROR(__xludf.DUMMYFUNCTION("""COMPUTED_VALUE"""),"19A URE - BELEM")</f>
        <v>19A URE - BELEM</v>
      </c>
      <c r="I277" s="2" t="str">
        <f ca="1">IFERROR(__xludf.DUMMYFUNCTION("""COMPUTED_VALUE"""),"Unidade 4")</f>
        <v>Unidade 4</v>
      </c>
      <c r="J277" s="1" t="str">
        <f ca="1">IFERROR(__xludf.DUMMYFUNCTION("""COMPUTED_VALUE"""),"BELEM")</f>
        <v>BELEM</v>
      </c>
      <c r="K277" s="1"/>
      <c r="L277" s="2" t="str">
        <f ca="1">IFERROR(__xludf.DUMMYFUNCTION("""COMPUTED_VALUE"""),"001920901210001")</f>
        <v>001920901210001</v>
      </c>
      <c r="M277" s="2" t="str">
        <f ca="1">IFERROR(__xludf.DUMMYFUNCTION("""COMPUTED_VALUE"""),"1920901210001")</f>
        <v>1920901210001</v>
      </c>
      <c r="N277" s="1" t="str">
        <f ca="1">IFERROR(__xludf.DUMMYFUNCTION("""COMPUTED_VALUE"""),"EEEF ANEXO I BARAO DO RIO BRANCO")</f>
        <v>EEEF ANEXO I BARAO DO RIO BRANCO</v>
      </c>
      <c r="O277" s="1"/>
      <c r="P277" s="1"/>
      <c r="Q277" s="1" t="s">
        <v>287</v>
      </c>
    </row>
    <row r="278" spans="1:17" x14ac:dyDescent="0.25">
      <c r="A278" s="2" t="str">
        <f ca="1">IFERROR(__xludf.DUMMYFUNCTION("""COMPUTED_VALUE"""),"REG DE INTEGRA  METROPOLITANA")</f>
        <v>REG DE INTEGRA  METROPOLITANA</v>
      </c>
      <c r="B278" s="1" t="str">
        <f ca="1">IFERROR(__xludf.DUMMYFUNCTION("""COMPUTED_VALUE"""),"DRE BELEM 4")</f>
        <v>DRE BELEM 4</v>
      </c>
      <c r="C278" s="2" t="str">
        <f ca="1">IFERROR(__xludf.DUMMYFUNCTION("""COMPUTED_VALUE"""),"DRE - ANANINDEUA / BELEM")</f>
        <v>DRE - ANANINDEUA / BELEM</v>
      </c>
      <c r="D278" s="2" t="str">
        <f ca="1">IFERROR(__xludf.DUMMYFUNCTION("""COMPUTED_VALUE"""),"Belem 4")</f>
        <v>Belem 4</v>
      </c>
      <c r="E278" s="2" t="str">
        <f ca="1">IFERROR(__xludf.DUMMYFUNCTION("""COMPUTED_VALUE"""),"DRE - ANANINDEUA / BELEMBelem 4")</f>
        <v>DRE - ANANINDEUA / BELEMBelem 4</v>
      </c>
      <c r="F278" s="1">
        <f ca="1">IFERROR(__xludf.DUMMYFUNCTION("""COMPUTED_VALUE"""),2)</f>
        <v>2</v>
      </c>
      <c r="G278" s="1" t="str">
        <f ca="1">IFERROR(__xludf.DUMMYFUNCTION("""COMPUTED_VALUE"""),"DRE BELEM 4")</f>
        <v>DRE BELEM 4</v>
      </c>
      <c r="H278" s="1" t="str">
        <f ca="1">IFERROR(__xludf.DUMMYFUNCTION("""COMPUTED_VALUE"""),"19A URE - BELEM")</f>
        <v>19A URE - BELEM</v>
      </c>
      <c r="I278" s="2" t="str">
        <f ca="1">IFERROR(__xludf.DUMMYFUNCTION("""COMPUTED_VALUE"""),"Unidade 4")</f>
        <v>Unidade 4</v>
      </c>
      <c r="J278" s="1" t="str">
        <f ca="1">IFERROR(__xludf.DUMMYFUNCTION("""COMPUTED_VALUE"""),"BELEM")</f>
        <v>BELEM</v>
      </c>
      <c r="K278" s="1">
        <f ca="1">IFERROR(__xludf.DUMMYFUNCTION("""COMPUTED_VALUE"""),15039609)</f>
        <v>15039609</v>
      </c>
      <c r="L278" s="2" t="str">
        <f ca="1">IFERROR(__xludf.DUMMYFUNCTION("""COMPUTED_VALUE"""),"001920901890000")</f>
        <v>001920901890000</v>
      </c>
      <c r="M278" s="2" t="str">
        <f ca="1">IFERROR(__xludf.DUMMYFUNCTION("""COMPUTED_VALUE"""),"1920901890000")</f>
        <v>1920901890000</v>
      </c>
      <c r="N278" s="1" t="str">
        <f ca="1">IFERROR(__xludf.DUMMYFUNCTION("""COMPUTED_VALUE"""),"EEEF BENJAMIN CONSTANT")</f>
        <v>EEEF BENJAMIN CONSTANT</v>
      </c>
      <c r="O278" s="1"/>
      <c r="P278" s="1"/>
      <c r="Q278" s="1" t="s">
        <v>287</v>
      </c>
    </row>
    <row r="279" spans="1:17" x14ac:dyDescent="0.25">
      <c r="A279" s="2" t="str">
        <f ca="1">IFERROR(__xludf.DUMMYFUNCTION("""COMPUTED_VALUE"""),"REG DE INTEGRA  METROPOLITANA")</f>
        <v>REG DE INTEGRA  METROPOLITANA</v>
      </c>
      <c r="B279" s="1" t="str">
        <f ca="1">IFERROR(__xludf.DUMMYFUNCTION("""COMPUTED_VALUE"""),"DRE BELEM 4")</f>
        <v>DRE BELEM 4</v>
      </c>
      <c r="C279" s="2" t="str">
        <f ca="1">IFERROR(__xludf.DUMMYFUNCTION("""COMPUTED_VALUE"""),"DRE - ANANINDEUA / BELEM")</f>
        <v>DRE - ANANINDEUA / BELEM</v>
      </c>
      <c r="D279" s="2" t="str">
        <f ca="1">IFERROR(__xludf.DUMMYFUNCTION("""COMPUTED_VALUE"""),"Belem 4")</f>
        <v>Belem 4</v>
      </c>
      <c r="E279" s="2" t="str">
        <f ca="1">IFERROR(__xludf.DUMMYFUNCTION("""COMPUTED_VALUE"""),"DRE - ANANINDEUA / BELEMBelem 4")</f>
        <v>DRE - ANANINDEUA / BELEMBelem 4</v>
      </c>
      <c r="F279" s="1">
        <f ca="1">IFERROR(__xludf.DUMMYFUNCTION("""COMPUTED_VALUE"""),2)</f>
        <v>2</v>
      </c>
      <c r="G279" s="1" t="str">
        <f ca="1">IFERROR(__xludf.DUMMYFUNCTION("""COMPUTED_VALUE"""),"DRE BELEM 4")</f>
        <v>DRE BELEM 4</v>
      </c>
      <c r="H279" s="1" t="str">
        <f ca="1">IFERROR(__xludf.DUMMYFUNCTION("""COMPUTED_VALUE"""),"19A URE - BELEM")</f>
        <v>19A URE - BELEM</v>
      </c>
      <c r="I279" s="2" t="str">
        <f ca="1">IFERROR(__xludf.DUMMYFUNCTION("""COMPUTED_VALUE"""),"Unidade 4")</f>
        <v>Unidade 4</v>
      </c>
      <c r="J279" s="1" t="str">
        <f ca="1">IFERROR(__xludf.DUMMYFUNCTION("""COMPUTED_VALUE"""),"BELEM")</f>
        <v>BELEM</v>
      </c>
      <c r="K279" s="1">
        <f ca="1">IFERROR(__xludf.DUMMYFUNCTION("""COMPUTED_VALUE"""),15039730)</f>
        <v>15039730</v>
      </c>
      <c r="L279" s="2" t="str">
        <f ca="1">IFERROR(__xludf.DUMMYFUNCTION("""COMPUTED_VALUE"""),"001920901230000")</f>
        <v>001920901230000</v>
      </c>
      <c r="M279" s="2" t="str">
        <f ca="1">IFERROR(__xludf.DUMMYFUNCTION("""COMPUTED_VALUE"""),"1920901230000")</f>
        <v>1920901230000</v>
      </c>
      <c r="N279" s="1" t="str">
        <f ca="1">IFERROR(__xludf.DUMMYFUNCTION("""COMPUTED_VALUE"""),"EEEF MAROJA NETO")</f>
        <v>EEEF MAROJA NETO</v>
      </c>
      <c r="O279" s="1"/>
      <c r="P279" s="1"/>
      <c r="Q279" s="1" t="s">
        <v>287</v>
      </c>
    </row>
    <row r="280" spans="1:17" x14ac:dyDescent="0.25">
      <c r="A280" s="2" t="str">
        <f ca="1">IFERROR(__xludf.DUMMYFUNCTION("""COMPUTED_VALUE"""),"REG DE INTEGRA  METROPOLITANA")</f>
        <v>REG DE INTEGRA  METROPOLITANA</v>
      </c>
      <c r="B280" s="1" t="str">
        <f ca="1">IFERROR(__xludf.DUMMYFUNCTION("""COMPUTED_VALUE"""),"DRE BELEM 4")</f>
        <v>DRE BELEM 4</v>
      </c>
      <c r="C280" s="2" t="str">
        <f ca="1">IFERROR(__xludf.DUMMYFUNCTION("""COMPUTED_VALUE"""),"DRE - ANANINDEUA / BELEM")</f>
        <v>DRE - ANANINDEUA / BELEM</v>
      </c>
      <c r="D280" s="2" t="str">
        <f ca="1">IFERROR(__xludf.DUMMYFUNCTION("""COMPUTED_VALUE"""),"Belem 4")</f>
        <v>Belem 4</v>
      </c>
      <c r="E280" s="2" t="str">
        <f ca="1">IFERROR(__xludf.DUMMYFUNCTION("""COMPUTED_VALUE"""),"DRE - ANANINDEUA / BELEMBelem 4")</f>
        <v>DRE - ANANINDEUA / BELEMBelem 4</v>
      </c>
      <c r="F280" s="1">
        <f ca="1">IFERROR(__xludf.DUMMYFUNCTION("""COMPUTED_VALUE"""),2)</f>
        <v>2</v>
      </c>
      <c r="G280" s="1" t="str">
        <f ca="1">IFERROR(__xludf.DUMMYFUNCTION("""COMPUTED_VALUE"""),"DRE BELEM 4")</f>
        <v>DRE BELEM 4</v>
      </c>
      <c r="H280" s="1" t="str">
        <f ca="1">IFERROR(__xludf.DUMMYFUNCTION("""COMPUTED_VALUE"""),"19A URE - BELEM")</f>
        <v>19A URE - BELEM</v>
      </c>
      <c r="I280" s="2" t="str">
        <f ca="1">IFERROR(__xludf.DUMMYFUNCTION("""COMPUTED_VALUE"""),"Unidade 4")</f>
        <v>Unidade 4</v>
      </c>
      <c r="J280" s="1" t="str">
        <f ca="1">IFERROR(__xludf.DUMMYFUNCTION("""COMPUTED_VALUE"""),"BELEM")</f>
        <v>BELEM</v>
      </c>
      <c r="K280" s="1">
        <f ca="1">IFERROR(__xludf.DUMMYFUNCTION("""COMPUTED_VALUE"""),15203204)</f>
        <v>15203204</v>
      </c>
      <c r="L280" s="2" t="str">
        <f ca="1">IFERROR(__xludf.DUMMYFUNCTION("""COMPUTED_VALUE"""),"001920937300000")</f>
        <v>001920937300000</v>
      </c>
      <c r="M280" s="2" t="str">
        <f ca="1">IFERROR(__xludf.DUMMYFUNCTION("""COMPUTED_VALUE"""),"1920937300000")</f>
        <v>1920937300000</v>
      </c>
      <c r="N280" s="1" t="str">
        <f ca="1">IFERROR(__xludf.DUMMYFUNCTION("""COMPUTED_VALUE"""),"EEEF MILTON PEREIRA DE MELO")</f>
        <v>EEEF MILTON PEREIRA DE MELO</v>
      </c>
      <c r="O280" s="1"/>
      <c r="P280" s="1"/>
      <c r="Q280" s="1" t="s">
        <v>287</v>
      </c>
    </row>
    <row r="281" spans="1:17" x14ac:dyDescent="0.25">
      <c r="A281" s="2" t="str">
        <f ca="1">IFERROR(__xludf.DUMMYFUNCTION("""COMPUTED_VALUE"""),"REG DE INTEGRA  METROPOLITANA")</f>
        <v>REG DE INTEGRA  METROPOLITANA</v>
      </c>
      <c r="B281" s="1" t="str">
        <f ca="1">IFERROR(__xludf.DUMMYFUNCTION("""COMPUTED_VALUE"""),"DRE BELEM 4")</f>
        <v>DRE BELEM 4</v>
      </c>
      <c r="C281" s="2" t="str">
        <f ca="1">IFERROR(__xludf.DUMMYFUNCTION("""COMPUTED_VALUE"""),"DRE - ANANINDEUA / BELEM")</f>
        <v>DRE - ANANINDEUA / BELEM</v>
      </c>
      <c r="D281" s="2" t="str">
        <f ca="1">IFERROR(__xludf.DUMMYFUNCTION("""COMPUTED_VALUE"""),"Belem 4")</f>
        <v>Belem 4</v>
      </c>
      <c r="E281" s="2" t="str">
        <f ca="1">IFERROR(__xludf.DUMMYFUNCTION("""COMPUTED_VALUE"""),"DRE - ANANINDEUA / BELEMBelem 4")</f>
        <v>DRE - ANANINDEUA / BELEMBelem 4</v>
      </c>
      <c r="F281" s="1">
        <f ca="1">IFERROR(__xludf.DUMMYFUNCTION("""COMPUTED_VALUE"""),2)</f>
        <v>2</v>
      </c>
      <c r="G281" s="1" t="str">
        <f ca="1">IFERROR(__xludf.DUMMYFUNCTION("""COMPUTED_VALUE"""),"DRE BELEM 4")</f>
        <v>DRE BELEM 4</v>
      </c>
      <c r="H281" s="1" t="str">
        <f ca="1">IFERROR(__xludf.DUMMYFUNCTION("""COMPUTED_VALUE"""),"19A URE - BELEM")</f>
        <v>19A URE - BELEM</v>
      </c>
      <c r="I281" s="2" t="str">
        <f ca="1">IFERROR(__xludf.DUMMYFUNCTION("""COMPUTED_VALUE"""),"Unidade 4")</f>
        <v>Unidade 4</v>
      </c>
      <c r="J281" s="1" t="str">
        <f ca="1">IFERROR(__xludf.DUMMYFUNCTION("""COMPUTED_VALUE"""),"BELEM")</f>
        <v>BELEM</v>
      </c>
      <c r="K281" s="1">
        <f ca="1">IFERROR(__xludf.DUMMYFUNCTION("""COMPUTED_VALUE"""),15039498)</f>
        <v>15039498</v>
      </c>
      <c r="L281" s="2" t="str">
        <f ca="1">IFERROR(__xludf.DUMMYFUNCTION("""COMPUTED_VALUE"""),"001920901330000")</f>
        <v>001920901330000</v>
      </c>
      <c r="M281" s="2" t="str">
        <f ca="1">IFERROR(__xludf.DUMMYFUNCTION("""COMPUTED_VALUE"""),"1920901330000")</f>
        <v>1920901330000</v>
      </c>
      <c r="N281" s="1" t="str">
        <f ca="1">IFERROR(__xludf.DUMMYFUNCTION("""COMPUTED_VALUE"""),"EEEF PROF WALDEMAR RIBEIRO")</f>
        <v>EEEF PROF WALDEMAR RIBEIRO</v>
      </c>
      <c r="O281" s="1"/>
      <c r="P281" s="1"/>
      <c r="Q281" s="1" t="s">
        <v>287</v>
      </c>
    </row>
    <row r="282" spans="1:17" x14ac:dyDescent="0.25">
      <c r="A282" s="2" t="str">
        <f ca="1">IFERROR(__xludf.DUMMYFUNCTION("""COMPUTED_VALUE"""),"REG DE INTEGRA  METROPOLITANA")</f>
        <v>REG DE INTEGRA  METROPOLITANA</v>
      </c>
      <c r="B282" s="1" t="str">
        <f ca="1">IFERROR(__xludf.DUMMYFUNCTION("""COMPUTED_VALUE"""),"DRE BELEM 4")</f>
        <v>DRE BELEM 4</v>
      </c>
      <c r="C282" s="2" t="str">
        <f ca="1">IFERROR(__xludf.DUMMYFUNCTION("""COMPUTED_VALUE"""),"DRE - ANANINDEUA / BELEM")</f>
        <v>DRE - ANANINDEUA / BELEM</v>
      </c>
      <c r="D282" s="2" t="str">
        <f ca="1">IFERROR(__xludf.DUMMYFUNCTION("""COMPUTED_VALUE"""),"Belem 4")</f>
        <v>Belem 4</v>
      </c>
      <c r="E282" s="2" t="str">
        <f ca="1">IFERROR(__xludf.DUMMYFUNCTION("""COMPUTED_VALUE"""),"DRE - ANANINDEUA / BELEMBelem 4")</f>
        <v>DRE - ANANINDEUA / BELEMBelem 4</v>
      </c>
      <c r="F282" s="1">
        <f ca="1">IFERROR(__xludf.DUMMYFUNCTION("""COMPUTED_VALUE"""),2)</f>
        <v>2</v>
      </c>
      <c r="G282" s="1" t="str">
        <f ca="1">IFERROR(__xludf.DUMMYFUNCTION("""COMPUTED_VALUE"""),"DRE BELEM 4")</f>
        <v>DRE BELEM 4</v>
      </c>
      <c r="H282" s="1" t="str">
        <f ca="1">IFERROR(__xludf.DUMMYFUNCTION("""COMPUTED_VALUE"""),"19A URE - BELEM")</f>
        <v>19A URE - BELEM</v>
      </c>
      <c r="I282" s="2" t="str">
        <f ca="1">IFERROR(__xludf.DUMMYFUNCTION("""COMPUTED_VALUE"""),"Unidade 4")</f>
        <v>Unidade 4</v>
      </c>
      <c r="J282" s="1" t="str">
        <f ca="1">IFERROR(__xludf.DUMMYFUNCTION("""COMPUTED_VALUE"""),"BELEM")</f>
        <v>BELEM</v>
      </c>
      <c r="K282" s="1">
        <f ca="1">IFERROR(__xludf.DUMMYFUNCTION("""COMPUTED_VALUE"""),15039587)</f>
        <v>15039587</v>
      </c>
      <c r="L282" s="2" t="str">
        <f ca="1">IFERROR(__xludf.DUMMYFUNCTION("""COMPUTED_VALUE"""),"001920902100000")</f>
        <v>001920902100000</v>
      </c>
      <c r="M282" s="2" t="str">
        <f ca="1">IFERROR(__xludf.DUMMYFUNCTION("""COMPUTED_VALUE"""),"1920902100000")</f>
        <v>1920902100000</v>
      </c>
      <c r="N282" s="1" t="str">
        <f ca="1">IFERROR(__xludf.DUMMYFUNCTION("""COMPUTED_VALUE"""),"EEEFM AUGUSTO MONTENEGRO")</f>
        <v>EEEFM AUGUSTO MONTENEGRO</v>
      </c>
      <c r="O282" s="1"/>
      <c r="P282" s="1"/>
      <c r="Q282" s="1" t="s">
        <v>287</v>
      </c>
    </row>
    <row r="283" spans="1:17" x14ac:dyDescent="0.25">
      <c r="A283" s="2" t="str">
        <f ca="1">IFERROR(__xludf.DUMMYFUNCTION("""COMPUTED_VALUE"""),"REG DE INTEGRA  METROPOLITANA")</f>
        <v>REG DE INTEGRA  METROPOLITANA</v>
      </c>
      <c r="B283" s="1" t="str">
        <f ca="1">IFERROR(__xludf.DUMMYFUNCTION("""COMPUTED_VALUE"""),"DRE BELEM 4")</f>
        <v>DRE BELEM 4</v>
      </c>
      <c r="C283" s="2" t="str">
        <f ca="1">IFERROR(__xludf.DUMMYFUNCTION("""COMPUTED_VALUE"""),"DRE - ANANINDEUA / BELEM")</f>
        <v>DRE - ANANINDEUA / BELEM</v>
      </c>
      <c r="D283" s="2" t="str">
        <f ca="1">IFERROR(__xludf.DUMMYFUNCTION("""COMPUTED_VALUE"""),"Belem 4")</f>
        <v>Belem 4</v>
      </c>
      <c r="E283" s="2" t="str">
        <f ca="1">IFERROR(__xludf.DUMMYFUNCTION("""COMPUTED_VALUE"""),"DRE - ANANINDEUA / BELEMBelem 4")</f>
        <v>DRE - ANANINDEUA / BELEMBelem 4</v>
      </c>
      <c r="F283" s="1">
        <f ca="1">IFERROR(__xludf.DUMMYFUNCTION("""COMPUTED_VALUE"""),2)</f>
        <v>2</v>
      </c>
      <c r="G283" s="1" t="str">
        <f ca="1">IFERROR(__xludf.DUMMYFUNCTION("""COMPUTED_VALUE"""),"DRE BELEM 4")</f>
        <v>DRE BELEM 4</v>
      </c>
      <c r="H283" s="1" t="str">
        <f ca="1">IFERROR(__xludf.DUMMYFUNCTION("""COMPUTED_VALUE"""),"19A URE - BELEM")</f>
        <v>19A URE - BELEM</v>
      </c>
      <c r="I283" s="2" t="str">
        <f ca="1">IFERROR(__xludf.DUMMYFUNCTION("""COMPUTED_VALUE"""),"Unidade 4")</f>
        <v>Unidade 4</v>
      </c>
      <c r="J283" s="1" t="str">
        <f ca="1">IFERROR(__xludf.DUMMYFUNCTION("""COMPUTED_VALUE"""),"BELEM")</f>
        <v>BELEM</v>
      </c>
      <c r="K283" s="1">
        <f ca="1">IFERROR(__xludf.DUMMYFUNCTION("""COMPUTED_VALUE"""),15039641)</f>
        <v>15039641</v>
      </c>
      <c r="L283" s="2" t="str">
        <f ca="1">IFERROR(__xludf.DUMMYFUNCTION("""COMPUTED_VALUE"""),"001920902180000")</f>
        <v>001920902180000</v>
      </c>
      <c r="M283" s="2" t="str">
        <f ca="1">IFERROR(__xludf.DUMMYFUNCTION("""COMPUTED_VALUE"""),"1920902180000")</f>
        <v>1920902180000</v>
      </c>
      <c r="N283" s="1" t="str">
        <f ca="1">IFERROR(__xludf.DUMMYFUNCTION("""COMPUTED_VALUE"""),"EEEFM DEODORO DE MENDONCA")</f>
        <v>EEEFM DEODORO DE MENDONCA</v>
      </c>
      <c r="O283" s="1"/>
      <c r="P283" s="1"/>
      <c r="Q283" s="1" t="s">
        <v>287</v>
      </c>
    </row>
    <row r="284" spans="1:17" x14ac:dyDescent="0.25">
      <c r="A284" s="2" t="str">
        <f ca="1">IFERROR(__xludf.DUMMYFUNCTION("""COMPUTED_VALUE"""),"REG DE INTEGRA  METROPOLITANA")</f>
        <v>REG DE INTEGRA  METROPOLITANA</v>
      </c>
      <c r="B284" s="1" t="str">
        <f ca="1">IFERROR(__xludf.DUMMYFUNCTION("""COMPUTED_VALUE"""),"DRE BELEM 4")</f>
        <v>DRE BELEM 4</v>
      </c>
      <c r="C284" s="2" t="str">
        <f ca="1">IFERROR(__xludf.DUMMYFUNCTION("""COMPUTED_VALUE"""),"DRE - ANANINDEUA / BELEM")</f>
        <v>DRE - ANANINDEUA / BELEM</v>
      </c>
      <c r="D284" s="2" t="str">
        <f ca="1">IFERROR(__xludf.DUMMYFUNCTION("""COMPUTED_VALUE"""),"Belem 4")</f>
        <v>Belem 4</v>
      </c>
      <c r="E284" s="2" t="str">
        <f ca="1">IFERROR(__xludf.DUMMYFUNCTION("""COMPUTED_VALUE"""),"DRE - ANANINDEUA / BELEMBelem 4")</f>
        <v>DRE - ANANINDEUA / BELEMBelem 4</v>
      </c>
      <c r="F284" s="1">
        <f ca="1">IFERROR(__xludf.DUMMYFUNCTION("""COMPUTED_VALUE"""),2)</f>
        <v>2</v>
      </c>
      <c r="G284" s="1" t="str">
        <f ca="1">IFERROR(__xludf.DUMMYFUNCTION("""COMPUTED_VALUE"""),"DRE BELEM 4")</f>
        <v>DRE BELEM 4</v>
      </c>
      <c r="H284" s="1" t="str">
        <f ca="1">IFERROR(__xludf.DUMMYFUNCTION("""COMPUTED_VALUE"""),"19A URE - BELEM")</f>
        <v>19A URE - BELEM</v>
      </c>
      <c r="I284" s="2" t="str">
        <f ca="1">IFERROR(__xludf.DUMMYFUNCTION("""COMPUTED_VALUE"""),"Unidade 4")</f>
        <v>Unidade 4</v>
      </c>
      <c r="J284" s="1" t="str">
        <f ca="1">IFERROR(__xludf.DUMMYFUNCTION("""COMPUTED_VALUE"""),"BELEM")</f>
        <v>BELEM</v>
      </c>
      <c r="K284" s="1">
        <f ca="1">IFERROR(__xludf.DUMMYFUNCTION("""COMPUTED_VALUE"""),15039919)</f>
        <v>15039919</v>
      </c>
      <c r="L284" s="2" t="str">
        <f ca="1">IFERROR(__xludf.DUMMYFUNCTION("""COMPUTED_VALUE"""),"001920902110000")</f>
        <v>001920902110000</v>
      </c>
      <c r="M284" s="2" t="str">
        <f ca="1">IFERROR(__xludf.DUMMYFUNCTION("""COMPUTED_VALUE"""),"1920902110000")</f>
        <v>1920902110000</v>
      </c>
      <c r="N284" s="1" t="str">
        <f ca="1">IFERROR(__xludf.DUMMYFUNCTION("""COMPUTED_VALUE"""),"EEEFM DR FREITAS")</f>
        <v>EEEFM DR FREITAS</v>
      </c>
      <c r="O284" s="1"/>
      <c r="P284" s="1"/>
      <c r="Q284" s="1" t="s">
        <v>287</v>
      </c>
    </row>
    <row r="285" spans="1:17" x14ac:dyDescent="0.25">
      <c r="A285" s="2" t="str">
        <f ca="1">IFERROR(__xludf.DUMMYFUNCTION("""COMPUTED_VALUE"""),"REG DE INTEGRA  METROPOLITANA")</f>
        <v>REG DE INTEGRA  METROPOLITANA</v>
      </c>
      <c r="B285" s="1" t="str">
        <f ca="1">IFERROR(__xludf.DUMMYFUNCTION("""COMPUTED_VALUE"""),"DRE BELEM 4")</f>
        <v>DRE BELEM 4</v>
      </c>
      <c r="C285" s="2" t="str">
        <f ca="1">IFERROR(__xludf.DUMMYFUNCTION("""COMPUTED_VALUE"""),"DRE - ANANINDEUA / BELEM")</f>
        <v>DRE - ANANINDEUA / BELEM</v>
      </c>
      <c r="D285" s="2" t="str">
        <f ca="1">IFERROR(__xludf.DUMMYFUNCTION("""COMPUTED_VALUE"""),"Belem 4")</f>
        <v>Belem 4</v>
      </c>
      <c r="E285" s="2" t="str">
        <f ca="1">IFERROR(__xludf.DUMMYFUNCTION("""COMPUTED_VALUE"""),"DRE - ANANINDEUA / BELEMBelem 4")</f>
        <v>DRE - ANANINDEUA / BELEMBelem 4</v>
      </c>
      <c r="F285" s="1">
        <f ca="1">IFERROR(__xludf.DUMMYFUNCTION("""COMPUTED_VALUE"""),2)</f>
        <v>2</v>
      </c>
      <c r="G285" s="1" t="str">
        <f ca="1">IFERROR(__xludf.DUMMYFUNCTION("""COMPUTED_VALUE"""),"DRE BELEM 4")</f>
        <v>DRE BELEM 4</v>
      </c>
      <c r="H285" s="1" t="str">
        <f ca="1">IFERROR(__xludf.DUMMYFUNCTION("""COMPUTED_VALUE"""),"19A URE - BELEM")</f>
        <v>19A URE - BELEM</v>
      </c>
      <c r="I285" s="2" t="str">
        <f ca="1">IFERROR(__xludf.DUMMYFUNCTION("""COMPUTED_VALUE"""),"Unidade 4")</f>
        <v>Unidade 4</v>
      </c>
      <c r="J285" s="1" t="str">
        <f ca="1">IFERROR(__xludf.DUMMYFUNCTION("""COMPUTED_VALUE"""),"BELEM")</f>
        <v>BELEM</v>
      </c>
      <c r="K285" s="1">
        <f ca="1">IFERROR(__xludf.DUMMYFUNCTION("""COMPUTED_VALUE"""),15039676)</f>
        <v>15039676</v>
      </c>
      <c r="L285" s="2" t="str">
        <f ca="1">IFERROR(__xludf.DUMMYFUNCTION("""COMPUTED_VALUE"""),"001920902330000")</f>
        <v>001920902330000</v>
      </c>
      <c r="M285" s="2" t="str">
        <f ca="1">IFERROR(__xludf.DUMMYFUNCTION("""COMPUTED_VALUE"""),"1920902330000")</f>
        <v>1920902330000</v>
      </c>
      <c r="N285" s="1" t="str">
        <f ca="1">IFERROR(__xludf.DUMMYFUNCTION("""COMPUTED_VALUE"""),"EEEFM DR JUSTO CHERMONT")</f>
        <v>EEEFM DR JUSTO CHERMONT</v>
      </c>
      <c r="O285" s="1"/>
      <c r="P285" s="1"/>
      <c r="Q285" s="1" t="s">
        <v>287</v>
      </c>
    </row>
    <row r="286" spans="1:17" x14ac:dyDescent="0.25">
      <c r="A286" s="2" t="str">
        <f ca="1">IFERROR(__xludf.DUMMYFUNCTION("""COMPUTED_VALUE"""),"REG DE INTEGRA  METROPOLITANA")</f>
        <v>REG DE INTEGRA  METROPOLITANA</v>
      </c>
      <c r="B286" s="1" t="str">
        <f ca="1">IFERROR(__xludf.DUMMYFUNCTION("""COMPUTED_VALUE"""),"DRE BELEM 4")</f>
        <v>DRE BELEM 4</v>
      </c>
      <c r="C286" s="2" t="str">
        <f ca="1">IFERROR(__xludf.DUMMYFUNCTION("""COMPUTED_VALUE"""),"DRE - ANANINDEUA / BELEM")</f>
        <v>DRE - ANANINDEUA / BELEM</v>
      </c>
      <c r="D286" s="2" t="str">
        <f ca="1">IFERROR(__xludf.DUMMYFUNCTION("""COMPUTED_VALUE"""),"Belem 4")</f>
        <v>Belem 4</v>
      </c>
      <c r="E286" s="2" t="str">
        <f ca="1">IFERROR(__xludf.DUMMYFUNCTION("""COMPUTED_VALUE"""),"DRE - ANANINDEUA / BELEMBelem 4")</f>
        <v>DRE - ANANINDEUA / BELEMBelem 4</v>
      </c>
      <c r="F286" s="1">
        <f ca="1">IFERROR(__xludf.DUMMYFUNCTION("""COMPUTED_VALUE"""),2)</f>
        <v>2</v>
      </c>
      <c r="G286" s="1" t="str">
        <f ca="1">IFERROR(__xludf.DUMMYFUNCTION("""COMPUTED_VALUE"""),"DRE BELEM 4")</f>
        <v>DRE BELEM 4</v>
      </c>
      <c r="H286" s="1" t="str">
        <f ca="1">IFERROR(__xludf.DUMMYFUNCTION("""COMPUTED_VALUE"""),"19A URE - BELEM")</f>
        <v>19A URE - BELEM</v>
      </c>
      <c r="I286" s="2" t="str">
        <f ca="1">IFERROR(__xludf.DUMMYFUNCTION("""COMPUTED_VALUE"""),"Unidade 4")</f>
        <v>Unidade 4</v>
      </c>
      <c r="J286" s="1" t="str">
        <f ca="1">IFERROR(__xludf.DUMMYFUNCTION("""COMPUTED_VALUE"""),"BELEM")</f>
        <v>BELEM</v>
      </c>
      <c r="K286" s="1">
        <f ca="1">IFERROR(__xludf.DUMMYFUNCTION("""COMPUTED_VALUE"""),15040380)</f>
        <v>15040380</v>
      </c>
      <c r="L286" s="2" t="str">
        <f ca="1">IFERROR(__xludf.DUMMYFUNCTION("""COMPUTED_VALUE"""),"001920932960000")</f>
        <v>001920932960000</v>
      </c>
      <c r="M286" s="2" t="str">
        <f ca="1">IFERROR(__xludf.DUMMYFUNCTION("""COMPUTED_VALUE"""),"1920932960000")</f>
        <v>1920932960000</v>
      </c>
      <c r="N286" s="1" t="str">
        <f ca="1">IFERROR(__xludf.DUMMYFUNCTION("""COMPUTED_VALUE"""),"EEEFM DR ULYSSES GUIMARAES")</f>
        <v>EEEFM DR ULYSSES GUIMARAES</v>
      </c>
      <c r="O286" s="1"/>
      <c r="P286" s="1"/>
      <c r="Q286" s="1" t="s">
        <v>287</v>
      </c>
    </row>
    <row r="287" spans="1:17" x14ac:dyDescent="0.25">
      <c r="A287" s="2" t="str">
        <f ca="1">IFERROR(__xludf.DUMMYFUNCTION("""COMPUTED_VALUE"""),"REG DE INTEGRA  METROPOLITANA")</f>
        <v>REG DE INTEGRA  METROPOLITANA</v>
      </c>
      <c r="B287" s="1" t="str">
        <f ca="1">IFERROR(__xludf.DUMMYFUNCTION("""COMPUTED_VALUE"""),"DRE BELEM 4")</f>
        <v>DRE BELEM 4</v>
      </c>
      <c r="C287" s="2" t="str">
        <f ca="1">IFERROR(__xludf.DUMMYFUNCTION("""COMPUTED_VALUE"""),"DRE - ANANINDEUA / BELEM")</f>
        <v>DRE - ANANINDEUA / BELEM</v>
      </c>
      <c r="D287" s="2" t="str">
        <f ca="1">IFERROR(__xludf.DUMMYFUNCTION("""COMPUTED_VALUE"""),"Belem 4")</f>
        <v>Belem 4</v>
      </c>
      <c r="E287" s="2" t="str">
        <f ca="1">IFERROR(__xludf.DUMMYFUNCTION("""COMPUTED_VALUE"""),"DRE - ANANINDEUA / BELEMBelem 4")</f>
        <v>DRE - ANANINDEUA / BELEMBelem 4</v>
      </c>
      <c r="F287" s="1">
        <f ca="1">IFERROR(__xludf.DUMMYFUNCTION("""COMPUTED_VALUE"""),2)</f>
        <v>2</v>
      </c>
      <c r="G287" s="1" t="str">
        <f ca="1">IFERROR(__xludf.DUMMYFUNCTION("""COMPUTED_VALUE"""),"DRE BELEM 4")</f>
        <v>DRE BELEM 4</v>
      </c>
      <c r="H287" s="1" t="str">
        <f ca="1">IFERROR(__xludf.DUMMYFUNCTION("""COMPUTED_VALUE"""),"19A URE - BELEM")</f>
        <v>19A URE - BELEM</v>
      </c>
      <c r="I287" s="2" t="str">
        <f ca="1">IFERROR(__xludf.DUMMYFUNCTION("""COMPUTED_VALUE"""),"Unidade 4")</f>
        <v>Unidade 4</v>
      </c>
      <c r="J287" s="1" t="str">
        <f ca="1">IFERROR(__xludf.DUMMYFUNCTION("""COMPUTED_VALUE"""),"BELEM")</f>
        <v>BELEM</v>
      </c>
      <c r="K287" s="1">
        <f ca="1">IFERROR(__xludf.DUMMYFUNCTION("""COMPUTED_VALUE"""),15040402)</f>
        <v>15040402</v>
      </c>
      <c r="L287" s="2" t="str">
        <f ca="1">IFERROR(__xludf.DUMMYFUNCTION("""COMPUTED_VALUE"""),"001920901310000")</f>
        <v>001920901310000</v>
      </c>
      <c r="M287" s="2" t="str">
        <f ca="1">IFERROR(__xludf.DUMMYFUNCTION("""COMPUTED_VALUE"""),"1920901310000")</f>
        <v>1920901310000</v>
      </c>
      <c r="N287" s="1" t="str">
        <f ca="1">IFERROR(__xludf.DUMMYFUNCTION("""COMPUTED_VALUE"""),"EEEFM JOSE ALVES MAIA")</f>
        <v>EEEFM JOSE ALVES MAIA</v>
      </c>
      <c r="O287" s="1"/>
      <c r="P287" s="1"/>
      <c r="Q287" s="1" t="s">
        <v>287</v>
      </c>
    </row>
    <row r="288" spans="1:17" x14ac:dyDescent="0.25">
      <c r="A288" s="2" t="str">
        <f ca="1">IFERROR(__xludf.DUMMYFUNCTION("""COMPUTED_VALUE"""),"REG DE INTEGRA  METROPOLITANA")</f>
        <v>REG DE INTEGRA  METROPOLITANA</v>
      </c>
      <c r="B288" s="1" t="str">
        <f ca="1">IFERROR(__xludf.DUMMYFUNCTION("""COMPUTED_VALUE"""),"DRE BELEM 4")</f>
        <v>DRE BELEM 4</v>
      </c>
      <c r="C288" s="2" t="str">
        <f ca="1">IFERROR(__xludf.DUMMYFUNCTION("""COMPUTED_VALUE"""),"DRE - ANANINDEUA / BELEM")</f>
        <v>DRE - ANANINDEUA / BELEM</v>
      </c>
      <c r="D288" s="2" t="str">
        <f ca="1">IFERROR(__xludf.DUMMYFUNCTION("""COMPUTED_VALUE"""),"Belem 4")</f>
        <v>Belem 4</v>
      </c>
      <c r="E288" s="2" t="str">
        <f ca="1">IFERROR(__xludf.DUMMYFUNCTION("""COMPUTED_VALUE"""),"DRE - ANANINDEUA / BELEMBelem 4")</f>
        <v>DRE - ANANINDEUA / BELEMBelem 4</v>
      </c>
      <c r="F288" s="1">
        <f ca="1">IFERROR(__xludf.DUMMYFUNCTION("""COMPUTED_VALUE"""),2)</f>
        <v>2</v>
      </c>
      <c r="G288" s="1" t="str">
        <f ca="1">IFERROR(__xludf.DUMMYFUNCTION("""COMPUTED_VALUE"""),"DRE BELEM 4")</f>
        <v>DRE BELEM 4</v>
      </c>
      <c r="H288" s="1" t="str">
        <f ca="1">IFERROR(__xludf.DUMMYFUNCTION("""COMPUTED_VALUE"""),"19A URE - BELEM")</f>
        <v>19A URE - BELEM</v>
      </c>
      <c r="I288" s="2" t="str">
        <f ca="1">IFERROR(__xludf.DUMMYFUNCTION("""COMPUTED_VALUE"""),"Unidade 4")</f>
        <v>Unidade 4</v>
      </c>
      <c r="J288" s="1" t="str">
        <f ca="1">IFERROR(__xludf.DUMMYFUNCTION("""COMPUTED_VALUE"""),"BELEM")</f>
        <v>BELEM</v>
      </c>
      <c r="K288" s="1">
        <f ca="1">IFERROR(__xludf.DUMMYFUNCTION("""COMPUTED_VALUE"""),15040534)</f>
        <v>15040534</v>
      </c>
      <c r="L288" s="2" t="str">
        <f ca="1">IFERROR(__xludf.DUMMYFUNCTION("""COMPUTED_VALUE"""),"001920901880000")</f>
        <v>001920901880000</v>
      </c>
      <c r="M288" s="2" t="str">
        <f ca="1">IFERROR(__xludf.DUMMYFUNCTION("""COMPUTED_VALUE"""),"1920901880000")</f>
        <v>1920901880000</v>
      </c>
      <c r="N288" s="1" t="str">
        <f ca="1">IFERROR(__xludf.DUMMYFUNCTION("""COMPUTED_VALUE"""),"EEEFM RODRIGUES PINAGE")</f>
        <v>EEEFM RODRIGUES PINAGE</v>
      </c>
      <c r="O288" s="1"/>
      <c r="P288" s="1"/>
      <c r="Q288" s="1" t="s">
        <v>287</v>
      </c>
    </row>
    <row r="289" spans="1:17" x14ac:dyDescent="0.25">
      <c r="A289" s="2" t="str">
        <f ca="1">IFERROR(__xludf.DUMMYFUNCTION("""COMPUTED_VALUE"""),"REG DE INTEGRA  METROPOLITANA")</f>
        <v>REG DE INTEGRA  METROPOLITANA</v>
      </c>
      <c r="B289" s="1" t="str">
        <f ca="1">IFERROR(__xludf.DUMMYFUNCTION("""COMPUTED_VALUE"""),"DRE BELEM 4")</f>
        <v>DRE BELEM 4</v>
      </c>
      <c r="C289" s="2" t="str">
        <f ca="1">IFERROR(__xludf.DUMMYFUNCTION("""COMPUTED_VALUE"""),"DRE - ANANINDEUA / BELEM")</f>
        <v>DRE - ANANINDEUA / BELEM</v>
      </c>
      <c r="D289" s="2" t="str">
        <f ca="1">IFERROR(__xludf.DUMMYFUNCTION("""COMPUTED_VALUE"""),"Belem 4")</f>
        <v>Belem 4</v>
      </c>
      <c r="E289" s="2" t="str">
        <f ca="1">IFERROR(__xludf.DUMMYFUNCTION("""COMPUTED_VALUE"""),"DRE - ANANINDEUA / BELEMBelem 4")</f>
        <v>DRE - ANANINDEUA / BELEMBelem 4</v>
      </c>
      <c r="F289" s="1">
        <f ca="1">IFERROR(__xludf.DUMMYFUNCTION("""COMPUTED_VALUE"""),2)</f>
        <v>2</v>
      </c>
      <c r="G289" s="1" t="str">
        <f ca="1">IFERROR(__xludf.DUMMYFUNCTION("""COMPUTED_VALUE"""),"DRE BELEM 4")</f>
        <v>DRE BELEM 4</v>
      </c>
      <c r="H289" s="1" t="str">
        <f ca="1">IFERROR(__xludf.DUMMYFUNCTION("""COMPUTED_VALUE"""),"19A URE - BELEM")</f>
        <v>19A URE - BELEM</v>
      </c>
      <c r="I289" s="2" t="str">
        <f ca="1">IFERROR(__xludf.DUMMYFUNCTION("""COMPUTED_VALUE"""),"Unidade 4")</f>
        <v>Unidade 4</v>
      </c>
      <c r="J289" s="1" t="str">
        <f ca="1">IFERROR(__xludf.DUMMYFUNCTION("""COMPUTED_VALUE"""),"BELEM")</f>
        <v>BELEM</v>
      </c>
      <c r="K289" s="1">
        <f ca="1">IFERROR(__xludf.DUMMYFUNCTION("""COMPUTED_VALUE"""),15039501)</f>
        <v>15039501</v>
      </c>
      <c r="L289" s="2" t="str">
        <f ca="1">IFERROR(__xludf.DUMMYFUNCTION("""COMPUTED_VALUE"""),"001920901320000")</f>
        <v>001920901320000</v>
      </c>
      <c r="M289" s="2" t="str">
        <f ca="1">IFERROR(__xludf.DUMMYFUNCTION("""COMPUTED_VALUE"""),"1920901320000")</f>
        <v>1920901320000</v>
      </c>
      <c r="N289" s="1" t="str">
        <f ca="1">IFERROR(__xludf.DUMMYFUNCTION("""COMPUTED_VALUE"""),"EEEFM VERA SIMPLICIO")</f>
        <v>EEEFM VERA SIMPLICIO</v>
      </c>
      <c r="O289" s="1"/>
      <c r="P289" s="1"/>
      <c r="Q289" s="1" t="s">
        <v>287</v>
      </c>
    </row>
    <row r="290" spans="1:17" x14ac:dyDescent="0.25">
      <c r="A290" s="2" t="str">
        <f ca="1">IFERROR(__xludf.DUMMYFUNCTION("""COMPUTED_VALUE"""),"REG DE INTEGRA  METROPOLITANA")</f>
        <v>REG DE INTEGRA  METROPOLITANA</v>
      </c>
      <c r="B290" s="1" t="str">
        <f ca="1">IFERROR(__xludf.DUMMYFUNCTION("""COMPUTED_VALUE"""),"DRE BELEM 4")</f>
        <v>DRE BELEM 4</v>
      </c>
      <c r="C290" s="2" t="str">
        <f ca="1">IFERROR(__xludf.DUMMYFUNCTION("""COMPUTED_VALUE"""),"DRE - ANANINDEUA / BELEM")</f>
        <v>DRE - ANANINDEUA / BELEM</v>
      </c>
      <c r="D290" s="2" t="str">
        <f ca="1">IFERROR(__xludf.DUMMYFUNCTION("""COMPUTED_VALUE"""),"Belem 4")</f>
        <v>Belem 4</v>
      </c>
      <c r="E290" s="2" t="str">
        <f ca="1">IFERROR(__xludf.DUMMYFUNCTION("""COMPUTED_VALUE"""),"DRE - ANANINDEUA / BELEMBelem 4")</f>
        <v>DRE - ANANINDEUA / BELEMBelem 4</v>
      </c>
      <c r="F290" s="1">
        <f ca="1">IFERROR(__xludf.DUMMYFUNCTION("""COMPUTED_VALUE"""),2)</f>
        <v>2</v>
      </c>
      <c r="G290" s="1" t="str">
        <f ca="1">IFERROR(__xludf.DUMMYFUNCTION("""COMPUTED_VALUE"""),"DRE BELEM 4")</f>
        <v>DRE BELEM 4</v>
      </c>
      <c r="H290" s="1" t="str">
        <f ca="1">IFERROR(__xludf.DUMMYFUNCTION("""COMPUTED_VALUE"""),"19A URE - BELEM")</f>
        <v>19A URE - BELEM</v>
      </c>
      <c r="I290" s="2" t="str">
        <f ca="1">IFERROR(__xludf.DUMMYFUNCTION("""COMPUTED_VALUE"""),"Unidade 4")</f>
        <v>Unidade 4</v>
      </c>
      <c r="J290" s="1" t="str">
        <f ca="1">IFERROR(__xludf.DUMMYFUNCTION("""COMPUTED_VALUE"""),"BELEM")</f>
        <v>BELEM</v>
      </c>
      <c r="K290" s="1">
        <f ca="1">IFERROR(__xludf.DUMMYFUNCTION("""COMPUTED_VALUE"""),15040267)</f>
        <v>15040267</v>
      </c>
      <c r="L290" s="2" t="str">
        <f ca="1">IFERROR(__xludf.DUMMYFUNCTION("""COMPUTED_VALUE"""),"001920902070000")</f>
        <v>001920902070000</v>
      </c>
      <c r="M290" s="2" t="str">
        <f ca="1">IFERROR(__xludf.DUMMYFUNCTION("""COMPUTED_VALUE"""),"1920902070000")</f>
        <v>1920902070000</v>
      </c>
      <c r="N290" s="1" t="str">
        <f ca="1">IFERROR(__xludf.DUMMYFUNCTION("""COMPUTED_VALUE"""),"EEEFM VILHENA ALVES")</f>
        <v>EEEFM VILHENA ALVES</v>
      </c>
      <c r="O290" s="1"/>
      <c r="P290" s="1"/>
      <c r="Q290" s="1" t="s">
        <v>287</v>
      </c>
    </row>
    <row r="291" spans="1:17" x14ac:dyDescent="0.25">
      <c r="A291" s="2" t="str">
        <f ca="1">IFERROR(__xludf.DUMMYFUNCTION("""COMPUTED_VALUE"""),"REG DE INTEGRA  METROPOLITANA")</f>
        <v>REG DE INTEGRA  METROPOLITANA</v>
      </c>
      <c r="B291" s="1" t="str">
        <f ca="1">IFERROR(__xludf.DUMMYFUNCTION("""COMPUTED_VALUE"""),"DRE BELEM 4")</f>
        <v>DRE BELEM 4</v>
      </c>
      <c r="C291" s="2" t="str">
        <f ca="1">IFERROR(__xludf.DUMMYFUNCTION("""COMPUTED_VALUE"""),"DRE - ANANINDEUA / BELEM")</f>
        <v>DRE - ANANINDEUA / BELEM</v>
      </c>
      <c r="D291" s="2" t="str">
        <f ca="1">IFERROR(__xludf.DUMMYFUNCTION("""COMPUTED_VALUE"""),"Belem 4")</f>
        <v>Belem 4</v>
      </c>
      <c r="E291" s="2" t="str">
        <f ca="1">IFERROR(__xludf.DUMMYFUNCTION("""COMPUTED_VALUE"""),"DRE - ANANINDEUA / BELEMBelem 4")</f>
        <v>DRE - ANANINDEUA / BELEMBelem 4</v>
      </c>
      <c r="F291" s="1">
        <f ca="1">IFERROR(__xludf.DUMMYFUNCTION("""COMPUTED_VALUE"""),2)</f>
        <v>2</v>
      </c>
      <c r="G291" s="1" t="str">
        <f ca="1">IFERROR(__xludf.DUMMYFUNCTION("""COMPUTED_VALUE"""),"DRE BELEM 4")</f>
        <v>DRE BELEM 4</v>
      </c>
      <c r="H291" s="1" t="str">
        <f ca="1">IFERROR(__xludf.DUMMYFUNCTION("""COMPUTED_VALUE"""),"19A URE - BELEM")</f>
        <v>19A URE - BELEM</v>
      </c>
      <c r="I291" s="2" t="str">
        <f ca="1">IFERROR(__xludf.DUMMYFUNCTION("""COMPUTED_VALUE"""),"Unidade 4")</f>
        <v>Unidade 4</v>
      </c>
      <c r="J291" s="1" t="str">
        <f ca="1">IFERROR(__xludf.DUMMYFUNCTION("""COMPUTED_VALUE"""),"BELEM")</f>
        <v>BELEM</v>
      </c>
      <c r="K291" s="1">
        <f ca="1">IFERROR(__xludf.DUMMYFUNCTION("""COMPUTED_VALUE"""),15039595)</f>
        <v>15039595</v>
      </c>
      <c r="L291" s="2" t="str">
        <f ca="1">IFERROR(__xludf.DUMMYFUNCTION("""COMPUTED_VALUE"""),"001920901210000")</f>
        <v>001920901210000</v>
      </c>
      <c r="M291" s="2" t="str">
        <f ca="1">IFERROR(__xludf.DUMMYFUNCTION("""COMPUTED_VALUE"""),"1920901210000")</f>
        <v>1920901210000</v>
      </c>
      <c r="N291" s="1" t="str">
        <f ca="1">IFERROR(__xludf.DUMMYFUNCTION("""COMPUTED_VALUE"""),"EEEIF BARAO DO RIO BRANCO")</f>
        <v>EEEIF BARAO DO RIO BRANCO</v>
      </c>
      <c r="O291" s="1"/>
      <c r="P291" s="1"/>
      <c r="Q291" s="1" t="s">
        <v>287</v>
      </c>
    </row>
    <row r="292" spans="1:17" x14ac:dyDescent="0.25">
      <c r="A292" s="2" t="str">
        <f ca="1">IFERROR(__xludf.DUMMYFUNCTION("""COMPUTED_VALUE"""),"REG DE INTEGRA  METROPOLITANA")</f>
        <v>REG DE INTEGRA  METROPOLITANA</v>
      </c>
      <c r="B292" s="1" t="str">
        <f ca="1">IFERROR(__xludf.DUMMYFUNCTION("""COMPUTED_VALUE"""),"DRE BELEM 4")</f>
        <v>DRE BELEM 4</v>
      </c>
      <c r="C292" s="2" t="str">
        <f ca="1">IFERROR(__xludf.DUMMYFUNCTION("""COMPUTED_VALUE"""),"DRE - ANANINDEUA / BELEM")</f>
        <v>DRE - ANANINDEUA / BELEM</v>
      </c>
      <c r="D292" s="2" t="str">
        <f ca="1">IFERROR(__xludf.DUMMYFUNCTION("""COMPUTED_VALUE"""),"Belem 4")</f>
        <v>Belem 4</v>
      </c>
      <c r="E292" s="2" t="str">
        <f ca="1">IFERROR(__xludf.DUMMYFUNCTION("""COMPUTED_VALUE"""),"DRE - ANANINDEUA / BELEMBelem 4")</f>
        <v>DRE - ANANINDEUA / BELEMBelem 4</v>
      </c>
      <c r="F292" s="1">
        <f ca="1">IFERROR(__xludf.DUMMYFUNCTION("""COMPUTED_VALUE"""),2)</f>
        <v>2</v>
      </c>
      <c r="G292" s="1" t="str">
        <f ca="1">IFERROR(__xludf.DUMMYFUNCTION("""COMPUTED_VALUE"""),"DRE BELEM 4")</f>
        <v>DRE BELEM 4</v>
      </c>
      <c r="H292" s="1" t="str">
        <f ca="1">IFERROR(__xludf.DUMMYFUNCTION("""COMPUTED_VALUE"""),"19A URE - BELEM")</f>
        <v>19A URE - BELEM</v>
      </c>
      <c r="I292" s="2" t="str">
        <f ca="1">IFERROR(__xludf.DUMMYFUNCTION("""COMPUTED_VALUE"""),"Unidade 4")</f>
        <v>Unidade 4</v>
      </c>
      <c r="J292" s="1" t="str">
        <f ca="1">IFERROR(__xludf.DUMMYFUNCTION("""COMPUTED_VALUE"""),"BELEM")</f>
        <v>BELEM</v>
      </c>
      <c r="K292" s="1">
        <f ca="1">IFERROR(__xludf.DUMMYFUNCTION("""COMPUTED_VALUE"""),15040097)</f>
        <v>15040097</v>
      </c>
      <c r="L292" s="2" t="str">
        <f ca="1">IFERROR(__xludf.DUMMYFUNCTION("""COMPUTED_VALUE"""),"001920901220000")</f>
        <v>001920901220000</v>
      </c>
      <c r="M292" s="2" t="str">
        <f ca="1">IFERROR(__xludf.DUMMYFUNCTION("""COMPUTED_VALUE"""),"1920901220000")</f>
        <v>1920901220000</v>
      </c>
      <c r="N292" s="1" t="str">
        <f ca="1">IFERROR(__xludf.DUMMYFUNCTION("""COMPUTED_VALUE"""),"EEEIF PINTO MARQUES")</f>
        <v>EEEIF PINTO MARQUES</v>
      </c>
      <c r="O292" s="1"/>
      <c r="P292" s="1"/>
      <c r="Q292" s="1" t="s">
        <v>287</v>
      </c>
    </row>
    <row r="293" spans="1:17" x14ac:dyDescent="0.25">
      <c r="A293" s="2" t="str">
        <f ca="1">IFERROR(__xludf.DUMMYFUNCTION("""COMPUTED_VALUE"""),"REG DE INTEGRA  METROPOLITANA")</f>
        <v>REG DE INTEGRA  METROPOLITANA</v>
      </c>
      <c r="B293" s="1" t="str">
        <f ca="1">IFERROR(__xludf.DUMMYFUNCTION("""COMPUTED_VALUE"""),"DRE BELEM 4")</f>
        <v>DRE BELEM 4</v>
      </c>
      <c r="C293" s="2" t="str">
        <f ca="1">IFERROR(__xludf.DUMMYFUNCTION("""COMPUTED_VALUE"""),"DRE - ANANINDEUA / BELEM")</f>
        <v>DRE - ANANINDEUA / BELEM</v>
      </c>
      <c r="D293" s="2" t="str">
        <f ca="1">IFERROR(__xludf.DUMMYFUNCTION("""COMPUTED_VALUE"""),"Belem 4")</f>
        <v>Belem 4</v>
      </c>
      <c r="E293" s="2" t="str">
        <f ca="1">IFERROR(__xludf.DUMMYFUNCTION("""COMPUTED_VALUE"""),"DRE - ANANINDEUA / BELEMBelem 4")</f>
        <v>DRE - ANANINDEUA / BELEMBelem 4</v>
      </c>
      <c r="F293" s="1">
        <f ca="1">IFERROR(__xludf.DUMMYFUNCTION("""COMPUTED_VALUE"""),2)</f>
        <v>2</v>
      </c>
      <c r="G293" s="1" t="str">
        <f ca="1">IFERROR(__xludf.DUMMYFUNCTION("""COMPUTED_VALUE"""),"DRE BELEM 4")</f>
        <v>DRE BELEM 4</v>
      </c>
      <c r="H293" s="1" t="str">
        <f ca="1">IFERROR(__xludf.DUMMYFUNCTION("""COMPUTED_VALUE"""),"19A URE - BELEM")</f>
        <v>19A URE - BELEM</v>
      </c>
      <c r="I293" s="2" t="str">
        <f ca="1">IFERROR(__xludf.DUMMYFUNCTION("""COMPUTED_VALUE"""),"Unidade 4")</f>
        <v>Unidade 4</v>
      </c>
      <c r="J293" s="1" t="str">
        <f ca="1">IFERROR(__xludf.DUMMYFUNCTION("""COMPUTED_VALUE"""),"BELEM")</f>
        <v>BELEM</v>
      </c>
      <c r="K293" s="1">
        <f ca="1">IFERROR(__xludf.DUMMYFUNCTION("""COMPUTED_VALUE"""),15577791)</f>
        <v>15577791</v>
      </c>
      <c r="L293" s="2" t="str">
        <f ca="1">IFERROR(__xludf.DUMMYFUNCTION("""COMPUTED_VALUE"""),"001920936420000")</f>
        <v>001920936420000</v>
      </c>
      <c r="M293" s="2" t="str">
        <f ca="1">IFERROR(__xludf.DUMMYFUNCTION("""COMPUTED_VALUE"""),"1920936420000")</f>
        <v>1920936420000</v>
      </c>
      <c r="N293" s="1" t="str">
        <f ca="1">IFERROR(__xludf.DUMMYFUNCTION("""COMPUTED_VALUE"""),"EEEM MAGALHAES BARATA")</f>
        <v>EEEM MAGALHAES BARATA</v>
      </c>
      <c r="O293" s="1"/>
      <c r="P293" s="1"/>
      <c r="Q293" s="1" t="s">
        <v>287</v>
      </c>
    </row>
    <row r="294" spans="1:17" x14ac:dyDescent="0.25">
      <c r="A294" s="2" t="str">
        <f ca="1">IFERROR(__xludf.DUMMYFUNCTION("""COMPUTED_VALUE"""),"REG DE INTEGRA  METROPOLITANA")</f>
        <v>REG DE INTEGRA  METROPOLITANA</v>
      </c>
      <c r="B294" s="1" t="str">
        <f ca="1">IFERROR(__xludf.DUMMYFUNCTION("""COMPUTED_VALUE"""),"DRE BELEM 4")</f>
        <v>DRE BELEM 4</v>
      </c>
      <c r="C294" s="2" t="str">
        <f ca="1">IFERROR(__xludf.DUMMYFUNCTION("""COMPUTED_VALUE"""),"DRE - ANANINDEUA / BELEM")</f>
        <v>DRE - ANANINDEUA / BELEM</v>
      </c>
      <c r="D294" s="2" t="str">
        <f ca="1">IFERROR(__xludf.DUMMYFUNCTION("""COMPUTED_VALUE"""),"Belem 4")</f>
        <v>Belem 4</v>
      </c>
      <c r="E294" s="2" t="str">
        <f ca="1">IFERROR(__xludf.DUMMYFUNCTION("""COMPUTED_VALUE"""),"DRE - ANANINDEUA / BELEMBelem 4")</f>
        <v>DRE - ANANINDEUA / BELEMBelem 4</v>
      </c>
      <c r="F294" s="1">
        <f ca="1">IFERROR(__xludf.DUMMYFUNCTION("""COMPUTED_VALUE"""),2)</f>
        <v>2</v>
      </c>
      <c r="G294" s="1" t="str">
        <f ca="1">IFERROR(__xludf.DUMMYFUNCTION("""COMPUTED_VALUE"""),"DRE BELEM 4")</f>
        <v>DRE BELEM 4</v>
      </c>
      <c r="H294" s="1" t="str">
        <f ca="1">IFERROR(__xludf.DUMMYFUNCTION("""COMPUTED_VALUE"""),"19A URE - BELEM")</f>
        <v>19A URE - BELEM</v>
      </c>
      <c r="I294" s="2" t="str">
        <f ca="1">IFERROR(__xludf.DUMMYFUNCTION("""COMPUTED_VALUE"""),"Unidade 4")</f>
        <v>Unidade 4</v>
      </c>
      <c r="J294" s="1" t="str">
        <f ca="1">IFERROR(__xludf.DUMMYFUNCTION("""COMPUTED_VALUE"""),"BELEM")</f>
        <v>BELEM</v>
      </c>
      <c r="K294" s="1"/>
      <c r="L294" s="2" t="str">
        <f ca="1">IFERROR(__xludf.DUMMYFUNCTION("""COMPUTED_VALUE"""),"001920927050000")</f>
        <v>001920927050000</v>
      </c>
      <c r="M294" s="2" t="str">
        <f ca="1">IFERROR(__xludf.DUMMYFUNCTION("""COMPUTED_VALUE"""),"1920927050000")</f>
        <v>1920927050000</v>
      </c>
      <c r="N294" s="2" t="str">
        <f ca="1">IFERROR(__xludf.DUMMYFUNCTION("""COMPUTED_VALUE"""),"EE INSTITUTO CARLOS GOMES")</f>
        <v>EE INSTITUTO CARLOS GOMES</v>
      </c>
      <c r="O294" s="1"/>
      <c r="P294" s="1"/>
      <c r="Q294" s="1" t="s">
        <v>287</v>
      </c>
    </row>
    <row r="295" spans="1:17" x14ac:dyDescent="0.25">
      <c r="A295" s="2" t="str">
        <f ca="1">IFERROR(__xludf.DUMMYFUNCTION("""COMPUTED_VALUE"""),"REG DE INTEGRA  METROPOLITANA")</f>
        <v>REG DE INTEGRA  METROPOLITANA</v>
      </c>
      <c r="B295" s="1" t="str">
        <f ca="1">IFERROR(__xludf.DUMMYFUNCTION("""COMPUTED_VALUE"""),"DRE BELEM 4")</f>
        <v>DRE BELEM 4</v>
      </c>
      <c r="C295" s="2" t="str">
        <f ca="1">IFERROR(__xludf.DUMMYFUNCTION("""COMPUTED_VALUE"""),"DRE - ANANINDEUA / BELEM")</f>
        <v>DRE - ANANINDEUA / BELEM</v>
      </c>
      <c r="D295" s="2" t="str">
        <f ca="1">IFERROR(__xludf.DUMMYFUNCTION("""COMPUTED_VALUE"""),"Belem 4")</f>
        <v>Belem 4</v>
      </c>
      <c r="E295" s="2" t="str">
        <f ca="1">IFERROR(__xludf.DUMMYFUNCTION("""COMPUTED_VALUE"""),"DRE - ANANINDEUA / BELEMBelem 4")</f>
        <v>DRE - ANANINDEUA / BELEMBelem 4</v>
      </c>
      <c r="F295" s="1">
        <f ca="1">IFERROR(__xludf.DUMMYFUNCTION("""COMPUTED_VALUE"""),2)</f>
        <v>2</v>
      </c>
      <c r="G295" s="1" t="str">
        <f ca="1">IFERROR(__xludf.DUMMYFUNCTION("""COMPUTED_VALUE"""),"DRE BELEM 4")</f>
        <v>DRE BELEM 4</v>
      </c>
      <c r="H295" s="1" t="str">
        <f ca="1">IFERROR(__xludf.DUMMYFUNCTION("""COMPUTED_VALUE"""),"19A URE - BELEM")</f>
        <v>19A URE - BELEM</v>
      </c>
      <c r="I295" s="2" t="str">
        <f ca="1">IFERROR(__xludf.DUMMYFUNCTION("""COMPUTED_VALUE"""),"NÃO ENCONTRADO (SERA EXTINTA)")</f>
        <v>NÃO ENCONTRADO (SERA EXTINTA)</v>
      </c>
      <c r="J295" s="1" t="str">
        <f ca="1">IFERROR(__xludf.DUMMYFUNCTION("""COMPUTED_VALUE"""),"BELEM")</f>
        <v>BELEM</v>
      </c>
      <c r="K295" s="1">
        <f ca="1">IFERROR(__xludf.DUMMYFUNCTION("""COMPUTED_VALUE"""),15040372)</f>
        <v>15040372</v>
      </c>
      <c r="L295" s="2" t="str">
        <f ca="1">IFERROR(__xludf.DUMMYFUNCTION("""COMPUTED_VALUE"""),"001920902210000")</f>
        <v>001920902210000</v>
      </c>
      <c r="M295" s="2" t="str">
        <f ca="1">IFERROR(__xludf.DUMMYFUNCTION("""COMPUTED_VALUE"""),"1920902210000")</f>
        <v>1920902210000</v>
      </c>
      <c r="N295" s="1" t="str">
        <f ca="1">IFERROR(__xludf.DUMMYFUNCTION("""COMPUTED_VALUE"""),"EEEM PROF ORLANDO BITAR")</f>
        <v>EEEM PROF ORLANDO BITAR</v>
      </c>
      <c r="O295" s="1"/>
      <c r="P295" s="1"/>
      <c r="Q295" s="1" t="s">
        <v>287</v>
      </c>
    </row>
    <row r="296" spans="1:17" x14ac:dyDescent="0.25">
      <c r="A296" s="2" t="str">
        <f ca="1">IFERROR(__xludf.DUMMYFUNCTION("""COMPUTED_VALUE"""),"REG DE INTEGRA  METROPOLITANA")</f>
        <v>REG DE INTEGRA  METROPOLITANA</v>
      </c>
      <c r="B296" s="1" t="str">
        <f ca="1">IFERROR(__xludf.DUMMYFUNCTION("""COMPUTED_VALUE"""),"DRE BELEM 4")</f>
        <v>DRE BELEM 4</v>
      </c>
      <c r="C296" s="2" t="str">
        <f ca="1">IFERROR(__xludf.DUMMYFUNCTION("""COMPUTED_VALUE"""),"DRE - ANANINDEUA / BELEM")</f>
        <v>DRE - ANANINDEUA / BELEM</v>
      </c>
      <c r="D296" s="2" t="str">
        <f ca="1">IFERROR(__xludf.DUMMYFUNCTION("""COMPUTED_VALUE"""),"Belem 4")</f>
        <v>Belem 4</v>
      </c>
      <c r="E296" s="2" t="str">
        <f ca="1">IFERROR(__xludf.DUMMYFUNCTION("""COMPUTED_VALUE"""),"DRE - ANANINDEUA / BELEMBelem 4")</f>
        <v>DRE - ANANINDEUA / BELEMBelem 4</v>
      </c>
      <c r="F296" s="1">
        <f ca="1">IFERROR(__xludf.DUMMYFUNCTION("""COMPUTED_VALUE"""),2)</f>
        <v>2</v>
      </c>
      <c r="G296" s="1" t="str">
        <f ca="1">IFERROR(__xludf.DUMMYFUNCTION("""COMPUTED_VALUE"""),"DRE BELEM 4")</f>
        <v>DRE BELEM 4</v>
      </c>
      <c r="H296" s="1" t="str">
        <f ca="1">IFERROR(__xludf.DUMMYFUNCTION("""COMPUTED_VALUE"""),"19A URE - BELEM")</f>
        <v>19A URE - BELEM</v>
      </c>
      <c r="I296" s="2" t="str">
        <f ca="1">IFERROR(__xludf.DUMMYFUNCTION("""COMPUTED_VALUE"""),"Unidade 4")</f>
        <v>Unidade 4</v>
      </c>
      <c r="J296" s="1" t="str">
        <f ca="1">IFERROR(__xludf.DUMMYFUNCTION("""COMPUTED_VALUE"""),"BELEM")</f>
        <v>BELEM</v>
      </c>
      <c r="K296" s="1">
        <f ca="1">IFERROR(__xludf.DUMMYFUNCTION("""COMPUTED_VALUE"""),15038955)</f>
        <v>15038955</v>
      </c>
      <c r="L296" s="2" t="str">
        <f ca="1">IFERROR(__xludf.DUMMYFUNCTION("""COMPUTED_VALUE"""),"001920931270000")</f>
        <v>001920931270000</v>
      </c>
      <c r="M296" s="2" t="str">
        <f ca="1">IFERROR(__xludf.DUMMYFUNCTION("""COMPUTED_VALUE"""),"1920931270000")</f>
        <v>1920931270000</v>
      </c>
      <c r="N296" s="1" t="str">
        <f ca="1">IFERROR(__xludf.DUMMYFUNCTION("""COMPUTED_VALUE"""),"ERC ASSOCIACAO DE PAIS E AMIGOS DOS EXCEPCIONAIS - APAE")</f>
        <v>ERC ASSOCIACAO DE PAIS E AMIGOS DOS EXCEPCIONAIS - APAE</v>
      </c>
      <c r="O296" s="1"/>
      <c r="P296" s="1"/>
      <c r="Q296" s="1" t="s">
        <v>287</v>
      </c>
    </row>
    <row r="297" spans="1:17" x14ac:dyDescent="0.25">
      <c r="A297" s="2" t="str">
        <f ca="1">IFERROR(__xludf.DUMMYFUNCTION("""COMPUTED_VALUE"""),"REG DE INTEGRA  METROPOLITANA")</f>
        <v>REG DE INTEGRA  METROPOLITANA</v>
      </c>
      <c r="B297" s="1" t="str">
        <f ca="1">IFERROR(__xludf.DUMMYFUNCTION("""COMPUTED_VALUE"""),"DRE BELEM 4")</f>
        <v>DRE BELEM 4</v>
      </c>
      <c r="C297" s="2" t="str">
        <f ca="1">IFERROR(__xludf.DUMMYFUNCTION("""COMPUTED_VALUE"""),"DRE - ANANINDEUA / BELEM")</f>
        <v>DRE - ANANINDEUA / BELEM</v>
      </c>
      <c r="D297" s="2" t="str">
        <f ca="1">IFERROR(__xludf.DUMMYFUNCTION("""COMPUTED_VALUE"""),"Belem 4")</f>
        <v>Belem 4</v>
      </c>
      <c r="E297" s="2" t="str">
        <f ca="1">IFERROR(__xludf.DUMMYFUNCTION("""COMPUTED_VALUE"""),"DRE - ANANINDEUA / BELEMBelem 4")</f>
        <v>DRE - ANANINDEUA / BELEMBelem 4</v>
      </c>
      <c r="F297" s="1">
        <f ca="1">IFERROR(__xludf.DUMMYFUNCTION("""COMPUTED_VALUE"""),2)</f>
        <v>2</v>
      </c>
      <c r="G297" s="1" t="str">
        <f ca="1">IFERROR(__xludf.DUMMYFUNCTION("""COMPUTED_VALUE"""),"DRE BELEM 4")</f>
        <v>DRE BELEM 4</v>
      </c>
      <c r="H297" s="1" t="str">
        <f ca="1">IFERROR(__xludf.DUMMYFUNCTION("""COMPUTED_VALUE"""),"19A URE - BELEM")</f>
        <v>19A URE - BELEM</v>
      </c>
      <c r="I297" s="2" t="str">
        <f ca="1">IFERROR(__xludf.DUMMYFUNCTION("""COMPUTED_VALUE"""),"Unidade 4")</f>
        <v>Unidade 4</v>
      </c>
      <c r="J297" s="1" t="str">
        <f ca="1">IFERROR(__xludf.DUMMYFUNCTION("""COMPUTED_VALUE"""),"BELEM")</f>
        <v>BELEM</v>
      </c>
      <c r="K297" s="1">
        <f ca="1">IFERROR(__xludf.DUMMYFUNCTION("""COMPUTED_VALUE"""),15149048)</f>
        <v>15149048</v>
      </c>
      <c r="L297" s="2" t="str">
        <f ca="1">IFERROR(__xludf.DUMMYFUNCTION("""COMPUTED_VALUE"""),"001920932520000")</f>
        <v>001920932520000</v>
      </c>
      <c r="M297" s="2" t="str">
        <f ca="1">IFERROR(__xludf.DUMMYFUNCTION("""COMPUTED_VALUE"""),"1920932520000")</f>
        <v>1920932520000</v>
      </c>
      <c r="N297" s="1" t="str">
        <f ca="1">IFERROR(__xludf.DUMMYFUNCTION("""COMPUTED_VALUE"""),"ERC CENTRO DE EDUCACAO RONALDO MIRANDA - CERON")</f>
        <v>ERC CENTRO DE EDUCACAO RONALDO MIRANDA - CERON</v>
      </c>
      <c r="O297" s="1"/>
      <c r="P297" s="1"/>
      <c r="Q297" s="1" t="s">
        <v>287</v>
      </c>
    </row>
    <row r="298" spans="1:17" x14ac:dyDescent="0.25">
      <c r="A298" s="2" t="str">
        <f ca="1">IFERROR(__xludf.DUMMYFUNCTION("""COMPUTED_VALUE"""),"REG DE INTEGRA  METROPOLITANA")</f>
        <v>REG DE INTEGRA  METROPOLITANA</v>
      </c>
      <c r="B298" s="1" t="str">
        <f ca="1">IFERROR(__xludf.DUMMYFUNCTION("""COMPUTED_VALUE"""),"DRE BELEM 4")</f>
        <v>DRE BELEM 4</v>
      </c>
      <c r="C298" s="2" t="str">
        <f ca="1">IFERROR(__xludf.DUMMYFUNCTION("""COMPUTED_VALUE"""),"DRE - ANANINDEUA / BELEM")</f>
        <v>DRE - ANANINDEUA / BELEM</v>
      </c>
      <c r="D298" s="2" t="str">
        <f ca="1">IFERROR(__xludf.DUMMYFUNCTION("""COMPUTED_VALUE"""),"Belem 4")</f>
        <v>Belem 4</v>
      </c>
      <c r="E298" s="2" t="str">
        <f ca="1">IFERROR(__xludf.DUMMYFUNCTION("""COMPUTED_VALUE"""),"DRE - ANANINDEUA / BELEMBelem 4")</f>
        <v>DRE - ANANINDEUA / BELEMBelem 4</v>
      </c>
      <c r="F298" s="1">
        <f ca="1">IFERROR(__xludf.DUMMYFUNCTION("""COMPUTED_VALUE"""),2)</f>
        <v>2</v>
      </c>
      <c r="G298" s="1" t="str">
        <f ca="1">IFERROR(__xludf.DUMMYFUNCTION("""COMPUTED_VALUE"""),"DRE BELEM 4")</f>
        <v>DRE BELEM 4</v>
      </c>
      <c r="H298" s="1" t="str">
        <f ca="1">IFERROR(__xludf.DUMMYFUNCTION("""COMPUTED_VALUE"""),"19A URE - BELEM")</f>
        <v>19A URE - BELEM</v>
      </c>
      <c r="I298" s="2" t="str">
        <f ca="1">IFERROR(__xludf.DUMMYFUNCTION("""COMPUTED_VALUE"""),"Unidade 4")</f>
        <v>Unidade 4</v>
      </c>
      <c r="J298" s="1" t="str">
        <f ca="1">IFERROR(__xludf.DUMMYFUNCTION("""COMPUTED_VALUE"""),"BELEM")</f>
        <v>BELEM</v>
      </c>
      <c r="K298" s="1">
        <f ca="1">IFERROR(__xludf.DUMMYFUNCTION("""COMPUTED_VALUE"""),15041743)</f>
        <v>15041743</v>
      </c>
      <c r="L298" s="2" t="str">
        <f ca="1">IFERROR(__xludf.DUMMYFUNCTION("""COMPUTED_VALUE"""),"001920931230000")</f>
        <v>001920931230000</v>
      </c>
      <c r="M298" s="2" t="str">
        <f ca="1">IFERROR(__xludf.DUMMYFUNCTION("""COMPUTED_VALUE"""),"1920931230000")</f>
        <v>1920931230000</v>
      </c>
      <c r="N298" s="1" t="str">
        <f ca="1">IFERROR(__xludf.DUMMYFUNCTION("""COMPUTED_VALUE"""),"ERC INSTITUTO FELIPE SMALDONE")</f>
        <v>ERC INSTITUTO FELIPE SMALDONE</v>
      </c>
      <c r="O298" s="1"/>
      <c r="P298" s="1"/>
      <c r="Q298" s="1" t="s">
        <v>287</v>
      </c>
    </row>
    <row r="299" spans="1:17" x14ac:dyDescent="0.25">
      <c r="A299" s="2" t="str">
        <f ca="1">IFERROR(__xludf.DUMMYFUNCTION("""COMPUTED_VALUE"""),"REG DE INTEGRA  METROPOLITANA")</f>
        <v>REG DE INTEGRA  METROPOLITANA</v>
      </c>
      <c r="B299" s="1" t="str">
        <f ca="1">IFERROR(__xludf.DUMMYFUNCTION("""COMPUTED_VALUE"""),"DRE BELEM 4")</f>
        <v>DRE BELEM 4</v>
      </c>
      <c r="C299" s="2" t="str">
        <f ca="1">IFERROR(__xludf.DUMMYFUNCTION("""COMPUTED_VALUE"""),"DRE - ANANINDEUA / BELEM")</f>
        <v>DRE - ANANINDEUA / BELEM</v>
      </c>
      <c r="D299" s="2" t="str">
        <f ca="1">IFERROR(__xludf.DUMMYFUNCTION("""COMPUTED_VALUE"""),"Belem 4")</f>
        <v>Belem 4</v>
      </c>
      <c r="E299" s="2" t="str">
        <f ca="1">IFERROR(__xludf.DUMMYFUNCTION("""COMPUTED_VALUE"""),"DRE - ANANINDEUA / BELEMBelem 4")</f>
        <v>DRE - ANANINDEUA / BELEMBelem 4</v>
      </c>
      <c r="F299" s="1">
        <f ca="1">IFERROR(__xludf.DUMMYFUNCTION("""COMPUTED_VALUE"""),2)</f>
        <v>2</v>
      </c>
      <c r="G299" s="1" t="str">
        <f ca="1">IFERROR(__xludf.DUMMYFUNCTION("""COMPUTED_VALUE"""),"DRE BELEM 4")</f>
        <v>DRE BELEM 4</v>
      </c>
      <c r="H299" s="1" t="str">
        <f ca="1">IFERROR(__xludf.DUMMYFUNCTION("""COMPUTED_VALUE"""),"19A URE - BELEM")</f>
        <v>19A URE - BELEM</v>
      </c>
      <c r="I299" s="2" t="str">
        <f ca="1">IFERROR(__xludf.DUMMYFUNCTION("""COMPUTED_VALUE"""),"Unidade 4")</f>
        <v>Unidade 4</v>
      </c>
      <c r="J299" s="1" t="str">
        <f ca="1">IFERROR(__xludf.DUMMYFUNCTION("""COMPUTED_VALUE"""),"BELEM")</f>
        <v>BELEM</v>
      </c>
      <c r="K299" s="1">
        <f ca="1">IFERROR(__xludf.DUMMYFUNCTION("""COMPUTED_VALUE"""),15041450)</f>
        <v>15041450</v>
      </c>
      <c r="L299" s="2" t="str">
        <f ca="1">IFERROR(__xludf.DUMMYFUNCTION("""COMPUTED_VALUE"""),"001920902280000")</f>
        <v>001920902280000</v>
      </c>
      <c r="M299" s="2" t="str">
        <f ca="1">IFERROR(__xludf.DUMMYFUNCTION("""COMPUTED_VALUE"""),"1920902280000")</f>
        <v>1920902280000</v>
      </c>
      <c r="N299" s="1" t="str">
        <f ca="1">IFERROR(__xludf.DUMMYFUNCTION("""COMPUTED_VALUE"""),"ESCOLA TECNICA ESTADUAL MAGALHAES BARATA")</f>
        <v>ESCOLA TECNICA ESTADUAL MAGALHAES BARATA</v>
      </c>
      <c r="O299" s="1"/>
      <c r="P299" s="1"/>
      <c r="Q299" s="1" t="s">
        <v>287</v>
      </c>
    </row>
    <row r="300" spans="1:17" x14ac:dyDescent="0.25">
      <c r="A300" s="2" t="str">
        <f ca="1">IFERROR(__xludf.DUMMYFUNCTION("""COMPUTED_VALUE"""),"REG DE INTEGRA  METROPOLITANA")</f>
        <v>REG DE INTEGRA  METROPOLITANA</v>
      </c>
      <c r="B300" s="1" t="str">
        <f ca="1">IFERROR(__xludf.DUMMYFUNCTION("""COMPUTED_VALUE"""),"DRE BELEM 5")</f>
        <v>DRE BELEM 5</v>
      </c>
      <c r="C300" s="2" t="str">
        <f ca="1">IFERROR(__xludf.DUMMYFUNCTION("""COMPUTED_VALUE"""),"DRE - ANANINDEUA / BELEM")</f>
        <v>DRE - ANANINDEUA / BELEM</v>
      </c>
      <c r="D300" s="2" t="str">
        <f ca="1">IFERROR(__xludf.DUMMYFUNCTION("""COMPUTED_VALUE"""),"Belem 5")</f>
        <v>Belem 5</v>
      </c>
      <c r="E300" s="2" t="str">
        <f ca="1">IFERROR(__xludf.DUMMYFUNCTION("""COMPUTED_VALUE"""),"DRE - ANANINDEUA / BELEMBelem 5")</f>
        <v>DRE - ANANINDEUA / BELEMBelem 5</v>
      </c>
      <c r="F300" s="1">
        <f ca="1">IFERROR(__xludf.DUMMYFUNCTION("""COMPUTED_VALUE"""),1)</f>
        <v>1</v>
      </c>
      <c r="G300" s="1" t="str">
        <f ca="1">IFERROR(__xludf.DUMMYFUNCTION("""COMPUTED_VALUE"""),"DRE BELEM 5")</f>
        <v>DRE BELEM 5</v>
      </c>
      <c r="H300" s="1" t="str">
        <f ca="1">IFERROR(__xludf.DUMMYFUNCTION("""COMPUTED_VALUE"""),"19A URE - BELEM")</f>
        <v>19A URE - BELEM</v>
      </c>
      <c r="I300" s="2" t="str">
        <f ca="1">IFERROR(__xludf.DUMMYFUNCTION("""COMPUTED_VALUE"""),"Unidade 5")</f>
        <v>Unidade 5</v>
      </c>
      <c r="J300" s="1" t="str">
        <f ca="1">IFERROR(__xludf.DUMMYFUNCTION("""COMPUTED_VALUE"""),"BELEM")</f>
        <v>BELEM</v>
      </c>
      <c r="K300" s="1">
        <f ca="1">IFERROR(__xludf.DUMMYFUNCTION("""COMPUTED_VALUE"""),15540405)</f>
        <v>15540405</v>
      </c>
      <c r="L300" s="2" t="str">
        <f ca="1">IFERROR(__xludf.DUMMYFUNCTION("""COMPUTED_VALUE"""),"001920930440000")</f>
        <v>001920930440000</v>
      </c>
      <c r="M300" s="2" t="str">
        <f ca="1">IFERROR(__xludf.DUMMYFUNCTION("""COMPUTED_VALUE"""),"1920930440000")</f>
        <v>1920930440000</v>
      </c>
      <c r="N300" s="1" t="str">
        <f ca="1">IFERROR(__xludf.DUMMYFUNCTION("""COMPUTED_VALUE"""),"EE DE ENSINO TECNICO DE NIVEL MEDIO  DR. CELSO MALCHER")</f>
        <v>EE DE ENSINO TECNICO DE NIVEL MEDIO  DR. CELSO MALCHER</v>
      </c>
      <c r="O300" s="1"/>
      <c r="P300" s="1"/>
      <c r="Q300" s="1" t="s">
        <v>310</v>
      </c>
    </row>
    <row r="301" spans="1:17" x14ac:dyDescent="0.25">
      <c r="A301" s="2" t="str">
        <f ca="1">IFERROR(__xludf.DUMMYFUNCTION("""COMPUTED_VALUE"""),"REG DE INTEGRA  METROPOLITANA")</f>
        <v>REG DE INTEGRA  METROPOLITANA</v>
      </c>
      <c r="B301" s="1" t="str">
        <f ca="1">IFERROR(__xludf.DUMMYFUNCTION("""COMPUTED_VALUE"""),"DRE BELEM 5")</f>
        <v>DRE BELEM 5</v>
      </c>
      <c r="C301" s="2" t="str">
        <f ca="1">IFERROR(__xludf.DUMMYFUNCTION("""COMPUTED_VALUE"""),"DRE - ANANINDEUA / BELEM")</f>
        <v>DRE - ANANINDEUA / BELEM</v>
      </c>
      <c r="D301" s="2" t="str">
        <f ca="1">IFERROR(__xludf.DUMMYFUNCTION("""COMPUTED_VALUE"""),"Belem 5")</f>
        <v>Belem 5</v>
      </c>
      <c r="E301" s="2" t="str">
        <f ca="1">IFERROR(__xludf.DUMMYFUNCTION("""COMPUTED_VALUE"""),"DRE - ANANINDEUA / BELEMBelem 5")</f>
        <v>DRE - ANANINDEUA / BELEMBelem 5</v>
      </c>
      <c r="F301" s="1">
        <f ca="1">IFERROR(__xludf.DUMMYFUNCTION("""COMPUTED_VALUE"""),1)</f>
        <v>1</v>
      </c>
      <c r="G301" s="1" t="str">
        <f ca="1">IFERROR(__xludf.DUMMYFUNCTION("""COMPUTED_VALUE"""),"DRE BELEM 5")</f>
        <v>DRE BELEM 5</v>
      </c>
      <c r="H301" s="1" t="str">
        <f ca="1">IFERROR(__xludf.DUMMYFUNCTION("""COMPUTED_VALUE"""),"19A URE - BELEM")</f>
        <v>19A URE - BELEM</v>
      </c>
      <c r="I301" s="2" t="str">
        <f ca="1">IFERROR(__xludf.DUMMYFUNCTION("""COMPUTED_VALUE"""),"Unidade 5")</f>
        <v>Unidade 5</v>
      </c>
      <c r="J301" s="1" t="str">
        <f ca="1">IFERROR(__xludf.DUMMYFUNCTION("""COMPUTED_VALUE"""),"BELEM")</f>
        <v>BELEM</v>
      </c>
      <c r="K301" s="1">
        <f ca="1">IFERROR(__xludf.DUMMYFUNCTION("""COMPUTED_VALUE"""),15039722)</f>
        <v>15039722</v>
      </c>
      <c r="L301" s="2" t="str">
        <f ca="1">IFERROR(__xludf.DUMMYFUNCTION("""COMPUTED_VALUE"""),"001920901800000")</f>
        <v>001920901800000</v>
      </c>
      <c r="M301" s="2" t="str">
        <f ca="1">IFERROR(__xludf.DUMMYFUNCTION("""COMPUTED_VALUE"""),"1920901800000")</f>
        <v>1920901800000</v>
      </c>
      <c r="N301" s="1" t="str">
        <f ca="1">IFERROR(__xludf.DUMMYFUNCTION("""COMPUTED_VALUE"""),"EEEF DOMINGOS ACATAUASSU NUNES")</f>
        <v>EEEF DOMINGOS ACATAUASSU NUNES</v>
      </c>
      <c r="O301" s="1"/>
      <c r="P301" s="1"/>
      <c r="Q301" s="1" t="s">
        <v>310</v>
      </c>
    </row>
    <row r="302" spans="1:17" x14ac:dyDescent="0.25">
      <c r="A302" s="2" t="str">
        <f ca="1">IFERROR(__xludf.DUMMYFUNCTION("""COMPUTED_VALUE"""),"REG DE INTEGRA  METROPOLITANA")</f>
        <v>REG DE INTEGRA  METROPOLITANA</v>
      </c>
      <c r="B302" s="1" t="str">
        <f ca="1">IFERROR(__xludf.DUMMYFUNCTION("""COMPUTED_VALUE"""),"DRE BELEM 5")</f>
        <v>DRE BELEM 5</v>
      </c>
      <c r="C302" s="2" t="str">
        <f ca="1">IFERROR(__xludf.DUMMYFUNCTION("""COMPUTED_VALUE"""),"DRE - ANANINDEUA / BELEM")</f>
        <v>DRE - ANANINDEUA / BELEM</v>
      </c>
      <c r="D302" s="2" t="str">
        <f ca="1">IFERROR(__xludf.DUMMYFUNCTION("""COMPUTED_VALUE"""),"Belem 5")</f>
        <v>Belem 5</v>
      </c>
      <c r="E302" s="2" t="str">
        <f ca="1">IFERROR(__xludf.DUMMYFUNCTION("""COMPUTED_VALUE"""),"DRE - ANANINDEUA / BELEMBelem 5")</f>
        <v>DRE - ANANINDEUA / BELEMBelem 5</v>
      </c>
      <c r="F302" s="1">
        <f ca="1">IFERROR(__xludf.DUMMYFUNCTION("""COMPUTED_VALUE"""),1)</f>
        <v>1</v>
      </c>
      <c r="G302" s="1" t="str">
        <f ca="1">IFERROR(__xludf.DUMMYFUNCTION("""COMPUTED_VALUE"""),"DRE BELEM 5")</f>
        <v>DRE BELEM 5</v>
      </c>
      <c r="H302" s="1" t="str">
        <f ca="1">IFERROR(__xludf.DUMMYFUNCTION("""COMPUTED_VALUE"""),"19A URE - BELEM")</f>
        <v>19A URE - BELEM</v>
      </c>
      <c r="I302" s="2" t="str">
        <f ca="1">IFERROR(__xludf.DUMMYFUNCTION("""COMPUTED_VALUE"""),"Unidade 5")</f>
        <v>Unidade 5</v>
      </c>
      <c r="J302" s="1" t="str">
        <f ca="1">IFERROR(__xludf.DUMMYFUNCTION("""COMPUTED_VALUE"""),"BELEM")</f>
        <v>BELEM</v>
      </c>
      <c r="K302" s="1">
        <f ca="1">IFERROR(__xludf.DUMMYFUNCTION("""COMPUTED_VALUE"""),15041301)</f>
        <v>15041301</v>
      </c>
      <c r="L302" s="2" t="str">
        <f ca="1">IFERROR(__xludf.DUMMYFUNCTION("""COMPUTED_VALUE"""),"001920930940000")</f>
        <v>001920930940000</v>
      </c>
      <c r="M302" s="2" t="str">
        <f ca="1">IFERROR(__xludf.DUMMYFUNCTION("""COMPUTED_VALUE"""),"1920930940000")</f>
        <v>1920930940000</v>
      </c>
      <c r="N302" s="1" t="str">
        <f ca="1">IFERROR(__xludf.DUMMYFUNCTION("""COMPUTED_VALUE"""),"EEEF FONTE VIVA")</f>
        <v>EEEF FONTE VIVA</v>
      </c>
      <c r="O302" s="1"/>
      <c r="P302" s="1"/>
      <c r="Q302" s="1" t="s">
        <v>310</v>
      </c>
    </row>
    <row r="303" spans="1:17" x14ac:dyDescent="0.25">
      <c r="A303" s="2" t="str">
        <f ca="1">IFERROR(__xludf.DUMMYFUNCTION("""COMPUTED_VALUE"""),"REG DE INTEGRA  METROPOLITANA")</f>
        <v>REG DE INTEGRA  METROPOLITANA</v>
      </c>
      <c r="B303" s="1" t="str">
        <f ca="1">IFERROR(__xludf.DUMMYFUNCTION("""COMPUTED_VALUE"""),"DRE BELEM 5")</f>
        <v>DRE BELEM 5</v>
      </c>
      <c r="C303" s="2" t="str">
        <f ca="1">IFERROR(__xludf.DUMMYFUNCTION("""COMPUTED_VALUE"""),"DRE - ANANINDEUA / BELEM")</f>
        <v>DRE - ANANINDEUA / BELEM</v>
      </c>
      <c r="D303" s="2" t="str">
        <f ca="1">IFERROR(__xludf.DUMMYFUNCTION("""COMPUTED_VALUE"""),"Belem 5")</f>
        <v>Belem 5</v>
      </c>
      <c r="E303" s="2" t="str">
        <f ca="1">IFERROR(__xludf.DUMMYFUNCTION("""COMPUTED_VALUE"""),"DRE - ANANINDEUA / BELEMBelem 5")</f>
        <v>DRE - ANANINDEUA / BELEMBelem 5</v>
      </c>
      <c r="F303" s="1">
        <f ca="1">IFERROR(__xludf.DUMMYFUNCTION("""COMPUTED_VALUE"""),1)</f>
        <v>1</v>
      </c>
      <c r="G303" s="1" t="str">
        <f ca="1">IFERROR(__xludf.DUMMYFUNCTION("""COMPUTED_VALUE"""),"DRE BELEM 5")</f>
        <v>DRE BELEM 5</v>
      </c>
      <c r="H303" s="1" t="str">
        <f ca="1">IFERROR(__xludf.DUMMYFUNCTION("""COMPUTED_VALUE"""),"19A URE - BELEM")</f>
        <v>19A URE - BELEM</v>
      </c>
      <c r="I303" s="2" t="str">
        <f ca="1">IFERROR(__xludf.DUMMYFUNCTION("""COMPUTED_VALUE"""),"Unidade 6")</f>
        <v>Unidade 6</v>
      </c>
      <c r="J303" s="1" t="str">
        <f ca="1">IFERROR(__xludf.DUMMYFUNCTION("""COMPUTED_VALUE"""),"BELEM")</f>
        <v>BELEM</v>
      </c>
      <c r="K303" s="1">
        <f ca="1">IFERROR(__xludf.DUMMYFUNCTION("""COMPUTED_VALUE"""),15040046)</f>
        <v>15040046</v>
      </c>
      <c r="L303" s="2" t="str">
        <f ca="1">IFERROR(__xludf.DUMMYFUNCTION("""COMPUTED_VALUE"""),"001920901060000")</f>
        <v>001920901060000</v>
      </c>
      <c r="M303" s="2" t="str">
        <f ca="1">IFERROR(__xludf.DUMMYFUNCTION("""COMPUTED_VALUE"""),"1920901060000")</f>
        <v>1920901060000</v>
      </c>
      <c r="N303" s="1" t="str">
        <f ca="1">IFERROR(__xludf.DUMMYFUNCTION("""COMPUTED_VALUE"""),"EEEF JOSE BONIFACIO")</f>
        <v>EEEF JOSE BONIFACIO</v>
      </c>
      <c r="O303" s="1"/>
      <c r="P303" s="1"/>
      <c r="Q303" s="1" t="s">
        <v>310</v>
      </c>
    </row>
    <row r="304" spans="1:17" x14ac:dyDescent="0.25">
      <c r="A304" s="2" t="str">
        <f ca="1">IFERROR(__xludf.DUMMYFUNCTION("""COMPUTED_VALUE"""),"REG DE INTEGRA  METROPOLITANA")</f>
        <v>REG DE INTEGRA  METROPOLITANA</v>
      </c>
      <c r="B304" s="1" t="str">
        <f ca="1">IFERROR(__xludf.DUMMYFUNCTION("""COMPUTED_VALUE"""),"DRE BELEM 5")</f>
        <v>DRE BELEM 5</v>
      </c>
      <c r="C304" s="2" t="str">
        <f ca="1">IFERROR(__xludf.DUMMYFUNCTION("""COMPUTED_VALUE"""),"DRE - ANANINDEUA / BELEM")</f>
        <v>DRE - ANANINDEUA / BELEM</v>
      </c>
      <c r="D304" s="2" t="str">
        <f ca="1">IFERROR(__xludf.DUMMYFUNCTION("""COMPUTED_VALUE"""),"Belem 5")</f>
        <v>Belem 5</v>
      </c>
      <c r="E304" s="2" t="str">
        <f ca="1">IFERROR(__xludf.DUMMYFUNCTION("""COMPUTED_VALUE"""),"DRE - ANANINDEUA / BELEMBelem 5")</f>
        <v>DRE - ANANINDEUA / BELEMBelem 5</v>
      </c>
      <c r="F304" s="1">
        <f ca="1">IFERROR(__xludf.DUMMYFUNCTION("""COMPUTED_VALUE"""),1)</f>
        <v>1</v>
      </c>
      <c r="G304" s="1" t="str">
        <f ca="1">IFERROR(__xludf.DUMMYFUNCTION("""COMPUTED_VALUE"""),"DRE BELEM 5")</f>
        <v>DRE BELEM 5</v>
      </c>
      <c r="H304" s="1" t="str">
        <f ca="1">IFERROR(__xludf.DUMMYFUNCTION("""COMPUTED_VALUE"""),"19A URE - BELEM")</f>
        <v>19A URE - BELEM</v>
      </c>
      <c r="I304" s="2" t="str">
        <f ca="1">IFERROR(__xludf.DUMMYFUNCTION("""COMPUTED_VALUE"""),"Unidade 6")</f>
        <v>Unidade 6</v>
      </c>
      <c r="J304" s="1" t="str">
        <f ca="1">IFERROR(__xludf.DUMMYFUNCTION("""COMPUTED_VALUE"""),"BELEM")</f>
        <v>BELEM</v>
      </c>
      <c r="K304" s="1">
        <f ca="1">IFERROR(__xludf.DUMMYFUNCTION("""COMPUTED_VALUE"""),15038815)</f>
        <v>15038815</v>
      </c>
      <c r="L304" s="2" t="str">
        <f ca="1">IFERROR(__xludf.DUMMYFUNCTION("""COMPUTED_VALUE"""),"001920930970000")</f>
        <v>001920930970000</v>
      </c>
      <c r="M304" s="2" t="str">
        <f ca="1">IFERROR(__xludf.DUMMYFUNCTION("""COMPUTED_VALUE"""),"1920930970000")</f>
        <v>1920930970000</v>
      </c>
      <c r="N304" s="1" t="str">
        <f ca="1">IFERROR(__xludf.DUMMYFUNCTION("""COMPUTED_VALUE"""),"EEEF MADRE ZARIFE SALES")</f>
        <v>EEEF MADRE ZARIFE SALES</v>
      </c>
      <c r="O304" s="1"/>
      <c r="P304" s="1"/>
      <c r="Q304" s="1" t="s">
        <v>310</v>
      </c>
    </row>
    <row r="305" spans="1:17" x14ac:dyDescent="0.25">
      <c r="A305" s="2" t="str">
        <f ca="1">IFERROR(__xludf.DUMMYFUNCTION("""COMPUTED_VALUE"""),"REG DE INTEGRA  METROPOLITANA")</f>
        <v>REG DE INTEGRA  METROPOLITANA</v>
      </c>
      <c r="B305" s="1" t="str">
        <f ca="1">IFERROR(__xludf.DUMMYFUNCTION("""COMPUTED_VALUE"""),"DRE BELEM 5")</f>
        <v>DRE BELEM 5</v>
      </c>
      <c r="C305" s="2" t="str">
        <f ca="1">IFERROR(__xludf.DUMMYFUNCTION("""COMPUTED_VALUE"""),"DRE - ANANINDEUA / BELEM")</f>
        <v>DRE - ANANINDEUA / BELEM</v>
      </c>
      <c r="D305" s="2" t="str">
        <f ca="1">IFERROR(__xludf.DUMMYFUNCTION("""COMPUTED_VALUE"""),"Belem 5")</f>
        <v>Belem 5</v>
      </c>
      <c r="E305" s="2" t="str">
        <f ca="1">IFERROR(__xludf.DUMMYFUNCTION("""COMPUTED_VALUE"""),"DRE - ANANINDEUA / BELEMBelem 5")</f>
        <v>DRE - ANANINDEUA / BELEMBelem 5</v>
      </c>
      <c r="F305" s="1">
        <f ca="1">IFERROR(__xludf.DUMMYFUNCTION("""COMPUTED_VALUE"""),1)</f>
        <v>1</v>
      </c>
      <c r="G305" s="1" t="str">
        <f ca="1">IFERROR(__xludf.DUMMYFUNCTION("""COMPUTED_VALUE"""),"DRE BELEM 5")</f>
        <v>DRE BELEM 5</v>
      </c>
      <c r="H305" s="1" t="str">
        <f ca="1">IFERROR(__xludf.DUMMYFUNCTION("""COMPUTED_VALUE"""),"19A URE - BELEM")</f>
        <v>19A URE - BELEM</v>
      </c>
      <c r="I305" s="2" t="str">
        <f ca="1">IFERROR(__xludf.DUMMYFUNCTION("""COMPUTED_VALUE"""),"Unidade 5")</f>
        <v>Unidade 5</v>
      </c>
      <c r="J305" s="1" t="str">
        <f ca="1">IFERROR(__xludf.DUMMYFUNCTION("""COMPUTED_VALUE"""),"BELEM")</f>
        <v>BELEM</v>
      </c>
      <c r="K305" s="1">
        <f ca="1">IFERROR(__xludf.DUMMYFUNCTION("""COMPUTED_VALUE"""),15040070)</f>
        <v>15040070</v>
      </c>
      <c r="L305" s="2" t="str">
        <f ca="1">IFERROR(__xludf.DUMMYFUNCTION("""COMPUTED_VALUE"""),"001920901300000")</f>
        <v>001920901300000</v>
      </c>
      <c r="M305" s="2" t="str">
        <f ca="1">IFERROR(__xludf.DUMMYFUNCTION("""COMPUTED_VALUE"""),"1920901300000")</f>
        <v>1920901300000</v>
      </c>
      <c r="N305" s="1" t="str">
        <f ca="1">IFERROR(__xludf.DUMMYFUNCTION("""COMPUTED_VALUE"""),"EEEF MATEUS DO CARMO")</f>
        <v>EEEF MATEUS DO CARMO</v>
      </c>
      <c r="O305" s="1"/>
      <c r="P305" s="1"/>
      <c r="Q305" s="1" t="s">
        <v>310</v>
      </c>
    </row>
    <row r="306" spans="1:17" x14ac:dyDescent="0.25">
      <c r="A306" s="2" t="str">
        <f ca="1">IFERROR(__xludf.DUMMYFUNCTION("""COMPUTED_VALUE"""),"REG DE INTEGRA  METROPOLITANA")</f>
        <v>REG DE INTEGRA  METROPOLITANA</v>
      </c>
      <c r="B306" s="1" t="str">
        <f ca="1">IFERROR(__xludf.DUMMYFUNCTION("""COMPUTED_VALUE"""),"DRE BELEM 5")</f>
        <v>DRE BELEM 5</v>
      </c>
      <c r="C306" s="2" t="str">
        <f ca="1">IFERROR(__xludf.DUMMYFUNCTION("""COMPUTED_VALUE"""),"DRE - ANANINDEUA / BELEM")</f>
        <v>DRE - ANANINDEUA / BELEM</v>
      </c>
      <c r="D306" s="2" t="str">
        <f ca="1">IFERROR(__xludf.DUMMYFUNCTION("""COMPUTED_VALUE"""),"Belem 5")</f>
        <v>Belem 5</v>
      </c>
      <c r="E306" s="2" t="str">
        <f ca="1">IFERROR(__xludf.DUMMYFUNCTION("""COMPUTED_VALUE"""),"DRE - ANANINDEUA / BELEMBelem 5")</f>
        <v>DRE - ANANINDEUA / BELEMBelem 5</v>
      </c>
      <c r="F306" s="1">
        <f ca="1">IFERROR(__xludf.DUMMYFUNCTION("""COMPUTED_VALUE"""),1)</f>
        <v>1</v>
      </c>
      <c r="G306" s="1" t="str">
        <f ca="1">IFERROR(__xludf.DUMMYFUNCTION("""COMPUTED_VALUE"""),"DRE BELEM 5")</f>
        <v>DRE BELEM 5</v>
      </c>
      <c r="H306" s="1" t="str">
        <f ca="1">IFERROR(__xludf.DUMMYFUNCTION("""COMPUTED_VALUE"""),"19A URE - BELEM")</f>
        <v>19A URE - BELEM</v>
      </c>
      <c r="I306" s="2" t="str">
        <f ca="1">IFERROR(__xludf.DUMMYFUNCTION("""COMPUTED_VALUE"""),"NÃO ENCONTRADO (SERA EXTINTA)")</f>
        <v>NÃO ENCONTRADO (SERA EXTINTA)</v>
      </c>
      <c r="J306" s="1" t="str">
        <f ca="1">IFERROR(__xludf.DUMMYFUNCTION("""COMPUTED_VALUE"""),"BELEM")</f>
        <v>BELEM</v>
      </c>
      <c r="K306" s="1">
        <f ca="1">IFERROR(__xludf.DUMMYFUNCTION("""COMPUTED_VALUE"""),15038734)</f>
        <v>15038734</v>
      </c>
      <c r="L306" s="2" t="str">
        <f ca="1">IFERROR(__xludf.DUMMYFUNCTION("""COMPUTED_VALUE"""),"001920932120000")</f>
        <v>001920932120000</v>
      </c>
      <c r="M306" s="2" t="str">
        <f ca="1">IFERROR(__xludf.DUMMYFUNCTION("""COMPUTED_VALUE"""),"1920932120000")</f>
        <v>1920932120000</v>
      </c>
      <c r="N306" s="1" t="str">
        <f ca="1">IFERROR(__xludf.DUMMYFUNCTION("""COMPUTED_VALUE"""),"EEEF MORADORES DA TERRA FIRME")</f>
        <v>EEEF MORADORES DA TERRA FIRME</v>
      </c>
      <c r="O306" s="1"/>
      <c r="P306" s="1"/>
      <c r="Q306" s="1" t="s">
        <v>310</v>
      </c>
    </row>
    <row r="307" spans="1:17" x14ac:dyDescent="0.25">
      <c r="A307" s="2" t="str">
        <f ca="1">IFERROR(__xludf.DUMMYFUNCTION("""COMPUTED_VALUE"""),"REG DE INTEGRA  METROPOLITANA")</f>
        <v>REG DE INTEGRA  METROPOLITANA</v>
      </c>
      <c r="B307" s="1" t="str">
        <f ca="1">IFERROR(__xludf.DUMMYFUNCTION("""COMPUTED_VALUE"""),"DRE BELEM 5")</f>
        <v>DRE BELEM 5</v>
      </c>
      <c r="C307" s="2" t="str">
        <f ca="1">IFERROR(__xludf.DUMMYFUNCTION("""COMPUTED_VALUE"""),"DRE - ANANINDEUA / BELEM")</f>
        <v>DRE - ANANINDEUA / BELEM</v>
      </c>
      <c r="D307" s="2" t="str">
        <f ca="1">IFERROR(__xludf.DUMMYFUNCTION("""COMPUTED_VALUE"""),"Belem 5")</f>
        <v>Belem 5</v>
      </c>
      <c r="E307" s="2" t="str">
        <f ca="1">IFERROR(__xludf.DUMMYFUNCTION("""COMPUTED_VALUE"""),"DRE - ANANINDEUA / BELEMBelem 5")</f>
        <v>DRE - ANANINDEUA / BELEMBelem 5</v>
      </c>
      <c r="F307" s="1">
        <f ca="1">IFERROR(__xludf.DUMMYFUNCTION("""COMPUTED_VALUE"""),1)</f>
        <v>1</v>
      </c>
      <c r="G307" s="1" t="str">
        <f ca="1">IFERROR(__xludf.DUMMYFUNCTION("""COMPUTED_VALUE"""),"DRE BELEM 5")</f>
        <v>DRE BELEM 5</v>
      </c>
      <c r="H307" s="1" t="str">
        <f ca="1">IFERROR(__xludf.DUMMYFUNCTION("""COMPUTED_VALUE"""),"19A URE - BELEM")</f>
        <v>19A URE - BELEM</v>
      </c>
      <c r="I307" s="2" t="str">
        <f ca="1">IFERROR(__xludf.DUMMYFUNCTION("""COMPUTED_VALUE"""),"Unidade 5")</f>
        <v>Unidade 5</v>
      </c>
      <c r="J307" s="1" t="str">
        <f ca="1">IFERROR(__xludf.DUMMYFUNCTION("""COMPUTED_VALUE"""),"BELEM")</f>
        <v>BELEM</v>
      </c>
      <c r="K307" s="1">
        <f ca="1">IFERROR(__xludf.DUMMYFUNCTION("""COMPUTED_VALUE"""),15171671)</f>
        <v>15171671</v>
      </c>
      <c r="L307" s="2" t="str">
        <f ca="1">IFERROR(__xludf.DUMMYFUNCTION("""COMPUTED_VALUE"""),"001920938700000")</f>
        <v>001920938700000</v>
      </c>
      <c r="M307" s="2" t="str">
        <f ca="1">IFERROR(__xludf.DUMMYFUNCTION("""COMPUTED_VALUE"""),"1920938700000")</f>
        <v>1920938700000</v>
      </c>
      <c r="N307" s="1" t="str">
        <f ca="1">IFERROR(__xludf.DUMMYFUNCTION("""COMPUTED_VALUE"""),"EEEF NUREMBERG BORJA DE BRITO FILHO")</f>
        <v>EEEF NUREMBERG BORJA DE BRITO FILHO</v>
      </c>
      <c r="O307" s="1"/>
      <c r="P307" s="1"/>
      <c r="Q307" s="1" t="s">
        <v>310</v>
      </c>
    </row>
    <row r="308" spans="1:17" x14ac:dyDescent="0.25">
      <c r="A308" s="2" t="str">
        <f ca="1">IFERROR(__xludf.DUMMYFUNCTION("""COMPUTED_VALUE"""),"REG DE INTEGRA  METROPOLITANA")</f>
        <v>REG DE INTEGRA  METROPOLITANA</v>
      </c>
      <c r="B308" s="1" t="str">
        <f ca="1">IFERROR(__xludf.DUMMYFUNCTION("""COMPUTED_VALUE"""),"DRE BELEM 5")</f>
        <v>DRE BELEM 5</v>
      </c>
      <c r="C308" s="2" t="str">
        <f ca="1">IFERROR(__xludf.DUMMYFUNCTION("""COMPUTED_VALUE"""),"DRE - ANANINDEUA / BELEM")</f>
        <v>DRE - ANANINDEUA / BELEM</v>
      </c>
      <c r="D308" s="2" t="str">
        <f ca="1">IFERROR(__xludf.DUMMYFUNCTION("""COMPUTED_VALUE"""),"Belem 5")</f>
        <v>Belem 5</v>
      </c>
      <c r="E308" s="2" t="str">
        <f ca="1">IFERROR(__xludf.DUMMYFUNCTION("""COMPUTED_VALUE"""),"DRE - ANANINDEUA / BELEMBelem 5")</f>
        <v>DRE - ANANINDEUA / BELEMBelem 5</v>
      </c>
      <c r="F308" s="1">
        <f ca="1">IFERROR(__xludf.DUMMYFUNCTION("""COMPUTED_VALUE"""),1)</f>
        <v>1</v>
      </c>
      <c r="G308" s="1" t="str">
        <f ca="1">IFERROR(__xludf.DUMMYFUNCTION("""COMPUTED_VALUE"""),"DRE BELEM 5")</f>
        <v>DRE BELEM 5</v>
      </c>
      <c r="H308" s="1" t="str">
        <f ca="1">IFERROR(__xludf.DUMMYFUNCTION("""COMPUTED_VALUE"""),"19A URE - BELEM")</f>
        <v>19A URE - BELEM</v>
      </c>
      <c r="I308" s="2" t="str">
        <f ca="1">IFERROR(__xludf.DUMMYFUNCTION("""COMPUTED_VALUE"""),"Unidade 6")</f>
        <v>Unidade 6</v>
      </c>
      <c r="J308" s="1" t="str">
        <f ca="1">IFERROR(__xludf.DUMMYFUNCTION("""COMPUTED_VALUE"""),"BELEM")</f>
        <v>BELEM</v>
      </c>
      <c r="K308" s="1">
        <f ca="1">IFERROR(__xludf.DUMMYFUNCTION("""COMPUTED_VALUE"""),15040089)</f>
        <v>15040089</v>
      </c>
      <c r="L308" s="2" t="str">
        <f ca="1">IFERROR(__xludf.DUMMYFUNCTION("""COMPUTED_VALUE"""),"001920901720000")</f>
        <v>001920901720000</v>
      </c>
      <c r="M308" s="2" t="str">
        <f ca="1">IFERROR(__xludf.DUMMYFUNCTION("""COMPUTED_VALUE"""),"1920901720000")</f>
        <v>1920901720000</v>
      </c>
      <c r="N308" s="1" t="str">
        <f ca="1">IFERROR(__xludf.DUMMYFUNCTION("""COMPUTED_VALUE"""),"EEEF PAULO MARANHAO")</f>
        <v>EEEF PAULO MARANHAO</v>
      </c>
      <c r="O308" s="1"/>
      <c r="P308" s="1"/>
      <c r="Q308" s="1" t="s">
        <v>310</v>
      </c>
    </row>
    <row r="309" spans="1:17" x14ac:dyDescent="0.25">
      <c r="A309" s="2" t="str">
        <f ca="1">IFERROR(__xludf.DUMMYFUNCTION("""COMPUTED_VALUE"""),"REG DE INTEGRA  METROPOLITANA")</f>
        <v>REG DE INTEGRA  METROPOLITANA</v>
      </c>
      <c r="B309" s="1" t="str">
        <f ca="1">IFERROR(__xludf.DUMMYFUNCTION("""COMPUTED_VALUE"""),"DRE BELEM 5")</f>
        <v>DRE BELEM 5</v>
      </c>
      <c r="C309" s="2" t="str">
        <f ca="1">IFERROR(__xludf.DUMMYFUNCTION("""COMPUTED_VALUE"""),"DRE - ANANINDEUA / BELEM")</f>
        <v>DRE - ANANINDEUA / BELEM</v>
      </c>
      <c r="D309" s="2" t="str">
        <f ca="1">IFERROR(__xludf.DUMMYFUNCTION("""COMPUTED_VALUE"""),"Belem 5")</f>
        <v>Belem 5</v>
      </c>
      <c r="E309" s="2" t="str">
        <f ca="1">IFERROR(__xludf.DUMMYFUNCTION("""COMPUTED_VALUE"""),"DRE - ANANINDEUA / BELEMBelem 5")</f>
        <v>DRE - ANANINDEUA / BELEMBelem 5</v>
      </c>
      <c r="F309" s="1">
        <f ca="1">IFERROR(__xludf.DUMMYFUNCTION("""COMPUTED_VALUE"""),1)</f>
        <v>1</v>
      </c>
      <c r="G309" s="1" t="str">
        <f ca="1">IFERROR(__xludf.DUMMYFUNCTION("""COMPUTED_VALUE"""),"DRE BELEM 5")</f>
        <v>DRE BELEM 5</v>
      </c>
      <c r="H309" s="1" t="str">
        <f ca="1">IFERROR(__xludf.DUMMYFUNCTION("""COMPUTED_VALUE"""),"19A URE - BELEM")</f>
        <v>19A URE - BELEM</v>
      </c>
      <c r="I309" s="2" t="str">
        <f ca="1">IFERROR(__xludf.DUMMYFUNCTION("""COMPUTED_VALUE"""),"Unidade 5")</f>
        <v>Unidade 5</v>
      </c>
      <c r="J309" s="1" t="str">
        <f ca="1">IFERROR(__xludf.DUMMYFUNCTION("""COMPUTED_VALUE"""),"BELEM")</f>
        <v>BELEM</v>
      </c>
      <c r="K309" s="1">
        <f ca="1">IFERROR(__xludf.DUMMYFUNCTION("""COMPUTED_VALUE"""),15038874)</f>
        <v>15038874</v>
      </c>
      <c r="L309" s="2" t="str">
        <f ca="1">IFERROR(__xludf.DUMMYFUNCTION("""COMPUTED_VALUE"""),"001920931260000")</f>
        <v>001920931260000</v>
      </c>
      <c r="M309" s="2" t="str">
        <f ca="1">IFERROR(__xludf.DUMMYFUNCTION("""COMPUTED_VALUE"""),"1920931260000")</f>
        <v>1920931260000</v>
      </c>
      <c r="N309" s="1" t="str">
        <f ca="1">IFERROR(__xludf.DUMMYFUNCTION("""COMPUTED_VALUE"""),"EEEF PROF VIRGILIO LIBONATI")</f>
        <v>EEEF PROF VIRGILIO LIBONATI</v>
      </c>
      <c r="O309" s="1"/>
      <c r="P309" s="1"/>
      <c r="Q309" s="1" t="s">
        <v>310</v>
      </c>
    </row>
    <row r="310" spans="1:17" x14ac:dyDescent="0.25">
      <c r="A310" s="2" t="str">
        <f ca="1">IFERROR(__xludf.DUMMYFUNCTION("""COMPUTED_VALUE"""),"REG DE INTEGRA  METROPOLITANA")</f>
        <v>REG DE INTEGRA  METROPOLITANA</v>
      </c>
      <c r="B310" s="1" t="str">
        <f ca="1">IFERROR(__xludf.DUMMYFUNCTION("""COMPUTED_VALUE"""),"DRE BELEM 5")</f>
        <v>DRE BELEM 5</v>
      </c>
      <c r="C310" s="2" t="str">
        <f ca="1">IFERROR(__xludf.DUMMYFUNCTION("""COMPUTED_VALUE"""),"DRE - ANANINDEUA / BELEM")</f>
        <v>DRE - ANANINDEUA / BELEM</v>
      </c>
      <c r="D310" s="2" t="str">
        <f ca="1">IFERROR(__xludf.DUMMYFUNCTION("""COMPUTED_VALUE"""),"Belem 5")</f>
        <v>Belem 5</v>
      </c>
      <c r="E310" s="2" t="str">
        <f ca="1">IFERROR(__xludf.DUMMYFUNCTION("""COMPUTED_VALUE"""),"DRE - ANANINDEUA / BELEMBelem 5")</f>
        <v>DRE - ANANINDEUA / BELEMBelem 5</v>
      </c>
      <c r="F310" s="1">
        <f ca="1">IFERROR(__xludf.DUMMYFUNCTION("""COMPUTED_VALUE"""),1)</f>
        <v>1</v>
      </c>
      <c r="G310" s="1" t="str">
        <f ca="1">IFERROR(__xludf.DUMMYFUNCTION("""COMPUTED_VALUE"""),"DRE BELEM 5")</f>
        <v>DRE BELEM 5</v>
      </c>
      <c r="H310" s="1" t="str">
        <f ca="1">IFERROR(__xludf.DUMMYFUNCTION("""COMPUTED_VALUE"""),"19A URE - BELEM")</f>
        <v>19A URE - BELEM</v>
      </c>
      <c r="I310" s="2" t="str">
        <f ca="1">IFERROR(__xludf.DUMMYFUNCTION("""COMPUTED_VALUE"""),"Unidade 6")</f>
        <v>Unidade 6</v>
      </c>
      <c r="J310" s="1" t="str">
        <f ca="1">IFERROR(__xludf.DUMMYFUNCTION("""COMPUTED_VALUE"""),"BELEM")</f>
        <v>BELEM</v>
      </c>
      <c r="K310" s="1">
        <f ca="1">IFERROR(__xludf.DUMMYFUNCTION("""COMPUTED_VALUE"""),15041379)</f>
        <v>15041379</v>
      </c>
      <c r="L310" s="2" t="str">
        <f ca="1">IFERROR(__xludf.DUMMYFUNCTION("""COMPUTED_VALUE"""),"001920930820000")</f>
        <v>001920930820000</v>
      </c>
      <c r="M310" s="2" t="str">
        <f ca="1">IFERROR(__xludf.DUMMYFUNCTION("""COMPUTED_VALUE"""),"1920930820000")</f>
        <v>1920930820000</v>
      </c>
      <c r="N310" s="1" t="str">
        <f ca="1">IFERROR(__xludf.DUMMYFUNCTION("""COMPUTED_VALUE"""),"EEEF ROSA GATTORNO")</f>
        <v>EEEF ROSA GATTORNO</v>
      </c>
      <c r="O310" s="1"/>
      <c r="P310" s="1"/>
      <c r="Q310" s="1" t="s">
        <v>310</v>
      </c>
    </row>
    <row r="311" spans="1:17" x14ac:dyDescent="0.25">
      <c r="A311" s="2" t="str">
        <f ca="1">IFERROR(__xludf.DUMMYFUNCTION("""COMPUTED_VALUE"""),"REG DE INTEGRA  METROPOLITANA")</f>
        <v>REG DE INTEGRA  METROPOLITANA</v>
      </c>
      <c r="B311" s="1" t="str">
        <f ca="1">IFERROR(__xludf.DUMMYFUNCTION("""COMPUTED_VALUE"""),"DRE BELEM 5")</f>
        <v>DRE BELEM 5</v>
      </c>
      <c r="C311" s="2" t="str">
        <f ca="1">IFERROR(__xludf.DUMMYFUNCTION("""COMPUTED_VALUE"""),"DRE - ANANINDEUA / BELEM")</f>
        <v>DRE - ANANINDEUA / BELEM</v>
      </c>
      <c r="D311" s="2" t="str">
        <f ca="1">IFERROR(__xludf.DUMMYFUNCTION("""COMPUTED_VALUE"""),"Belem 5")</f>
        <v>Belem 5</v>
      </c>
      <c r="E311" s="2" t="str">
        <f ca="1">IFERROR(__xludf.DUMMYFUNCTION("""COMPUTED_VALUE"""),"DRE - ANANINDEUA / BELEMBelem 5")</f>
        <v>DRE - ANANINDEUA / BELEMBelem 5</v>
      </c>
      <c r="F311" s="1">
        <f ca="1">IFERROR(__xludf.DUMMYFUNCTION("""COMPUTED_VALUE"""),1)</f>
        <v>1</v>
      </c>
      <c r="G311" s="1" t="str">
        <f ca="1">IFERROR(__xludf.DUMMYFUNCTION("""COMPUTED_VALUE"""),"DRE BELEM 5")</f>
        <v>DRE BELEM 5</v>
      </c>
      <c r="H311" s="1" t="str">
        <f ca="1">IFERROR(__xludf.DUMMYFUNCTION("""COMPUTED_VALUE"""),"19A URE - BELEM")</f>
        <v>19A URE - BELEM</v>
      </c>
      <c r="I311" s="2" t="str">
        <f ca="1">IFERROR(__xludf.DUMMYFUNCTION("""COMPUTED_VALUE"""),"Unidade 6")</f>
        <v>Unidade 6</v>
      </c>
      <c r="J311" s="1" t="str">
        <f ca="1">IFERROR(__xludf.DUMMYFUNCTION("""COMPUTED_VALUE"""),"BELEM")</f>
        <v>BELEM</v>
      </c>
      <c r="K311" s="1">
        <f ca="1">IFERROR(__xludf.DUMMYFUNCTION("""COMPUTED_VALUE"""),15039773)</f>
        <v>15039773</v>
      </c>
      <c r="L311" s="2" t="str">
        <f ca="1">IFERROR(__xludf.DUMMYFUNCTION("""COMPUTED_VALUE"""),"001920901730000")</f>
        <v>001920901730000</v>
      </c>
      <c r="M311" s="2" t="str">
        <f ca="1">IFERROR(__xludf.DUMMYFUNCTION("""COMPUTED_VALUE"""),"1920901730000")</f>
        <v>1920901730000</v>
      </c>
      <c r="N311" s="1" t="str">
        <f ca="1">IFERROR(__xludf.DUMMYFUNCTION("""COMPUTED_VALUE"""),"EEEF SANTOS DUMONT")</f>
        <v>EEEF SANTOS DUMONT</v>
      </c>
      <c r="O311" s="1"/>
      <c r="P311" s="1"/>
      <c r="Q311" s="1" t="s">
        <v>310</v>
      </c>
    </row>
    <row r="312" spans="1:17" x14ac:dyDescent="0.25">
      <c r="A312" s="2" t="str">
        <f ca="1">IFERROR(__xludf.DUMMYFUNCTION("""COMPUTED_VALUE"""),"REG DE INTEGRA  METROPOLITANA")</f>
        <v>REG DE INTEGRA  METROPOLITANA</v>
      </c>
      <c r="B312" s="1" t="str">
        <f ca="1">IFERROR(__xludf.DUMMYFUNCTION("""COMPUTED_VALUE"""),"DRE BELEM 5")</f>
        <v>DRE BELEM 5</v>
      </c>
      <c r="C312" s="2" t="str">
        <f ca="1">IFERROR(__xludf.DUMMYFUNCTION("""COMPUTED_VALUE"""),"DRE - ANANINDEUA / BELEM")</f>
        <v>DRE - ANANINDEUA / BELEM</v>
      </c>
      <c r="D312" s="2" t="str">
        <f ca="1">IFERROR(__xludf.DUMMYFUNCTION("""COMPUTED_VALUE"""),"Belem 5")</f>
        <v>Belem 5</v>
      </c>
      <c r="E312" s="2" t="str">
        <f ca="1">IFERROR(__xludf.DUMMYFUNCTION("""COMPUTED_VALUE"""),"DRE - ANANINDEUA / BELEMBelem 5")</f>
        <v>DRE - ANANINDEUA / BELEMBelem 5</v>
      </c>
      <c r="F312" s="1">
        <f ca="1">IFERROR(__xludf.DUMMYFUNCTION("""COMPUTED_VALUE"""),1)</f>
        <v>1</v>
      </c>
      <c r="G312" s="1" t="str">
        <f ca="1">IFERROR(__xludf.DUMMYFUNCTION("""COMPUTED_VALUE"""),"DRE BELEM 5")</f>
        <v>DRE BELEM 5</v>
      </c>
      <c r="H312" s="1" t="str">
        <f ca="1">IFERROR(__xludf.DUMMYFUNCTION("""COMPUTED_VALUE"""),"19A URE - BELEM")</f>
        <v>19A URE - BELEM</v>
      </c>
      <c r="I312" s="2" t="str">
        <f ca="1">IFERROR(__xludf.DUMMYFUNCTION("""COMPUTED_VALUE"""),"Unidade 6")</f>
        <v>Unidade 6</v>
      </c>
      <c r="J312" s="1" t="str">
        <f ca="1">IFERROR(__xludf.DUMMYFUNCTION("""COMPUTED_VALUE"""),"BELEM")</f>
        <v>BELEM</v>
      </c>
      <c r="K312" s="1">
        <f ca="1">IFERROR(__xludf.DUMMYFUNCTION("""COMPUTED_VALUE"""),15573613)</f>
        <v>15573613</v>
      </c>
      <c r="L312" s="2" t="str">
        <f ca="1">IFERROR(__xludf.DUMMYFUNCTION("""COMPUTED_VALUE"""),"001920930480000")</f>
        <v>001920930480000</v>
      </c>
      <c r="M312" s="2" t="str">
        <f ca="1">IFERROR(__xludf.DUMMYFUNCTION("""COMPUTED_VALUE"""),"1920930480000")</f>
        <v>1920930480000</v>
      </c>
      <c r="N312" s="1" t="str">
        <f ca="1">IFERROR(__xludf.DUMMYFUNCTION("""COMPUTED_VALUE"""),"EEEF XV DE OUTUBRO - GUAMA")</f>
        <v>EEEF XV DE OUTUBRO - GUAMA</v>
      </c>
      <c r="O312" s="1"/>
      <c r="P312" s="1"/>
      <c r="Q312" s="1" t="s">
        <v>310</v>
      </c>
    </row>
    <row r="313" spans="1:17" x14ac:dyDescent="0.25">
      <c r="A313" s="2" t="str">
        <f ca="1">IFERROR(__xludf.DUMMYFUNCTION("""COMPUTED_VALUE"""),"REG DE INTEGRA  METROPOLITANA")</f>
        <v>REG DE INTEGRA  METROPOLITANA</v>
      </c>
      <c r="B313" s="1" t="str">
        <f ca="1">IFERROR(__xludf.DUMMYFUNCTION("""COMPUTED_VALUE"""),"DRE BELEM 5")</f>
        <v>DRE BELEM 5</v>
      </c>
      <c r="C313" s="2" t="str">
        <f ca="1">IFERROR(__xludf.DUMMYFUNCTION("""COMPUTED_VALUE"""),"DRE - ANANINDEUA / BELEM")</f>
        <v>DRE - ANANINDEUA / BELEM</v>
      </c>
      <c r="D313" s="2" t="str">
        <f ca="1">IFERROR(__xludf.DUMMYFUNCTION("""COMPUTED_VALUE"""),"Belem 5")</f>
        <v>Belem 5</v>
      </c>
      <c r="E313" s="2" t="str">
        <f ca="1">IFERROR(__xludf.DUMMYFUNCTION("""COMPUTED_VALUE"""),"DRE - ANANINDEUA / BELEMBelem 5")</f>
        <v>DRE - ANANINDEUA / BELEMBelem 5</v>
      </c>
      <c r="F313" s="1">
        <f ca="1">IFERROR(__xludf.DUMMYFUNCTION("""COMPUTED_VALUE"""),1)</f>
        <v>1</v>
      </c>
      <c r="G313" s="1" t="str">
        <f ca="1">IFERROR(__xludf.DUMMYFUNCTION("""COMPUTED_VALUE"""),"DRE BELEM 5")</f>
        <v>DRE BELEM 5</v>
      </c>
      <c r="H313" s="1" t="str">
        <f ca="1">IFERROR(__xludf.DUMMYFUNCTION("""COMPUTED_VALUE"""),"19A URE - BELEM")</f>
        <v>19A URE - BELEM</v>
      </c>
      <c r="I313" s="2" t="str">
        <f ca="1">IFERROR(__xludf.DUMMYFUNCTION("""COMPUTED_VALUE"""),"Unidade 5")</f>
        <v>Unidade 5</v>
      </c>
      <c r="J313" s="1" t="str">
        <f ca="1">IFERROR(__xludf.DUMMYFUNCTION("""COMPUTED_VALUE"""),"BELEM")</f>
        <v>BELEM</v>
      </c>
      <c r="K313" s="1">
        <f ca="1">IFERROR(__xludf.DUMMYFUNCTION("""COMPUTED_VALUE"""),15039633)</f>
        <v>15039633</v>
      </c>
      <c r="L313" s="2" t="str">
        <f ca="1">IFERROR(__xludf.DUMMYFUNCTION("""COMPUTED_VALUE"""),"001920902320000")</f>
        <v>001920902320000</v>
      </c>
      <c r="M313" s="2" t="str">
        <f ca="1">IFERROR(__xludf.DUMMYFUNCTION("""COMPUTED_VALUE"""),"1920902320000")</f>
        <v>1920902320000</v>
      </c>
      <c r="N313" s="1" t="str">
        <f ca="1">IFERROR(__xludf.DUMMYFUNCTION("""COMPUTED_VALUE"""),"EEEFM ACACIO FELICIO SOBRAL")</f>
        <v>EEEFM ACACIO FELICIO SOBRAL</v>
      </c>
      <c r="O313" s="1"/>
      <c r="P313" s="1"/>
      <c r="Q313" s="1" t="s">
        <v>310</v>
      </c>
    </row>
    <row r="314" spans="1:17" x14ac:dyDescent="0.25">
      <c r="A314" s="2" t="str">
        <f ca="1">IFERROR(__xludf.DUMMYFUNCTION("""COMPUTED_VALUE"""),"REG DE INTEGRA  METROPOLITANA")</f>
        <v>REG DE INTEGRA  METROPOLITANA</v>
      </c>
      <c r="B314" s="1" t="str">
        <f ca="1">IFERROR(__xludf.DUMMYFUNCTION("""COMPUTED_VALUE"""),"DRE BELEM 5")</f>
        <v>DRE BELEM 5</v>
      </c>
      <c r="C314" s="2" t="str">
        <f ca="1">IFERROR(__xludf.DUMMYFUNCTION("""COMPUTED_VALUE"""),"DRE - ANANINDEUA / BELEM")</f>
        <v>DRE - ANANINDEUA / BELEM</v>
      </c>
      <c r="D314" s="2" t="str">
        <f ca="1">IFERROR(__xludf.DUMMYFUNCTION("""COMPUTED_VALUE"""),"Belem 5")</f>
        <v>Belem 5</v>
      </c>
      <c r="E314" s="2" t="str">
        <f ca="1">IFERROR(__xludf.DUMMYFUNCTION("""COMPUTED_VALUE"""),"DRE - ANANINDEUA / BELEMBelem 5")</f>
        <v>DRE - ANANINDEUA / BELEMBelem 5</v>
      </c>
      <c r="F314" s="1">
        <f ca="1">IFERROR(__xludf.DUMMYFUNCTION("""COMPUTED_VALUE"""),1)</f>
        <v>1</v>
      </c>
      <c r="G314" s="1" t="str">
        <f ca="1">IFERROR(__xludf.DUMMYFUNCTION("""COMPUTED_VALUE"""),"DRE BELEM 5")</f>
        <v>DRE BELEM 5</v>
      </c>
      <c r="H314" s="1" t="str">
        <f ca="1">IFERROR(__xludf.DUMMYFUNCTION("""COMPUTED_VALUE"""),"19A URE - BELEM")</f>
        <v>19A URE - BELEM</v>
      </c>
      <c r="I314" s="2" t="str">
        <f ca="1">IFERROR(__xludf.DUMMYFUNCTION("""COMPUTED_VALUE"""),"Unidade 5")</f>
        <v>Unidade 5</v>
      </c>
      <c r="J314" s="1" t="str">
        <f ca="1">IFERROR(__xludf.DUMMYFUNCTION("""COMPUTED_VALUE"""),"BELEM")</f>
        <v>BELEM</v>
      </c>
      <c r="K314" s="1">
        <f ca="1">IFERROR(__xludf.DUMMYFUNCTION("""COMPUTED_VALUE"""),15039706)</f>
        <v>15039706</v>
      </c>
      <c r="L314" s="2" t="str">
        <f ca="1">IFERROR(__xludf.DUMMYFUNCTION("""COMPUTED_VALUE"""),"001920901670000")</f>
        <v>001920901670000</v>
      </c>
      <c r="M314" s="2" t="str">
        <f ca="1">IFERROR(__xludf.DUMMYFUNCTION("""COMPUTED_VALUE"""),"1920901670000")</f>
        <v>1920901670000</v>
      </c>
      <c r="N314" s="1" t="str">
        <f ca="1">IFERROR(__xludf.DUMMYFUNCTION("""COMPUTED_VALUE"""),"EEEFM AUGUSTO OLIMPIO")</f>
        <v>EEEFM AUGUSTO OLIMPIO</v>
      </c>
      <c r="O314" s="1"/>
      <c r="P314" s="1"/>
      <c r="Q314" s="1" t="s">
        <v>310</v>
      </c>
    </row>
    <row r="315" spans="1:17" x14ac:dyDescent="0.25">
      <c r="A315" s="2" t="str">
        <f ca="1">IFERROR(__xludf.DUMMYFUNCTION("""COMPUTED_VALUE"""),"REG DE INTEGRA  METROPOLITANA")</f>
        <v>REG DE INTEGRA  METROPOLITANA</v>
      </c>
      <c r="B315" s="1" t="str">
        <f ca="1">IFERROR(__xludf.DUMMYFUNCTION("""COMPUTED_VALUE"""),"DRE BELEM 5")</f>
        <v>DRE BELEM 5</v>
      </c>
      <c r="C315" s="2" t="str">
        <f ca="1">IFERROR(__xludf.DUMMYFUNCTION("""COMPUTED_VALUE"""),"DRE - ANANINDEUA / BELEM")</f>
        <v>DRE - ANANINDEUA / BELEM</v>
      </c>
      <c r="D315" s="2" t="str">
        <f ca="1">IFERROR(__xludf.DUMMYFUNCTION("""COMPUTED_VALUE"""),"Belem 5")</f>
        <v>Belem 5</v>
      </c>
      <c r="E315" s="2" t="str">
        <f ca="1">IFERROR(__xludf.DUMMYFUNCTION("""COMPUTED_VALUE"""),"DRE - ANANINDEUA / BELEMBelem 5")</f>
        <v>DRE - ANANINDEUA / BELEMBelem 5</v>
      </c>
      <c r="F315" s="1">
        <f ca="1">IFERROR(__xludf.DUMMYFUNCTION("""COMPUTED_VALUE"""),1)</f>
        <v>1</v>
      </c>
      <c r="G315" s="1" t="str">
        <f ca="1">IFERROR(__xludf.DUMMYFUNCTION("""COMPUTED_VALUE"""),"DRE BELEM 5")</f>
        <v>DRE BELEM 5</v>
      </c>
      <c r="H315" s="1" t="str">
        <f ca="1">IFERROR(__xludf.DUMMYFUNCTION("""COMPUTED_VALUE"""),"19A URE - BELEM")</f>
        <v>19A URE - BELEM</v>
      </c>
      <c r="I315" s="2" t="str">
        <f ca="1">IFERROR(__xludf.DUMMYFUNCTION("""COMPUTED_VALUE"""),"Unidade 6")</f>
        <v>Unidade 6</v>
      </c>
      <c r="J315" s="1" t="str">
        <f ca="1">IFERROR(__xludf.DUMMYFUNCTION("""COMPUTED_VALUE"""),"BELEM")</f>
        <v>BELEM</v>
      </c>
      <c r="K315" s="1">
        <f ca="1">IFERROR(__xludf.DUMMYFUNCTION("""COMPUTED_VALUE"""),15038769)</f>
        <v>15038769</v>
      </c>
      <c r="L315" s="2" t="str">
        <f ca="1">IFERROR(__xludf.DUMMYFUNCTION("""COMPUTED_VALUE"""),"001920930420000")</f>
        <v>001920930420000</v>
      </c>
      <c r="M315" s="2" t="str">
        <f ca="1">IFERROR(__xludf.DUMMYFUNCTION("""COMPUTED_VALUE"""),"1920930420000")</f>
        <v>1920930420000</v>
      </c>
      <c r="N315" s="1" t="str">
        <f ca="1">IFERROR(__xludf.DUMMYFUNCTION("""COMPUTED_VALUE"""),"EEEFM BARAO DE IGARAPE MIRI")</f>
        <v>EEEFM BARAO DE IGARAPE MIRI</v>
      </c>
      <c r="O315" s="1"/>
      <c r="P315" s="1"/>
      <c r="Q315" s="1" t="s">
        <v>310</v>
      </c>
    </row>
    <row r="316" spans="1:17" x14ac:dyDescent="0.25">
      <c r="A316" s="2" t="str">
        <f ca="1">IFERROR(__xludf.DUMMYFUNCTION("""COMPUTED_VALUE"""),"REG DE INTEGRA  METROPOLITANA")</f>
        <v>REG DE INTEGRA  METROPOLITANA</v>
      </c>
      <c r="B316" s="1" t="str">
        <f ca="1">IFERROR(__xludf.DUMMYFUNCTION("""COMPUTED_VALUE"""),"DRE BELEM 5")</f>
        <v>DRE BELEM 5</v>
      </c>
      <c r="C316" s="2" t="str">
        <f ca="1">IFERROR(__xludf.DUMMYFUNCTION("""COMPUTED_VALUE"""),"DRE - ANANINDEUA / BELEM")</f>
        <v>DRE - ANANINDEUA / BELEM</v>
      </c>
      <c r="D316" s="2" t="str">
        <f ca="1">IFERROR(__xludf.DUMMYFUNCTION("""COMPUTED_VALUE"""),"Belem 5")</f>
        <v>Belem 5</v>
      </c>
      <c r="E316" s="2" t="str">
        <f ca="1">IFERROR(__xludf.DUMMYFUNCTION("""COMPUTED_VALUE"""),"DRE - ANANINDEUA / BELEMBelem 5")</f>
        <v>DRE - ANANINDEUA / BELEMBelem 5</v>
      </c>
      <c r="F316" s="1">
        <f ca="1">IFERROR(__xludf.DUMMYFUNCTION("""COMPUTED_VALUE"""),1)</f>
        <v>1</v>
      </c>
      <c r="G316" s="1" t="str">
        <f ca="1">IFERROR(__xludf.DUMMYFUNCTION("""COMPUTED_VALUE"""),"DRE BELEM 5")</f>
        <v>DRE BELEM 5</v>
      </c>
      <c r="H316" s="1" t="str">
        <f ca="1">IFERROR(__xludf.DUMMYFUNCTION("""COMPUTED_VALUE"""),"19A URE - BELEM")</f>
        <v>19A URE - BELEM</v>
      </c>
      <c r="I316" s="2" t="str">
        <f ca="1">IFERROR(__xludf.DUMMYFUNCTION("""COMPUTED_VALUE"""),"Unidade 5")</f>
        <v>Unidade 5</v>
      </c>
      <c r="J316" s="1" t="str">
        <f ca="1">IFERROR(__xludf.DUMMYFUNCTION("""COMPUTED_VALUE"""),"BELEM")</f>
        <v>BELEM</v>
      </c>
      <c r="K316" s="1">
        <f ca="1">IFERROR(__xludf.DUMMYFUNCTION("""COMPUTED_VALUE"""),15140711)</f>
        <v>15140711</v>
      </c>
      <c r="L316" s="2" t="str">
        <f ca="1">IFERROR(__xludf.DUMMYFUNCTION("""COMPUTED_VALUE"""),"001920928880000")</f>
        <v>001920928880000</v>
      </c>
      <c r="M316" s="2" t="str">
        <f ca="1">IFERROR(__xludf.DUMMYFUNCTION("""COMPUTED_VALUE"""),"1920928880000")</f>
        <v>1920928880000</v>
      </c>
      <c r="N316" s="1" t="str">
        <f ca="1">IFERROR(__xludf.DUMMYFUNCTION("""COMPUTED_VALUE"""),"EEEFM MARIO BARBOSA")</f>
        <v>EEEFM MARIO BARBOSA</v>
      </c>
      <c r="O316" s="1"/>
      <c r="P316" s="1"/>
      <c r="Q316" s="1" t="s">
        <v>310</v>
      </c>
    </row>
    <row r="317" spans="1:17" x14ac:dyDescent="0.25">
      <c r="A317" s="2" t="str">
        <f ca="1">IFERROR(__xludf.DUMMYFUNCTION("""COMPUTED_VALUE"""),"REG DE INTEGRA  METROPOLITANA")</f>
        <v>REG DE INTEGRA  METROPOLITANA</v>
      </c>
      <c r="B317" s="1" t="str">
        <f ca="1">IFERROR(__xludf.DUMMYFUNCTION("""COMPUTED_VALUE"""),"DRE BELEM 5")</f>
        <v>DRE BELEM 5</v>
      </c>
      <c r="C317" s="2" t="str">
        <f ca="1">IFERROR(__xludf.DUMMYFUNCTION("""COMPUTED_VALUE"""),"DRE - ANANINDEUA / BELEM")</f>
        <v>DRE - ANANINDEUA / BELEM</v>
      </c>
      <c r="D317" s="2" t="str">
        <f ca="1">IFERROR(__xludf.DUMMYFUNCTION("""COMPUTED_VALUE"""),"Belem 5")</f>
        <v>Belem 5</v>
      </c>
      <c r="E317" s="2" t="str">
        <f ca="1">IFERROR(__xludf.DUMMYFUNCTION("""COMPUTED_VALUE"""),"DRE - ANANINDEUA / BELEMBelem 5")</f>
        <v>DRE - ANANINDEUA / BELEMBelem 5</v>
      </c>
      <c r="F317" s="1">
        <f ca="1">IFERROR(__xludf.DUMMYFUNCTION("""COMPUTED_VALUE"""),1)</f>
        <v>1</v>
      </c>
      <c r="G317" s="1" t="str">
        <f ca="1">IFERROR(__xludf.DUMMYFUNCTION("""COMPUTED_VALUE"""),"DRE BELEM 5")</f>
        <v>DRE BELEM 5</v>
      </c>
      <c r="H317" s="1" t="str">
        <f ca="1">IFERROR(__xludf.DUMMYFUNCTION("""COMPUTED_VALUE"""),"19A URE - BELEM")</f>
        <v>19A URE - BELEM</v>
      </c>
      <c r="I317" s="2" t="str">
        <f ca="1">IFERROR(__xludf.DUMMYFUNCTION("""COMPUTED_VALUE"""),"Unidade 5")</f>
        <v>Unidade 5</v>
      </c>
      <c r="J317" s="1" t="str">
        <f ca="1">IFERROR(__xludf.DUMMYFUNCTION("""COMPUTED_VALUE"""),"BELEM")</f>
        <v>BELEM</v>
      </c>
      <c r="K317" s="1">
        <f ca="1">IFERROR(__xludf.DUMMYFUNCTION("""COMPUTED_VALUE"""),15040305)</f>
        <v>15040305</v>
      </c>
      <c r="L317" s="2" t="str">
        <f ca="1">IFERROR(__xludf.DUMMYFUNCTION("""COMPUTED_VALUE"""),"001920901920000")</f>
        <v>001920901920000</v>
      </c>
      <c r="M317" s="2" t="str">
        <f ca="1">IFERROR(__xludf.DUMMYFUNCTION("""COMPUTED_VALUE"""),"1920901920000")</f>
        <v>1920901920000</v>
      </c>
      <c r="N317" s="1" t="str">
        <f ca="1">IFERROR(__xludf.DUMMYFUNCTION("""COMPUTED_VALUE"""),"EEEIFM BRIGADEIRO FONTENELLE")</f>
        <v>EEEIFM BRIGADEIRO FONTENELLE</v>
      </c>
      <c r="O317" s="1"/>
      <c r="P317" s="1"/>
      <c r="Q317" s="1" t="s">
        <v>310</v>
      </c>
    </row>
    <row r="318" spans="1:17" x14ac:dyDescent="0.25">
      <c r="A318" s="2" t="str">
        <f ca="1">IFERROR(__xludf.DUMMYFUNCTION("""COMPUTED_VALUE"""),"REG DE INTEGRA  METROPOLITANA")</f>
        <v>REG DE INTEGRA  METROPOLITANA</v>
      </c>
      <c r="B318" s="1" t="str">
        <f ca="1">IFERROR(__xludf.DUMMYFUNCTION("""COMPUTED_VALUE"""),"DRE BELEM 5")</f>
        <v>DRE BELEM 5</v>
      </c>
      <c r="C318" s="2" t="str">
        <f ca="1">IFERROR(__xludf.DUMMYFUNCTION("""COMPUTED_VALUE"""),"DRE - ANANINDEUA / BELEM")</f>
        <v>DRE - ANANINDEUA / BELEM</v>
      </c>
      <c r="D318" s="2" t="str">
        <f ca="1">IFERROR(__xludf.DUMMYFUNCTION("""COMPUTED_VALUE"""),"Belem 5")</f>
        <v>Belem 5</v>
      </c>
      <c r="E318" s="2" t="str">
        <f ca="1">IFERROR(__xludf.DUMMYFUNCTION("""COMPUTED_VALUE"""),"DRE - ANANINDEUA / BELEMBelem 5")</f>
        <v>DRE - ANANINDEUA / BELEMBelem 5</v>
      </c>
      <c r="F318" s="1">
        <f ca="1">IFERROR(__xludf.DUMMYFUNCTION("""COMPUTED_VALUE"""),1)</f>
        <v>1</v>
      </c>
      <c r="G318" s="1" t="str">
        <f ca="1">IFERROR(__xludf.DUMMYFUNCTION("""COMPUTED_VALUE"""),"DRE BELEM 5")</f>
        <v>DRE BELEM 5</v>
      </c>
      <c r="H318" s="1" t="str">
        <f ca="1">IFERROR(__xludf.DUMMYFUNCTION("""COMPUTED_VALUE"""),"19A URE - BELEM")</f>
        <v>19A URE - BELEM</v>
      </c>
      <c r="I318" s="2" t="str">
        <f ca="1">IFERROR(__xludf.DUMMYFUNCTION("""COMPUTED_VALUE"""),"Unidade 6")</f>
        <v>Unidade 6</v>
      </c>
      <c r="J318" s="1" t="str">
        <f ca="1">IFERROR(__xludf.DUMMYFUNCTION("""COMPUTED_VALUE"""),"BELEM")</f>
        <v>BELEM</v>
      </c>
      <c r="K318" s="1">
        <f ca="1">IFERROR(__xludf.DUMMYFUNCTION("""COMPUTED_VALUE"""),15039480)</f>
        <v>15039480</v>
      </c>
      <c r="L318" s="2" t="str">
        <f ca="1">IFERROR(__xludf.DUMMYFUNCTION("""COMPUTED_VALUE"""),"001920902360000")</f>
        <v>001920902360000</v>
      </c>
      <c r="M318" s="2" t="str">
        <f ca="1">IFERROR(__xludf.DUMMYFUNCTION("""COMPUTED_VALUE"""),"1920902360000")</f>
        <v>1920902360000</v>
      </c>
      <c r="N318" s="1" t="str">
        <f ca="1">IFERROR(__xludf.DUMMYFUNCTION("""COMPUTED_VALUE"""),"EEEM ALEXANDRE ZACARIAS DE ASSUNCAO")</f>
        <v>EEEM ALEXANDRE ZACARIAS DE ASSUNCAO</v>
      </c>
      <c r="O318" s="1"/>
      <c r="P318" s="1"/>
      <c r="Q318" s="1" t="s">
        <v>310</v>
      </c>
    </row>
    <row r="319" spans="1:17" x14ac:dyDescent="0.25">
      <c r="A319" s="2" t="str">
        <f ca="1">IFERROR(__xludf.DUMMYFUNCTION("""COMPUTED_VALUE"""),"REG DE INTEGRA  METROPOLITANA")</f>
        <v>REG DE INTEGRA  METROPOLITANA</v>
      </c>
      <c r="B319" s="1" t="str">
        <f ca="1">IFERROR(__xludf.DUMMYFUNCTION("""COMPUTED_VALUE"""),"DRE BELEM 5")</f>
        <v>DRE BELEM 5</v>
      </c>
      <c r="C319" s="2" t="str">
        <f ca="1">IFERROR(__xludf.DUMMYFUNCTION("""COMPUTED_VALUE"""),"DRE - ANANINDEUA / BELEM")</f>
        <v>DRE - ANANINDEUA / BELEM</v>
      </c>
      <c r="D319" s="2" t="str">
        <f ca="1">IFERROR(__xludf.DUMMYFUNCTION("""COMPUTED_VALUE"""),"Belem 5")</f>
        <v>Belem 5</v>
      </c>
      <c r="E319" s="2" t="str">
        <f ca="1">IFERROR(__xludf.DUMMYFUNCTION("""COMPUTED_VALUE"""),"DRE - ANANINDEUA / BELEMBelem 5")</f>
        <v>DRE - ANANINDEUA / BELEMBelem 5</v>
      </c>
      <c r="F319" s="1">
        <f ca="1">IFERROR(__xludf.DUMMYFUNCTION("""COMPUTED_VALUE"""),1)</f>
        <v>1</v>
      </c>
      <c r="G319" s="1" t="str">
        <f ca="1">IFERROR(__xludf.DUMMYFUNCTION("""COMPUTED_VALUE"""),"DRE BELEM 5")</f>
        <v>DRE BELEM 5</v>
      </c>
      <c r="H319" s="1" t="str">
        <f ca="1">IFERROR(__xludf.DUMMYFUNCTION("""COMPUTED_VALUE"""),"19A URE - BELEM")</f>
        <v>19A URE - BELEM</v>
      </c>
      <c r="I319" s="2" t="str">
        <f ca="1">IFERROR(__xludf.DUMMYFUNCTION("""COMPUTED_VALUE"""),"Unidade 6")</f>
        <v>Unidade 6</v>
      </c>
      <c r="J319" s="1" t="str">
        <f ca="1">IFERROR(__xludf.DUMMYFUNCTION("""COMPUTED_VALUE"""),"BELEM")</f>
        <v>BELEM</v>
      </c>
      <c r="K319" s="1">
        <f ca="1">IFERROR(__xludf.DUMMYFUNCTION("""COMPUTED_VALUE"""),15149218)</f>
        <v>15149218</v>
      </c>
      <c r="L319" s="2" t="str">
        <f ca="1">IFERROR(__xludf.DUMMYFUNCTION("""COMPUTED_VALUE"""),"001920933790000")</f>
        <v>001920933790000</v>
      </c>
      <c r="M319" s="2" t="str">
        <f ca="1">IFERROR(__xludf.DUMMYFUNCTION("""COMPUTED_VALUE"""),"1920933790000")</f>
        <v>1920933790000</v>
      </c>
      <c r="N319" s="1" t="str">
        <f ca="1">IFERROR(__xludf.DUMMYFUNCTION("""COMPUTED_VALUE"""),"ESCOLA ESTADUAL DE ENSINO FUNDAMENTAL BIRA BARBOSA")</f>
        <v>ESCOLA ESTADUAL DE ENSINO FUNDAMENTAL BIRA BARBOSA</v>
      </c>
      <c r="O319" s="1"/>
      <c r="P319" s="1"/>
      <c r="Q319" s="1" t="s">
        <v>310</v>
      </c>
    </row>
    <row r="320" spans="1:17" x14ac:dyDescent="0.25">
      <c r="A320" s="2" t="str">
        <f ca="1">IFERROR(__xludf.DUMMYFUNCTION("""COMPUTED_VALUE"""),"REG DE INTEGRA  METROPOLITANA")</f>
        <v>REG DE INTEGRA  METROPOLITANA</v>
      </c>
      <c r="B320" s="1" t="str">
        <f ca="1">IFERROR(__xludf.DUMMYFUNCTION("""COMPUTED_VALUE"""),"DRE BELEM 5")</f>
        <v>DRE BELEM 5</v>
      </c>
      <c r="C320" s="2" t="str">
        <f ca="1">IFERROR(__xludf.DUMMYFUNCTION("""COMPUTED_VALUE"""),"DRE - ANANINDEUA / BELEM")</f>
        <v>DRE - ANANINDEUA / BELEM</v>
      </c>
      <c r="D320" s="2" t="str">
        <f ca="1">IFERROR(__xludf.DUMMYFUNCTION("""COMPUTED_VALUE"""),"Belem 5")</f>
        <v>Belem 5</v>
      </c>
      <c r="E320" s="2" t="str">
        <f ca="1">IFERROR(__xludf.DUMMYFUNCTION("""COMPUTED_VALUE"""),"DRE - ANANINDEUA / BELEMBelem 5")</f>
        <v>DRE - ANANINDEUA / BELEMBelem 5</v>
      </c>
      <c r="F320" s="1">
        <f ca="1">IFERROR(__xludf.DUMMYFUNCTION("""COMPUTED_VALUE"""),1)</f>
        <v>1</v>
      </c>
      <c r="G320" s="1" t="str">
        <f ca="1">IFERROR(__xludf.DUMMYFUNCTION("""COMPUTED_VALUE"""),"DRE BELEM 5")</f>
        <v>DRE BELEM 5</v>
      </c>
      <c r="H320" s="1" t="str">
        <f ca="1">IFERROR(__xludf.DUMMYFUNCTION("""COMPUTED_VALUE"""),"19A URE - BELEM")</f>
        <v>19A URE - BELEM</v>
      </c>
      <c r="I320" s="2" t="str">
        <f ca="1">IFERROR(__xludf.DUMMYFUNCTION("""COMPUTED_VALUE"""),"Unidade 5")</f>
        <v>Unidade 5</v>
      </c>
      <c r="J320" s="1" t="str">
        <f ca="1">IFERROR(__xludf.DUMMYFUNCTION("""COMPUTED_VALUE"""),"BELEM")</f>
        <v>BELEM</v>
      </c>
      <c r="K320" s="1">
        <f ca="1">IFERROR(__xludf.DUMMYFUNCTION("""COMPUTED_VALUE"""),15517659)</f>
        <v>15517659</v>
      </c>
      <c r="L320" s="2" t="str">
        <f ca="1">IFERROR(__xludf.DUMMYFUNCTION("""COMPUTED_VALUE"""),"001920934880000")</f>
        <v>001920934880000</v>
      </c>
      <c r="M320" s="2" t="str">
        <f ca="1">IFERROR(__xludf.DUMMYFUNCTION("""COMPUTED_VALUE"""),"1920934880000")</f>
        <v>1920934880000</v>
      </c>
      <c r="N320" s="1" t="str">
        <f ca="1">IFERROR(__xludf.DUMMYFUNCTION("""COMPUTED_VALUE"""),"SABER-SERVICO DE ATENDIMENTO B. EM REABILITACAO")</f>
        <v>SABER-SERVICO DE ATENDIMENTO B. EM REABILITACAO</v>
      </c>
      <c r="O320" s="1"/>
      <c r="P320" s="1"/>
      <c r="Q320" s="1" t="s">
        <v>310</v>
      </c>
    </row>
    <row r="321" spans="1:17" x14ac:dyDescent="0.25">
      <c r="A321" s="2" t="str">
        <f ca="1">IFERROR(__xludf.DUMMYFUNCTION("""COMPUTED_VALUE"""),"REG DE INTEGRA  METROPOLITANA")</f>
        <v>REG DE INTEGRA  METROPOLITANA</v>
      </c>
      <c r="B321" s="1" t="str">
        <f ca="1">IFERROR(__xludf.DUMMYFUNCTION("""COMPUTED_VALUE"""),"DRE BELEM 6")</f>
        <v>DRE BELEM 6</v>
      </c>
      <c r="C321" s="2" t="str">
        <f ca="1">IFERROR(__xludf.DUMMYFUNCTION("""COMPUTED_VALUE"""),"DRE - ANANINDEUA / BELEM")</f>
        <v>DRE - ANANINDEUA / BELEM</v>
      </c>
      <c r="D321" s="2" t="str">
        <f ca="1">IFERROR(__xludf.DUMMYFUNCTION("""COMPUTED_VALUE"""),"Belem 6")</f>
        <v>Belem 6</v>
      </c>
      <c r="E321" s="2" t="str">
        <f ca="1">IFERROR(__xludf.DUMMYFUNCTION("""COMPUTED_VALUE"""),"DRE - ANANINDEUA / BELEMBelem 6")</f>
        <v>DRE - ANANINDEUA / BELEMBelem 6</v>
      </c>
      <c r="F321" s="1">
        <f ca="1">IFERROR(__xludf.DUMMYFUNCTION("""COMPUTED_VALUE"""),1)</f>
        <v>1</v>
      </c>
      <c r="G321" s="1" t="str">
        <f ca="1">IFERROR(__xludf.DUMMYFUNCTION("""COMPUTED_VALUE"""),"DRE BELEM 7")</f>
        <v>DRE BELEM 7</v>
      </c>
      <c r="H321" s="1" t="str">
        <f ca="1">IFERROR(__xludf.DUMMYFUNCTION("""COMPUTED_VALUE"""),"19A URE - BELEM")</f>
        <v>19A URE - BELEM</v>
      </c>
      <c r="I321" s="2" t="str">
        <f ca="1">IFERROR(__xludf.DUMMYFUNCTION("""COMPUTED_VALUE"""),"Unidade 7")</f>
        <v>Unidade 7</v>
      </c>
      <c r="J321" s="1" t="str">
        <f ca="1">IFERROR(__xludf.DUMMYFUNCTION("""COMPUTED_VALUE"""),"ANANINDEUA")</f>
        <v>ANANINDEUA</v>
      </c>
      <c r="K321" s="1">
        <f ca="1">IFERROR(__xludf.DUMMYFUNCTION("""COMPUTED_VALUE"""),15033970)</f>
        <v>15033970</v>
      </c>
      <c r="L321" s="2" t="str">
        <f ca="1">IFERROR(__xludf.DUMMYFUNCTION("""COMPUTED_VALUE"""),"001920933600000")</f>
        <v>001920933600000</v>
      </c>
      <c r="M321" s="2" t="str">
        <f ca="1">IFERROR(__xludf.DUMMYFUNCTION("""COMPUTED_VALUE"""),"1920933600000")</f>
        <v>1920933600000</v>
      </c>
      <c r="N321" s="1" t="str">
        <f ca="1">IFERROR(__xludf.DUMMYFUNCTION("""COMPUTED_VALUE"""),"EEEF C MAES NOSSA SENHORA APAR PARQUE S FRANCISCO")</f>
        <v>EEEF C MAES NOSSA SENHORA APAR PARQUE S FRANCISCO</v>
      </c>
      <c r="O321" s="1"/>
      <c r="P321" s="1"/>
      <c r="Q321" s="1" t="s">
        <v>332</v>
      </c>
    </row>
    <row r="322" spans="1:17" x14ac:dyDescent="0.25">
      <c r="A322" s="2" t="str">
        <f ca="1">IFERROR(__xludf.DUMMYFUNCTION("""COMPUTED_VALUE"""),"REG DE INTEGRA  METROPOLITANA")</f>
        <v>REG DE INTEGRA  METROPOLITANA</v>
      </c>
      <c r="B322" s="1" t="str">
        <f ca="1">IFERROR(__xludf.DUMMYFUNCTION("""COMPUTED_VALUE"""),"DRE BELEM 6")</f>
        <v>DRE BELEM 6</v>
      </c>
      <c r="C322" s="2" t="str">
        <f ca="1">IFERROR(__xludf.DUMMYFUNCTION("""COMPUTED_VALUE"""),"DRE - ANANINDEUA / BELEM")</f>
        <v>DRE - ANANINDEUA / BELEM</v>
      </c>
      <c r="D322" s="2" t="str">
        <f ca="1">IFERROR(__xludf.DUMMYFUNCTION("""COMPUTED_VALUE"""),"Belem 6")</f>
        <v>Belem 6</v>
      </c>
      <c r="E322" s="2" t="str">
        <f ca="1">IFERROR(__xludf.DUMMYFUNCTION("""COMPUTED_VALUE"""),"DRE - ANANINDEUA / BELEMBelem 6")</f>
        <v>DRE - ANANINDEUA / BELEMBelem 6</v>
      </c>
      <c r="F322" s="1">
        <f ca="1">IFERROR(__xludf.DUMMYFUNCTION("""COMPUTED_VALUE"""),1)</f>
        <v>1</v>
      </c>
      <c r="G322" s="1" t="str">
        <f ca="1">IFERROR(__xludf.DUMMYFUNCTION("""COMPUTED_VALUE"""),"DRE BELEM 7")</f>
        <v>DRE BELEM 7</v>
      </c>
      <c r="H322" s="1" t="str">
        <f ca="1">IFERROR(__xludf.DUMMYFUNCTION("""COMPUTED_VALUE"""),"19A URE - BELEM")</f>
        <v>19A URE - BELEM</v>
      </c>
      <c r="I322" s="2" t="str">
        <f ca="1">IFERROR(__xludf.DUMMYFUNCTION("""COMPUTED_VALUE"""),"Unidade 7")</f>
        <v>Unidade 7</v>
      </c>
      <c r="J322" s="1" t="str">
        <f ca="1">IFERROR(__xludf.DUMMYFUNCTION("""COMPUTED_VALUE"""),"ANANINDEUA")</f>
        <v>ANANINDEUA</v>
      </c>
      <c r="K322" s="1">
        <f ca="1">IFERROR(__xludf.DUMMYFUNCTION("""COMPUTED_VALUE"""),15034461)</f>
        <v>15034461</v>
      </c>
      <c r="L322" s="2" t="str">
        <f ca="1">IFERROR(__xludf.DUMMYFUNCTION("""COMPUTED_VALUE"""),"001920902650000")</f>
        <v>001920902650000</v>
      </c>
      <c r="M322" s="2" t="str">
        <f ca="1">IFERROR(__xludf.DUMMYFUNCTION("""COMPUTED_VALUE"""),"1920902650000")</f>
        <v>1920902650000</v>
      </c>
      <c r="N322" s="1" t="str">
        <f ca="1">IFERROR(__xludf.DUMMYFUNCTION("""COMPUTED_VALUE"""),"EEEF PROFA EUGENIA CAVALLEIRO DE MACEDO")</f>
        <v>EEEF PROFA EUGENIA CAVALLEIRO DE MACEDO</v>
      </c>
      <c r="O322" s="1"/>
      <c r="P322" s="1"/>
      <c r="Q322" s="1" t="s">
        <v>332</v>
      </c>
    </row>
    <row r="323" spans="1:17" x14ac:dyDescent="0.25">
      <c r="A323" s="2" t="str">
        <f ca="1">IFERROR(__xludf.DUMMYFUNCTION("""COMPUTED_VALUE"""),"REG DE INTEGRA  METROPOLITANA")</f>
        <v>REG DE INTEGRA  METROPOLITANA</v>
      </c>
      <c r="B323" s="1" t="str">
        <f ca="1">IFERROR(__xludf.DUMMYFUNCTION("""COMPUTED_VALUE"""),"DRE BELEM 6")</f>
        <v>DRE BELEM 6</v>
      </c>
      <c r="C323" s="2" t="str">
        <f ca="1">IFERROR(__xludf.DUMMYFUNCTION("""COMPUTED_VALUE"""),"DRE - ANANINDEUA / BELEM")</f>
        <v>DRE - ANANINDEUA / BELEM</v>
      </c>
      <c r="D323" s="2" t="str">
        <f ca="1">IFERROR(__xludf.DUMMYFUNCTION("""COMPUTED_VALUE"""),"Belem 6")</f>
        <v>Belem 6</v>
      </c>
      <c r="E323" s="2" t="str">
        <f ca="1">IFERROR(__xludf.DUMMYFUNCTION("""COMPUTED_VALUE"""),"DRE - ANANINDEUA / BELEMBelem 6")</f>
        <v>DRE - ANANINDEUA / BELEMBelem 6</v>
      </c>
      <c r="F323" s="1">
        <f ca="1">IFERROR(__xludf.DUMMYFUNCTION("""COMPUTED_VALUE"""),1)</f>
        <v>1</v>
      </c>
      <c r="G323" s="1" t="str">
        <f ca="1">IFERROR(__xludf.DUMMYFUNCTION("""COMPUTED_VALUE"""),"DRE BELEM 7")</f>
        <v>DRE BELEM 7</v>
      </c>
      <c r="H323" s="1" t="str">
        <f ca="1">IFERROR(__xludf.DUMMYFUNCTION("""COMPUTED_VALUE"""),"19A URE - BELEM")</f>
        <v>19A URE - BELEM</v>
      </c>
      <c r="I323" s="2" t="str">
        <f ca="1">IFERROR(__xludf.DUMMYFUNCTION("""COMPUTED_VALUE"""),"Unidade 7")</f>
        <v>Unidade 7</v>
      </c>
      <c r="J323" s="1" t="str">
        <f ca="1">IFERROR(__xludf.DUMMYFUNCTION("""COMPUTED_VALUE"""),"ANANINDEUA")</f>
        <v>ANANINDEUA</v>
      </c>
      <c r="K323" s="1">
        <f ca="1">IFERROR(__xludf.DUMMYFUNCTION("""COMPUTED_VALUE"""),15535134)</f>
        <v>15535134</v>
      </c>
      <c r="L323" s="2" t="str">
        <f ca="1">IFERROR(__xludf.DUMMYFUNCTION("""COMPUTED_VALUE"""),"001920902480000")</f>
        <v>001920902480000</v>
      </c>
      <c r="M323" s="2" t="str">
        <f ca="1">IFERROR(__xludf.DUMMYFUNCTION("""COMPUTED_VALUE"""),"1920902480000")</f>
        <v>1920902480000</v>
      </c>
      <c r="N323" s="1" t="str">
        <f ca="1">IFERROR(__xludf.DUMMYFUNCTION("""COMPUTED_VALUE"""),"EEEF SAO VICENTE")</f>
        <v>EEEF SAO VICENTE</v>
      </c>
      <c r="O323" s="1"/>
      <c r="P323" s="1"/>
      <c r="Q323" s="1" t="s">
        <v>332</v>
      </c>
    </row>
    <row r="324" spans="1:17" x14ac:dyDescent="0.25">
      <c r="A324" s="2" t="str">
        <f ca="1">IFERROR(__xludf.DUMMYFUNCTION("""COMPUTED_VALUE"""),"REG DE INTEGRA  METROPOLITANA")</f>
        <v>REG DE INTEGRA  METROPOLITANA</v>
      </c>
      <c r="B324" s="1" t="str">
        <f ca="1">IFERROR(__xludf.DUMMYFUNCTION("""COMPUTED_VALUE"""),"DRE BELEM 6")</f>
        <v>DRE BELEM 6</v>
      </c>
      <c r="C324" s="2" t="str">
        <f ca="1">IFERROR(__xludf.DUMMYFUNCTION("""COMPUTED_VALUE"""),"DRE - ANANINDEUA / BELEM")</f>
        <v>DRE - ANANINDEUA / BELEM</v>
      </c>
      <c r="D324" s="2" t="str">
        <f ca="1">IFERROR(__xludf.DUMMYFUNCTION("""COMPUTED_VALUE"""),"Belem 6")</f>
        <v>Belem 6</v>
      </c>
      <c r="E324" s="2" t="str">
        <f ca="1">IFERROR(__xludf.DUMMYFUNCTION("""COMPUTED_VALUE"""),"DRE - ANANINDEUA / BELEMBelem 6")</f>
        <v>DRE - ANANINDEUA / BELEMBelem 6</v>
      </c>
      <c r="F324" s="1">
        <f ca="1">IFERROR(__xludf.DUMMYFUNCTION("""COMPUTED_VALUE"""),1)</f>
        <v>1</v>
      </c>
      <c r="G324" s="1" t="str">
        <f ca="1">IFERROR(__xludf.DUMMYFUNCTION("""COMPUTED_VALUE"""),"DRE BELEM 7")</f>
        <v>DRE BELEM 7</v>
      </c>
      <c r="H324" s="1" t="str">
        <f ca="1">IFERROR(__xludf.DUMMYFUNCTION("""COMPUTED_VALUE"""),"19A URE - BELEM")</f>
        <v>19A URE - BELEM</v>
      </c>
      <c r="I324" s="2" t="str">
        <f ca="1">IFERROR(__xludf.DUMMYFUNCTION("""COMPUTED_VALUE"""),"Unidade 7")</f>
        <v>Unidade 7</v>
      </c>
      <c r="J324" s="1" t="str">
        <f ca="1">IFERROR(__xludf.DUMMYFUNCTION("""COMPUTED_VALUE"""),"ANANINDEUA")</f>
        <v>ANANINDEUA</v>
      </c>
      <c r="K324" s="1">
        <f ca="1">IFERROR(__xludf.DUMMYFUNCTION("""COMPUTED_VALUE"""),15034607)</f>
        <v>15034607</v>
      </c>
      <c r="L324" s="2" t="str">
        <f ca="1">IFERROR(__xludf.DUMMYFUNCTION("""COMPUTED_VALUE"""),"001920901610000")</f>
        <v>001920901610000</v>
      </c>
      <c r="M324" s="2" t="str">
        <f ca="1">IFERROR(__xludf.DUMMYFUNCTION("""COMPUTED_VALUE"""),"1920901610000")</f>
        <v>1920901610000</v>
      </c>
      <c r="N324" s="1" t="str">
        <f ca="1">IFERROR(__xludf.DUMMYFUNCTION("""COMPUTED_VALUE"""),"EEEFM JADERLANDIA")</f>
        <v>EEEFM JADERLANDIA</v>
      </c>
      <c r="O324" s="1"/>
      <c r="P324" s="1"/>
      <c r="Q324" s="1" t="s">
        <v>332</v>
      </c>
    </row>
    <row r="325" spans="1:17" x14ac:dyDescent="0.25">
      <c r="A325" s="2" t="str">
        <f ca="1">IFERROR(__xludf.DUMMYFUNCTION("""COMPUTED_VALUE"""),"REG DE INTEGRA  METROPOLITANA")</f>
        <v>REG DE INTEGRA  METROPOLITANA</v>
      </c>
      <c r="B325" s="1" t="str">
        <f ca="1">IFERROR(__xludf.DUMMYFUNCTION("""COMPUTED_VALUE"""),"DRE BELEM 6")</f>
        <v>DRE BELEM 6</v>
      </c>
      <c r="C325" s="2" t="str">
        <f ca="1">IFERROR(__xludf.DUMMYFUNCTION("""COMPUTED_VALUE"""),"DRE - ANANINDEUA / BELEM")</f>
        <v>DRE - ANANINDEUA / BELEM</v>
      </c>
      <c r="D325" s="2" t="str">
        <f ca="1">IFERROR(__xludf.DUMMYFUNCTION("""COMPUTED_VALUE"""),"Belem 6")</f>
        <v>Belem 6</v>
      </c>
      <c r="E325" s="2" t="str">
        <f ca="1">IFERROR(__xludf.DUMMYFUNCTION("""COMPUTED_VALUE"""),"DRE - ANANINDEUA / BELEMBelem 6")</f>
        <v>DRE - ANANINDEUA / BELEMBelem 6</v>
      </c>
      <c r="F325" s="1">
        <f ca="1">IFERROR(__xludf.DUMMYFUNCTION("""COMPUTED_VALUE"""),1)</f>
        <v>1</v>
      </c>
      <c r="G325" s="1" t="str">
        <f ca="1">IFERROR(__xludf.DUMMYFUNCTION("""COMPUTED_VALUE"""),"DRE BELEM 7")</f>
        <v>DRE BELEM 7</v>
      </c>
      <c r="H325" s="1" t="str">
        <f ca="1">IFERROR(__xludf.DUMMYFUNCTION("""COMPUTED_VALUE"""),"19A URE - BELEM")</f>
        <v>19A URE - BELEM</v>
      </c>
      <c r="I325" s="2" t="str">
        <f ca="1">IFERROR(__xludf.DUMMYFUNCTION("""COMPUTED_VALUE"""),"Unidade 7")</f>
        <v>Unidade 7</v>
      </c>
      <c r="J325" s="1" t="str">
        <f ca="1">IFERROR(__xludf.DUMMYFUNCTION("""COMPUTED_VALUE"""),"ANANINDEUA")</f>
        <v>ANANINDEUA</v>
      </c>
      <c r="K325" s="1">
        <f ca="1">IFERROR(__xludf.DUMMYFUNCTION("""COMPUTED_VALUE"""),15035220)</f>
        <v>15035220</v>
      </c>
      <c r="L325" s="2" t="str">
        <f ca="1">IFERROR(__xludf.DUMMYFUNCTION("""COMPUTED_VALUE"""),"001920934610000")</f>
        <v>001920934610000</v>
      </c>
      <c r="M325" s="2" t="str">
        <f ca="1">IFERROR(__xludf.DUMMYFUNCTION("""COMPUTED_VALUE"""),"1920934610000")</f>
        <v>1920934610000</v>
      </c>
      <c r="N325" s="1" t="str">
        <f ca="1">IFERROR(__xludf.DUMMYFUNCTION("""COMPUTED_VALUE"""),"EEEFM PE ORIONE")</f>
        <v>EEEFM PE ORIONE</v>
      </c>
      <c r="O325" s="1"/>
      <c r="P325" s="1"/>
      <c r="Q325" s="1" t="s">
        <v>332</v>
      </c>
    </row>
    <row r="326" spans="1:17" x14ac:dyDescent="0.25">
      <c r="A326" s="2" t="str">
        <f ca="1">IFERROR(__xludf.DUMMYFUNCTION("""COMPUTED_VALUE"""),"REG DE INTEGRA  METROPOLITANA")</f>
        <v>REG DE INTEGRA  METROPOLITANA</v>
      </c>
      <c r="B326" s="1" t="str">
        <f ca="1">IFERROR(__xludf.DUMMYFUNCTION("""COMPUTED_VALUE"""),"DRE BELEM 6")</f>
        <v>DRE BELEM 6</v>
      </c>
      <c r="C326" s="2" t="str">
        <f ca="1">IFERROR(__xludf.DUMMYFUNCTION("""COMPUTED_VALUE"""),"DRE - ANANINDEUA / BELEM")</f>
        <v>DRE - ANANINDEUA / BELEM</v>
      </c>
      <c r="D326" s="2" t="str">
        <f ca="1">IFERROR(__xludf.DUMMYFUNCTION("""COMPUTED_VALUE"""),"Belem 6")</f>
        <v>Belem 6</v>
      </c>
      <c r="E326" s="2" t="str">
        <f ca="1">IFERROR(__xludf.DUMMYFUNCTION("""COMPUTED_VALUE"""),"DRE - ANANINDEUA / BELEMBelem 6")</f>
        <v>DRE - ANANINDEUA / BELEMBelem 6</v>
      </c>
      <c r="F326" s="1">
        <f ca="1">IFERROR(__xludf.DUMMYFUNCTION("""COMPUTED_VALUE"""),1)</f>
        <v>1</v>
      </c>
      <c r="G326" s="1" t="str">
        <f ca="1">IFERROR(__xludf.DUMMYFUNCTION("""COMPUTED_VALUE"""),"DRE BELEM 7")</f>
        <v>DRE BELEM 7</v>
      </c>
      <c r="H326" s="1" t="str">
        <f ca="1">IFERROR(__xludf.DUMMYFUNCTION("""COMPUTED_VALUE"""),"19A URE - BELEM")</f>
        <v>19A URE - BELEM</v>
      </c>
      <c r="I326" s="2" t="str">
        <f ca="1">IFERROR(__xludf.DUMMYFUNCTION("""COMPUTED_VALUE"""),"Unidade 7")</f>
        <v>Unidade 7</v>
      </c>
      <c r="J326" s="1" t="str">
        <f ca="1">IFERROR(__xludf.DUMMYFUNCTION("""COMPUTED_VALUE"""),"ANANINDEUA")</f>
        <v>ANANINDEUA</v>
      </c>
      <c r="K326" s="1">
        <f ca="1">IFERROR(__xludf.DUMMYFUNCTION("""COMPUTED_VALUE"""),15034771)</f>
        <v>15034771</v>
      </c>
      <c r="L326" s="2" t="str">
        <f ca="1">IFERROR(__xludf.DUMMYFUNCTION("""COMPUTED_VALUE"""),"001920902470000")</f>
        <v>001920902470000</v>
      </c>
      <c r="M326" s="2" t="str">
        <f ca="1">IFERROR(__xludf.DUMMYFUNCTION("""COMPUTED_VALUE"""),"1920902470000")</f>
        <v>1920902470000</v>
      </c>
      <c r="N326" s="1" t="str">
        <f ca="1">IFERROR(__xludf.DUMMYFUNCTION("""COMPUTED_VALUE"""),"EEEFM PRINCESA ISABEL - ATALAIA")</f>
        <v>EEEFM PRINCESA ISABEL - ATALAIA</v>
      </c>
      <c r="O326" s="1"/>
      <c r="P326" s="1"/>
      <c r="Q326" s="1" t="s">
        <v>332</v>
      </c>
    </row>
    <row r="327" spans="1:17" x14ac:dyDescent="0.25">
      <c r="A327" s="2" t="str">
        <f ca="1">IFERROR(__xludf.DUMMYFUNCTION("""COMPUTED_VALUE"""),"REG DE INTEGRA  METROPOLITANA")</f>
        <v>REG DE INTEGRA  METROPOLITANA</v>
      </c>
      <c r="B327" s="1" t="str">
        <f ca="1">IFERROR(__xludf.DUMMYFUNCTION("""COMPUTED_VALUE"""),"DRE BELEM 6")</f>
        <v>DRE BELEM 6</v>
      </c>
      <c r="C327" s="2" t="str">
        <f ca="1">IFERROR(__xludf.DUMMYFUNCTION("""COMPUTED_VALUE"""),"DRE - ANANINDEUA / BELEM")</f>
        <v>DRE - ANANINDEUA / BELEM</v>
      </c>
      <c r="D327" s="2" t="str">
        <f ca="1">IFERROR(__xludf.DUMMYFUNCTION("""COMPUTED_VALUE"""),"Belem 6")</f>
        <v>Belem 6</v>
      </c>
      <c r="E327" s="2" t="str">
        <f ca="1">IFERROR(__xludf.DUMMYFUNCTION("""COMPUTED_VALUE"""),"DRE - ANANINDEUA / BELEMBelem 6")</f>
        <v>DRE - ANANINDEUA / BELEMBelem 6</v>
      </c>
      <c r="F327" s="1">
        <f ca="1">IFERROR(__xludf.DUMMYFUNCTION("""COMPUTED_VALUE"""),1)</f>
        <v>1</v>
      </c>
      <c r="G327" s="1" t="str">
        <f ca="1">IFERROR(__xludf.DUMMYFUNCTION("""COMPUTED_VALUE"""),"DRE BELEM 7")</f>
        <v>DRE BELEM 7</v>
      </c>
      <c r="H327" s="1" t="str">
        <f ca="1">IFERROR(__xludf.DUMMYFUNCTION("""COMPUTED_VALUE"""),"19A URE - BELEM")</f>
        <v>19A URE - BELEM</v>
      </c>
      <c r="I327" s="2" t="str">
        <f ca="1">IFERROR(__xludf.DUMMYFUNCTION("""COMPUTED_VALUE"""),"Unidade 7")</f>
        <v>Unidade 7</v>
      </c>
      <c r="J327" s="1" t="str">
        <f ca="1">IFERROR(__xludf.DUMMYFUNCTION("""COMPUTED_VALUE"""),"BELEM")</f>
        <v>BELEM</v>
      </c>
      <c r="K327" s="1">
        <f ca="1">IFERROR(__xludf.DUMMYFUNCTION("""COMPUTED_VALUE"""),15039870)</f>
        <v>15039870</v>
      </c>
      <c r="L327" s="2" t="str">
        <f ca="1">IFERROR(__xludf.DUMMYFUNCTION("""COMPUTED_VALUE"""),"001920902370000")</f>
        <v>001920902370000</v>
      </c>
      <c r="M327" s="2" t="str">
        <f ca="1">IFERROR(__xludf.DUMMYFUNCTION("""COMPUTED_VALUE"""),"1920902370000")</f>
        <v>1920902370000</v>
      </c>
      <c r="N327" s="1" t="str">
        <f ca="1">IFERROR(__xludf.DUMMYFUNCTION("""COMPUTED_VALUE"""),"EEEF CABANAGEM")</f>
        <v>EEEF CABANAGEM</v>
      </c>
      <c r="O327" s="1"/>
      <c r="P327" s="1"/>
      <c r="Q327" s="1" t="s">
        <v>332</v>
      </c>
    </row>
    <row r="328" spans="1:17" x14ac:dyDescent="0.25">
      <c r="A328" s="2" t="str">
        <f ca="1">IFERROR(__xludf.DUMMYFUNCTION("""COMPUTED_VALUE"""),"REG DE INTEGRA  METROPOLITANA")</f>
        <v>REG DE INTEGRA  METROPOLITANA</v>
      </c>
      <c r="B328" s="1" t="str">
        <f ca="1">IFERROR(__xludf.DUMMYFUNCTION("""COMPUTED_VALUE"""),"DRE BELEM 6")</f>
        <v>DRE BELEM 6</v>
      </c>
      <c r="C328" s="2" t="str">
        <f ca="1">IFERROR(__xludf.DUMMYFUNCTION("""COMPUTED_VALUE"""),"DRE - ANANINDEUA / BELEM")</f>
        <v>DRE - ANANINDEUA / BELEM</v>
      </c>
      <c r="D328" s="2" t="str">
        <f ca="1">IFERROR(__xludf.DUMMYFUNCTION("""COMPUTED_VALUE"""),"Belem 6")</f>
        <v>Belem 6</v>
      </c>
      <c r="E328" s="2" t="str">
        <f ca="1">IFERROR(__xludf.DUMMYFUNCTION("""COMPUTED_VALUE"""),"DRE - ANANINDEUA / BELEMBelem 6")</f>
        <v>DRE - ANANINDEUA / BELEMBelem 6</v>
      </c>
      <c r="F328" s="1">
        <f ca="1">IFERROR(__xludf.DUMMYFUNCTION("""COMPUTED_VALUE"""),1)</f>
        <v>1</v>
      </c>
      <c r="G328" s="1" t="str">
        <f ca="1">IFERROR(__xludf.DUMMYFUNCTION("""COMPUTED_VALUE"""),"DRE BELEM 7")</f>
        <v>DRE BELEM 7</v>
      </c>
      <c r="H328" s="1" t="str">
        <f ca="1">IFERROR(__xludf.DUMMYFUNCTION("""COMPUTED_VALUE"""),"19A URE - BELEM")</f>
        <v>19A URE - BELEM</v>
      </c>
      <c r="I328" s="2" t="str">
        <f ca="1">IFERROR(__xludf.DUMMYFUNCTION("""COMPUTED_VALUE"""),"Unidade 7")</f>
        <v>Unidade 7</v>
      </c>
      <c r="J328" s="1" t="str">
        <f ca="1">IFERROR(__xludf.DUMMYFUNCTION("""COMPUTED_VALUE"""),"BELEM")</f>
        <v>BELEM</v>
      </c>
      <c r="K328" s="1">
        <f ca="1">IFERROR(__xludf.DUMMYFUNCTION("""COMPUTED_VALUE"""),15039900)</f>
        <v>15039900</v>
      </c>
      <c r="L328" s="2" t="str">
        <f ca="1">IFERROR(__xludf.DUMMYFUNCTION("""COMPUTED_VALUE"""),"001920901150000")</f>
        <v>001920901150000</v>
      </c>
      <c r="M328" s="2" t="str">
        <f ca="1">IFERROR(__xludf.DUMMYFUNCTION("""COMPUTED_VALUE"""),"1920901150000")</f>
        <v>1920901150000</v>
      </c>
      <c r="N328" s="1" t="str">
        <f ca="1">IFERROR(__xludf.DUMMYFUNCTION("""COMPUTED_VALUE"""),"EEEF DR CARLOS GUIMARAES")</f>
        <v>EEEF DR CARLOS GUIMARAES</v>
      </c>
      <c r="O328" s="1"/>
      <c r="P328" s="1"/>
      <c r="Q328" s="1" t="s">
        <v>332</v>
      </c>
    </row>
    <row r="329" spans="1:17" x14ac:dyDescent="0.25">
      <c r="A329" s="2" t="str">
        <f ca="1">IFERROR(__xludf.DUMMYFUNCTION("""COMPUTED_VALUE"""),"REG DE INTEGRA  METROPOLITANA")</f>
        <v>REG DE INTEGRA  METROPOLITANA</v>
      </c>
      <c r="B329" s="1" t="str">
        <f ca="1">IFERROR(__xludf.DUMMYFUNCTION("""COMPUTED_VALUE"""),"DRE BELEM 6")</f>
        <v>DRE BELEM 6</v>
      </c>
      <c r="C329" s="2" t="str">
        <f ca="1">IFERROR(__xludf.DUMMYFUNCTION("""COMPUTED_VALUE"""),"DRE - ANANINDEUA / BELEM")</f>
        <v>DRE - ANANINDEUA / BELEM</v>
      </c>
      <c r="D329" s="2" t="str">
        <f ca="1">IFERROR(__xludf.DUMMYFUNCTION("""COMPUTED_VALUE"""),"Belem 6")</f>
        <v>Belem 6</v>
      </c>
      <c r="E329" s="2" t="str">
        <f ca="1">IFERROR(__xludf.DUMMYFUNCTION("""COMPUTED_VALUE"""),"DRE - ANANINDEUA / BELEMBelem 6")</f>
        <v>DRE - ANANINDEUA / BELEMBelem 6</v>
      </c>
      <c r="F329" s="1">
        <f ca="1">IFERROR(__xludf.DUMMYFUNCTION("""COMPUTED_VALUE"""),1)</f>
        <v>1</v>
      </c>
      <c r="G329" s="1" t="str">
        <f ca="1">IFERROR(__xludf.DUMMYFUNCTION("""COMPUTED_VALUE"""),"DRE BELEM 7")</f>
        <v>DRE BELEM 7</v>
      </c>
      <c r="H329" s="1" t="str">
        <f ca="1">IFERROR(__xludf.DUMMYFUNCTION("""COMPUTED_VALUE"""),"19A URE - BELEM")</f>
        <v>19A URE - BELEM</v>
      </c>
      <c r="I329" s="2" t="str">
        <f ca="1">IFERROR(__xludf.DUMMYFUNCTION("""COMPUTED_VALUE"""),"Unidade 7")</f>
        <v>Unidade 7</v>
      </c>
      <c r="J329" s="1" t="str">
        <f ca="1">IFERROR(__xludf.DUMMYFUNCTION("""COMPUTED_VALUE"""),"BELEM")</f>
        <v>BELEM</v>
      </c>
      <c r="K329" s="1">
        <f ca="1">IFERROR(__xludf.DUMMYFUNCTION("""COMPUTED_VALUE"""),15043096)</f>
        <v>15043096</v>
      </c>
      <c r="L329" s="2" t="str">
        <f ca="1">IFERROR(__xludf.DUMMYFUNCTION("""COMPUTED_VALUE"""),"001920934680000")</f>
        <v>001920934680000</v>
      </c>
      <c r="M329" s="2" t="str">
        <f ca="1">IFERROR(__xludf.DUMMYFUNCTION("""COMPUTED_VALUE"""),"1920934680000")</f>
        <v>1920934680000</v>
      </c>
      <c r="N329" s="1" t="str">
        <f ca="1">IFERROR(__xludf.DUMMYFUNCTION("""COMPUTED_VALUE"""),"EEEF PROF MARIDALVA PANTOJA")</f>
        <v>EEEF PROF MARIDALVA PANTOJA</v>
      </c>
      <c r="O329" s="1"/>
      <c r="P329" s="1"/>
      <c r="Q329" s="1" t="s">
        <v>332</v>
      </c>
    </row>
    <row r="330" spans="1:17" x14ac:dyDescent="0.25">
      <c r="A330" s="2" t="str">
        <f ca="1">IFERROR(__xludf.DUMMYFUNCTION("""COMPUTED_VALUE"""),"REG DE INTEGRA  METROPOLITANA")</f>
        <v>REG DE INTEGRA  METROPOLITANA</v>
      </c>
      <c r="B330" s="1" t="str">
        <f ca="1">IFERROR(__xludf.DUMMYFUNCTION("""COMPUTED_VALUE"""),"DRE BELEM 6")</f>
        <v>DRE BELEM 6</v>
      </c>
      <c r="C330" s="2" t="str">
        <f ca="1">IFERROR(__xludf.DUMMYFUNCTION("""COMPUTED_VALUE"""),"DRE - ANANINDEUA / BELEM")</f>
        <v>DRE - ANANINDEUA / BELEM</v>
      </c>
      <c r="D330" s="2" t="str">
        <f ca="1">IFERROR(__xludf.DUMMYFUNCTION("""COMPUTED_VALUE"""),"Belem 6")</f>
        <v>Belem 6</v>
      </c>
      <c r="E330" s="2" t="str">
        <f ca="1">IFERROR(__xludf.DUMMYFUNCTION("""COMPUTED_VALUE"""),"DRE - ANANINDEUA / BELEMBelem 6")</f>
        <v>DRE - ANANINDEUA / BELEMBelem 6</v>
      </c>
      <c r="F330" s="1">
        <f ca="1">IFERROR(__xludf.DUMMYFUNCTION("""COMPUTED_VALUE"""),1)</f>
        <v>1</v>
      </c>
      <c r="G330" s="1" t="str">
        <f ca="1">IFERROR(__xludf.DUMMYFUNCTION("""COMPUTED_VALUE"""),"DRE BELEM 7")</f>
        <v>DRE BELEM 7</v>
      </c>
      <c r="H330" s="1" t="str">
        <f ca="1">IFERROR(__xludf.DUMMYFUNCTION("""COMPUTED_VALUE"""),"19A URE - BELEM")</f>
        <v>19A URE - BELEM</v>
      </c>
      <c r="I330" s="2" t="str">
        <f ca="1">IFERROR(__xludf.DUMMYFUNCTION("""COMPUTED_VALUE"""),"Unidade 7")</f>
        <v>Unidade 7</v>
      </c>
      <c r="J330" s="1" t="str">
        <f ca="1">IFERROR(__xludf.DUMMYFUNCTION("""COMPUTED_VALUE"""),"BELEM")</f>
        <v>BELEM</v>
      </c>
      <c r="K330" s="1">
        <f ca="1">IFERROR(__xludf.DUMMYFUNCTION("""COMPUTED_VALUE"""),15039285)</f>
        <v>15039285</v>
      </c>
      <c r="L330" s="2" t="str">
        <f ca="1">IFERROR(__xludf.DUMMYFUNCTION("""COMPUTED_VALUE"""),"001920901170000")</f>
        <v>001920901170000</v>
      </c>
      <c r="M330" s="2" t="str">
        <f ca="1">IFERROR(__xludf.DUMMYFUNCTION("""COMPUTED_VALUE"""),"1920901170000")</f>
        <v>1920901170000</v>
      </c>
      <c r="N330" s="1" t="str">
        <f ca="1">IFERROR(__xludf.DUMMYFUNCTION("""COMPUTED_VALUE"""),"EEEF VIRGINIA ALVES DA CUNHA")</f>
        <v>EEEF VIRGINIA ALVES DA CUNHA</v>
      </c>
      <c r="O330" s="1"/>
      <c r="P330" s="1"/>
      <c r="Q330" s="1" t="s">
        <v>332</v>
      </c>
    </row>
    <row r="331" spans="1:17" x14ac:dyDescent="0.25">
      <c r="A331" s="2" t="str">
        <f ca="1">IFERROR(__xludf.DUMMYFUNCTION("""COMPUTED_VALUE"""),"REG DE INTEGRA  METROPOLITANA")</f>
        <v>REG DE INTEGRA  METROPOLITANA</v>
      </c>
      <c r="B331" s="1" t="str">
        <f ca="1">IFERROR(__xludf.DUMMYFUNCTION("""COMPUTED_VALUE"""),"DRE BELEM 6")</f>
        <v>DRE BELEM 6</v>
      </c>
      <c r="C331" s="2" t="str">
        <f ca="1">IFERROR(__xludf.DUMMYFUNCTION("""COMPUTED_VALUE"""),"DRE - ANANINDEUA / BELEM")</f>
        <v>DRE - ANANINDEUA / BELEM</v>
      </c>
      <c r="D331" s="2" t="str">
        <f ca="1">IFERROR(__xludf.DUMMYFUNCTION("""COMPUTED_VALUE"""),"Belem 6")</f>
        <v>Belem 6</v>
      </c>
      <c r="E331" s="2" t="str">
        <f ca="1">IFERROR(__xludf.DUMMYFUNCTION("""COMPUTED_VALUE"""),"DRE - ANANINDEUA / BELEMBelem 6")</f>
        <v>DRE - ANANINDEUA / BELEMBelem 6</v>
      </c>
      <c r="F331" s="1">
        <f ca="1">IFERROR(__xludf.DUMMYFUNCTION("""COMPUTED_VALUE"""),1)</f>
        <v>1</v>
      </c>
      <c r="G331" s="1" t="str">
        <f ca="1">IFERROR(__xludf.DUMMYFUNCTION("""COMPUTED_VALUE"""),"DRE BELEM 7")</f>
        <v>DRE BELEM 7</v>
      </c>
      <c r="H331" s="1" t="str">
        <f ca="1">IFERROR(__xludf.DUMMYFUNCTION("""COMPUTED_VALUE"""),"19A URE - BELEM")</f>
        <v>19A URE - BELEM</v>
      </c>
      <c r="I331" s="2" t="str">
        <f ca="1">IFERROR(__xludf.DUMMYFUNCTION("""COMPUTED_VALUE"""),"Unidade 7")</f>
        <v>Unidade 7</v>
      </c>
      <c r="J331" s="1" t="str">
        <f ca="1">IFERROR(__xludf.DUMMYFUNCTION("""COMPUTED_VALUE"""),"BELEM")</f>
        <v>BELEM</v>
      </c>
      <c r="K331" s="1">
        <f ca="1">IFERROR(__xludf.DUMMYFUNCTION("""COMPUTED_VALUE"""),15039625)</f>
        <v>15039625</v>
      </c>
      <c r="L331" s="2" t="str">
        <f ca="1">IFERROR(__xludf.DUMMYFUNCTION("""COMPUTED_VALUE"""),"001920901160000")</f>
        <v>001920901160000</v>
      </c>
      <c r="M331" s="2" t="str">
        <f ca="1">IFERROR(__xludf.DUMMYFUNCTION("""COMPUTED_VALUE"""),"1920901160000")</f>
        <v>1920901160000</v>
      </c>
      <c r="N331" s="1" t="str">
        <f ca="1">IFERROR(__xludf.DUMMYFUNCTION("""COMPUTED_VALUE"""),"EEEFM CORNELIO DE BARROS")</f>
        <v>EEEFM CORNELIO DE BARROS</v>
      </c>
      <c r="O331" s="1"/>
      <c r="P331" s="1"/>
      <c r="Q331" s="1" t="s">
        <v>332</v>
      </c>
    </row>
    <row r="332" spans="1:17" x14ac:dyDescent="0.25">
      <c r="A332" s="2" t="str">
        <f ca="1">IFERROR(__xludf.DUMMYFUNCTION("""COMPUTED_VALUE"""),"REG DE INTEGRA  METROPOLITANA")</f>
        <v>REG DE INTEGRA  METROPOLITANA</v>
      </c>
      <c r="B332" s="1" t="str">
        <f ca="1">IFERROR(__xludf.DUMMYFUNCTION("""COMPUTED_VALUE"""),"DRE BELEM 6")</f>
        <v>DRE BELEM 6</v>
      </c>
      <c r="C332" s="2" t="str">
        <f ca="1">IFERROR(__xludf.DUMMYFUNCTION("""COMPUTED_VALUE"""),"DRE - ANANINDEUA / BELEM")</f>
        <v>DRE - ANANINDEUA / BELEM</v>
      </c>
      <c r="D332" s="2" t="str">
        <f ca="1">IFERROR(__xludf.DUMMYFUNCTION("""COMPUTED_VALUE"""),"Belem 6")</f>
        <v>Belem 6</v>
      </c>
      <c r="E332" s="2" t="str">
        <f ca="1">IFERROR(__xludf.DUMMYFUNCTION("""COMPUTED_VALUE"""),"DRE - ANANINDEUA / BELEMBelem 6")</f>
        <v>DRE - ANANINDEUA / BELEMBelem 6</v>
      </c>
      <c r="F332" s="1">
        <f ca="1">IFERROR(__xludf.DUMMYFUNCTION("""COMPUTED_VALUE"""),1)</f>
        <v>1</v>
      </c>
      <c r="G332" s="1" t="str">
        <f ca="1">IFERROR(__xludf.DUMMYFUNCTION("""COMPUTED_VALUE"""),"DRE BELEM 7")</f>
        <v>DRE BELEM 7</v>
      </c>
      <c r="H332" s="1" t="str">
        <f ca="1">IFERROR(__xludf.DUMMYFUNCTION("""COMPUTED_VALUE"""),"19A URE - BELEM")</f>
        <v>19A URE - BELEM</v>
      </c>
      <c r="I332" s="2" t="str">
        <f ca="1">IFERROR(__xludf.DUMMYFUNCTION("""COMPUTED_VALUE"""),"Unidade 7")</f>
        <v>Unidade 7</v>
      </c>
      <c r="J332" s="1" t="str">
        <f ca="1">IFERROR(__xludf.DUMMYFUNCTION("""COMPUTED_VALUE"""),"BELEM")</f>
        <v>BELEM</v>
      </c>
      <c r="K332" s="1">
        <f ca="1">IFERROR(__xludf.DUMMYFUNCTION("""COMPUTED_VALUE"""),15039935)</f>
        <v>15039935</v>
      </c>
      <c r="L332" s="2" t="str">
        <f ca="1">IFERROR(__xludf.DUMMYFUNCTION("""COMPUTED_VALUE"""),"001920901840000")</f>
        <v>001920901840000</v>
      </c>
      <c r="M332" s="2" t="str">
        <f ca="1">IFERROR(__xludf.DUMMYFUNCTION("""COMPUTED_VALUE"""),"1920901840000")</f>
        <v>1920901840000</v>
      </c>
      <c r="N332" s="1" t="str">
        <f ca="1">IFERROR(__xludf.DUMMYFUNCTION("""COMPUTED_VALUE"""),"EEEFM DUQUE DE CAXIAS")</f>
        <v>EEEFM DUQUE DE CAXIAS</v>
      </c>
      <c r="O332" s="1"/>
      <c r="P332" s="1"/>
      <c r="Q332" s="1" t="s">
        <v>332</v>
      </c>
    </row>
    <row r="333" spans="1:17" x14ac:dyDescent="0.25">
      <c r="A333" s="2" t="str">
        <f ca="1">IFERROR(__xludf.DUMMYFUNCTION("""COMPUTED_VALUE"""),"REG DE INTEGRA  METROPOLITANA")</f>
        <v>REG DE INTEGRA  METROPOLITANA</v>
      </c>
      <c r="B333" s="1" t="str">
        <f ca="1">IFERROR(__xludf.DUMMYFUNCTION("""COMPUTED_VALUE"""),"DRE BELEM 6")</f>
        <v>DRE BELEM 6</v>
      </c>
      <c r="C333" s="2" t="str">
        <f ca="1">IFERROR(__xludf.DUMMYFUNCTION("""COMPUTED_VALUE"""),"DRE - ANANINDEUA / BELEM")</f>
        <v>DRE - ANANINDEUA / BELEM</v>
      </c>
      <c r="D333" s="2" t="str">
        <f ca="1">IFERROR(__xludf.DUMMYFUNCTION("""COMPUTED_VALUE"""),"Belem 6")</f>
        <v>Belem 6</v>
      </c>
      <c r="E333" s="2" t="str">
        <f ca="1">IFERROR(__xludf.DUMMYFUNCTION("""COMPUTED_VALUE"""),"DRE - ANANINDEUA / BELEMBelem 6")</f>
        <v>DRE - ANANINDEUA / BELEMBelem 6</v>
      </c>
      <c r="F333" s="1">
        <f ca="1">IFERROR(__xludf.DUMMYFUNCTION("""COMPUTED_VALUE"""),1)</f>
        <v>1</v>
      </c>
      <c r="G333" s="1" t="str">
        <f ca="1">IFERROR(__xludf.DUMMYFUNCTION("""COMPUTED_VALUE"""),"DRE BELEM 7")</f>
        <v>DRE BELEM 7</v>
      </c>
      <c r="H333" s="1" t="str">
        <f ca="1">IFERROR(__xludf.DUMMYFUNCTION("""COMPUTED_VALUE"""),"19A URE - BELEM")</f>
        <v>19A URE - BELEM</v>
      </c>
      <c r="I333" s="2" t="str">
        <f ca="1">IFERROR(__xludf.DUMMYFUNCTION("""COMPUTED_VALUE"""),"Unidade 7")</f>
        <v>Unidade 7</v>
      </c>
      <c r="J333" s="1" t="str">
        <f ca="1">IFERROR(__xludf.DUMMYFUNCTION("""COMPUTED_VALUE"""),"BELEM")</f>
        <v>BELEM</v>
      </c>
      <c r="K333" s="1">
        <f ca="1">IFERROR(__xludf.DUMMYFUNCTION("""COMPUTED_VALUE"""),15040003)</f>
        <v>15040003</v>
      </c>
      <c r="L333" s="2" t="str">
        <f ca="1">IFERROR(__xludf.DUMMYFUNCTION("""COMPUTED_VALUE"""),"001920901820000")</f>
        <v>001920901820000</v>
      </c>
      <c r="M333" s="2" t="str">
        <f ca="1">IFERROR(__xludf.DUMMYFUNCTION("""COMPUTED_VALUE"""),"1920901820000")</f>
        <v>1920901820000</v>
      </c>
      <c r="N333" s="1" t="str">
        <f ca="1">IFERROR(__xludf.DUMMYFUNCTION("""COMPUTED_VALUE"""),"EEEFM JARBAS PASSARINHO (SOUSA)")</f>
        <v>EEEFM JARBAS PASSARINHO (SOUSA)</v>
      </c>
      <c r="O333" s="1"/>
      <c r="P333" s="1"/>
      <c r="Q333" s="1" t="s">
        <v>332</v>
      </c>
    </row>
    <row r="334" spans="1:17" x14ac:dyDescent="0.25">
      <c r="A334" s="2" t="str">
        <f ca="1">IFERROR(__xludf.DUMMYFUNCTION("""COMPUTED_VALUE"""),"REG DE INTEGRA  METROPOLITANA")</f>
        <v>REG DE INTEGRA  METROPOLITANA</v>
      </c>
      <c r="B334" s="1" t="str">
        <f ca="1">IFERROR(__xludf.DUMMYFUNCTION("""COMPUTED_VALUE"""),"DRE BELEM 6")</f>
        <v>DRE BELEM 6</v>
      </c>
      <c r="C334" s="2" t="str">
        <f ca="1">IFERROR(__xludf.DUMMYFUNCTION("""COMPUTED_VALUE"""),"DRE - ANANINDEUA / BELEM")</f>
        <v>DRE - ANANINDEUA / BELEM</v>
      </c>
      <c r="D334" s="2" t="str">
        <f ca="1">IFERROR(__xludf.DUMMYFUNCTION("""COMPUTED_VALUE"""),"Belem 6")</f>
        <v>Belem 6</v>
      </c>
      <c r="E334" s="2" t="str">
        <f ca="1">IFERROR(__xludf.DUMMYFUNCTION("""COMPUTED_VALUE"""),"DRE - ANANINDEUA / BELEMBelem 6")</f>
        <v>DRE - ANANINDEUA / BELEMBelem 6</v>
      </c>
      <c r="F334" s="1">
        <f ca="1">IFERROR(__xludf.DUMMYFUNCTION("""COMPUTED_VALUE"""),1)</f>
        <v>1</v>
      </c>
      <c r="G334" s="1" t="str">
        <f ca="1">IFERROR(__xludf.DUMMYFUNCTION("""COMPUTED_VALUE"""),"DRE BELEM 7")</f>
        <v>DRE BELEM 7</v>
      </c>
      <c r="H334" s="1" t="str">
        <f ca="1">IFERROR(__xludf.DUMMYFUNCTION("""COMPUTED_VALUE"""),"19A URE - BELEM")</f>
        <v>19A URE - BELEM</v>
      </c>
      <c r="I334" s="2" t="str">
        <f ca="1">IFERROR(__xludf.DUMMYFUNCTION("""COMPUTED_VALUE"""),"Unidade 7")</f>
        <v>Unidade 7</v>
      </c>
      <c r="J334" s="1" t="str">
        <f ca="1">IFERROR(__xludf.DUMMYFUNCTION("""COMPUTED_VALUE"""),"BELEM")</f>
        <v>BELEM</v>
      </c>
      <c r="K334" s="1">
        <f ca="1">IFERROR(__xludf.DUMMYFUNCTION("""COMPUTED_VALUE"""),15040461)</f>
        <v>15040461</v>
      </c>
      <c r="L334" s="2" t="str">
        <f ca="1">IFERROR(__xludf.DUMMYFUNCTION("""COMPUTED_VALUE"""),"001920901280000")</f>
        <v>001920901280000</v>
      </c>
      <c r="M334" s="2" t="str">
        <f ca="1">IFERROR(__xludf.DUMMYFUNCTION("""COMPUTED_VALUE"""),"1920901280000")</f>
        <v>1920901280000</v>
      </c>
      <c r="N334" s="1" t="str">
        <f ca="1">IFERROR(__xludf.DUMMYFUNCTION("""COMPUTED_VALUE"""),"EEEFM PRESIDENTE COSTA E SILVA")</f>
        <v>EEEFM PRESIDENTE COSTA E SILVA</v>
      </c>
      <c r="O334" s="1"/>
      <c r="P334" s="1"/>
      <c r="Q334" s="1" t="s">
        <v>332</v>
      </c>
    </row>
    <row r="335" spans="1:17" x14ac:dyDescent="0.25">
      <c r="A335" s="2" t="str">
        <f ca="1">IFERROR(__xludf.DUMMYFUNCTION("""COMPUTED_VALUE"""),"REG DE INTEGRA  METROPOLITANA")</f>
        <v>REG DE INTEGRA  METROPOLITANA</v>
      </c>
      <c r="B335" s="1" t="str">
        <f ca="1">IFERROR(__xludf.DUMMYFUNCTION("""COMPUTED_VALUE"""),"DRE BELEM 6")</f>
        <v>DRE BELEM 6</v>
      </c>
      <c r="C335" s="2" t="str">
        <f ca="1">IFERROR(__xludf.DUMMYFUNCTION("""COMPUTED_VALUE"""),"DRE - ANANINDEUA / BELEM")</f>
        <v>DRE - ANANINDEUA / BELEM</v>
      </c>
      <c r="D335" s="2" t="str">
        <f ca="1">IFERROR(__xludf.DUMMYFUNCTION("""COMPUTED_VALUE"""),"Belem 6")</f>
        <v>Belem 6</v>
      </c>
      <c r="E335" s="2" t="str">
        <f ca="1">IFERROR(__xludf.DUMMYFUNCTION("""COMPUTED_VALUE"""),"DRE - ANANINDEUA / BELEMBelem 6")</f>
        <v>DRE - ANANINDEUA / BELEMBelem 6</v>
      </c>
      <c r="F335" s="1">
        <f ca="1">IFERROR(__xludf.DUMMYFUNCTION("""COMPUTED_VALUE"""),1)</f>
        <v>1</v>
      </c>
      <c r="G335" s="1" t="str">
        <f ca="1">IFERROR(__xludf.DUMMYFUNCTION("""COMPUTED_VALUE"""),"DRE BELEM 7")</f>
        <v>DRE BELEM 7</v>
      </c>
      <c r="H335" s="1" t="str">
        <f ca="1">IFERROR(__xludf.DUMMYFUNCTION("""COMPUTED_VALUE"""),"19A URE - BELEM")</f>
        <v>19A URE - BELEM</v>
      </c>
      <c r="I335" s="2" t="str">
        <f ca="1">IFERROR(__xludf.DUMMYFUNCTION("""COMPUTED_VALUE"""),"Unidade 7")</f>
        <v>Unidade 7</v>
      </c>
      <c r="J335" s="1" t="str">
        <f ca="1">IFERROR(__xludf.DUMMYFUNCTION("""COMPUTED_VALUE"""),"BELEM")</f>
        <v>BELEM</v>
      </c>
      <c r="K335" s="1">
        <f ca="1">IFERROR(__xludf.DUMMYFUNCTION("""COMPUTED_VALUE"""),15040526)</f>
        <v>15040526</v>
      </c>
      <c r="L335" s="2" t="str">
        <f ca="1">IFERROR(__xludf.DUMMYFUNCTION("""COMPUTED_VALUE"""),"001920902050000")</f>
        <v>001920902050000</v>
      </c>
      <c r="M335" s="2" t="str">
        <f ca="1">IFERROR(__xludf.DUMMYFUNCTION("""COMPUTED_VALUE"""),"1920902050000")</f>
        <v>1920902050000</v>
      </c>
      <c r="N335" s="1" t="str">
        <f ca="1">IFERROR(__xludf.DUMMYFUNCTION("""COMPUTED_VALUE"""),"EEEFM PROF TEMISTOCLES DE ARAUJO")</f>
        <v>EEEFM PROF TEMISTOCLES DE ARAUJO</v>
      </c>
      <c r="O335" s="1"/>
      <c r="P335" s="1"/>
      <c r="Q335" s="1" t="s">
        <v>332</v>
      </c>
    </row>
    <row r="336" spans="1:17" x14ac:dyDescent="0.25">
      <c r="A336" s="2" t="str">
        <f ca="1">IFERROR(__xludf.DUMMYFUNCTION("""COMPUTED_VALUE"""),"REG DE INTEGRA  METROPOLITANA")</f>
        <v>REG DE INTEGRA  METROPOLITANA</v>
      </c>
      <c r="B336" s="1" t="str">
        <f ca="1">IFERROR(__xludf.DUMMYFUNCTION("""COMPUTED_VALUE"""),"DRE BELEM 6")</f>
        <v>DRE BELEM 6</v>
      </c>
      <c r="C336" s="2" t="str">
        <f ca="1">IFERROR(__xludf.DUMMYFUNCTION("""COMPUTED_VALUE"""),"DRE - ANANINDEUA / BELEM")</f>
        <v>DRE - ANANINDEUA / BELEM</v>
      </c>
      <c r="D336" s="2" t="str">
        <f ca="1">IFERROR(__xludf.DUMMYFUNCTION("""COMPUTED_VALUE"""),"Belem 6")</f>
        <v>Belem 6</v>
      </c>
      <c r="E336" s="2" t="str">
        <f ca="1">IFERROR(__xludf.DUMMYFUNCTION("""COMPUTED_VALUE"""),"DRE - ANANINDEUA / BELEMBelem 6")</f>
        <v>DRE - ANANINDEUA / BELEMBelem 6</v>
      </c>
      <c r="F336" s="1">
        <f ca="1">IFERROR(__xludf.DUMMYFUNCTION("""COMPUTED_VALUE"""),1)</f>
        <v>1</v>
      </c>
      <c r="G336" s="1" t="str">
        <f ca="1">IFERROR(__xludf.DUMMYFUNCTION("""COMPUTED_VALUE"""),"DRE BELEM 7")</f>
        <v>DRE BELEM 7</v>
      </c>
      <c r="H336" s="1" t="str">
        <f ca="1">IFERROR(__xludf.DUMMYFUNCTION("""COMPUTED_VALUE"""),"19A URE - BELEM")</f>
        <v>19A URE - BELEM</v>
      </c>
      <c r="I336" s="2" t="str">
        <f ca="1">IFERROR(__xludf.DUMMYFUNCTION("""COMPUTED_VALUE"""),"Unidade 7")</f>
        <v>Unidade 7</v>
      </c>
      <c r="J336" s="1" t="str">
        <f ca="1">IFERROR(__xludf.DUMMYFUNCTION("""COMPUTED_VALUE"""),"BELEM")</f>
        <v>BELEM</v>
      </c>
      <c r="K336" s="1">
        <f ca="1">IFERROR(__xludf.DUMMYFUNCTION("""COMPUTED_VALUE"""),15039250)</f>
        <v>15039250</v>
      </c>
      <c r="L336" s="2" t="str">
        <f ca="1">IFERROR(__xludf.DUMMYFUNCTION("""COMPUTED_VALUE"""),"001920901850000")</f>
        <v>001920901850000</v>
      </c>
      <c r="M336" s="2" t="str">
        <f ca="1">IFERROR(__xludf.DUMMYFUNCTION("""COMPUTED_VALUE"""),"1920901850000")</f>
        <v>1920901850000</v>
      </c>
      <c r="N336" s="1" t="str">
        <f ca="1">IFERROR(__xludf.DUMMYFUNCTION("""COMPUTED_VALUE"""),"EEEFM PROFA HILDA VIEIRA")</f>
        <v>EEEFM PROFA HILDA VIEIRA</v>
      </c>
      <c r="O336" s="1"/>
      <c r="P336" s="1"/>
      <c r="Q336" s="1" t="s">
        <v>332</v>
      </c>
    </row>
    <row r="337" spans="1:17" x14ac:dyDescent="0.25">
      <c r="A337" s="2" t="str">
        <f ca="1">IFERROR(__xludf.DUMMYFUNCTION("""COMPUTED_VALUE"""),"REG DE INTEGRA  METROPOLITANA")</f>
        <v>REG DE INTEGRA  METROPOLITANA</v>
      </c>
      <c r="B337" s="1" t="str">
        <f ca="1">IFERROR(__xludf.DUMMYFUNCTION("""COMPUTED_VALUE"""),"DRE BELEM 6")</f>
        <v>DRE BELEM 6</v>
      </c>
      <c r="C337" s="2" t="str">
        <f ca="1">IFERROR(__xludf.DUMMYFUNCTION("""COMPUTED_VALUE"""),"DRE - ANANINDEUA / BELEM")</f>
        <v>DRE - ANANINDEUA / BELEM</v>
      </c>
      <c r="D337" s="2" t="str">
        <f ca="1">IFERROR(__xludf.DUMMYFUNCTION("""COMPUTED_VALUE"""),"Belem 6")</f>
        <v>Belem 6</v>
      </c>
      <c r="E337" s="2" t="str">
        <f ca="1">IFERROR(__xludf.DUMMYFUNCTION("""COMPUTED_VALUE"""),"DRE - ANANINDEUA / BELEMBelem 6")</f>
        <v>DRE - ANANINDEUA / BELEMBelem 6</v>
      </c>
      <c r="F337" s="1">
        <f ca="1">IFERROR(__xludf.DUMMYFUNCTION("""COMPUTED_VALUE"""),1)</f>
        <v>1</v>
      </c>
      <c r="G337" s="1" t="str">
        <f ca="1">IFERROR(__xludf.DUMMYFUNCTION("""COMPUTED_VALUE"""),"DRE BELEM 7")</f>
        <v>DRE BELEM 7</v>
      </c>
      <c r="H337" s="1" t="str">
        <f ca="1">IFERROR(__xludf.DUMMYFUNCTION("""COMPUTED_VALUE"""),"19A URE - BELEM")</f>
        <v>19A URE - BELEM</v>
      </c>
      <c r="I337" s="2" t="str">
        <f ca="1">IFERROR(__xludf.DUMMYFUNCTION("""COMPUTED_VALUE"""),"Unidade 7")</f>
        <v>Unidade 7</v>
      </c>
      <c r="J337" s="1" t="str">
        <f ca="1">IFERROR(__xludf.DUMMYFUNCTION("""COMPUTED_VALUE"""),"BELEM")</f>
        <v>BELEM</v>
      </c>
      <c r="K337" s="1">
        <f ca="1">IFERROR(__xludf.DUMMYFUNCTION("""COMPUTED_VALUE"""),15039536)</f>
        <v>15039536</v>
      </c>
      <c r="L337" s="2" t="str">
        <f ca="1">IFERROR(__xludf.DUMMYFUNCTION("""COMPUTED_VALUE"""),"001920901140000")</f>
        <v>001920901140000</v>
      </c>
      <c r="M337" s="2" t="str">
        <f ca="1">IFERROR(__xludf.DUMMYFUNCTION("""COMPUTED_VALUE"""),"1920901140000")</f>
        <v>1920901140000</v>
      </c>
      <c r="N337" s="1" t="str">
        <f ca="1">IFERROR(__xludf.DUMMYFUNCTION("""COMPUTED_VALUE"""),"EEEIF ALMIRANTE TAMANDARE")</f>
        <v>EEEIF ALMIRANTE TAMANDARE</v>
      </c>
      <c r="O337" s="1"/>
      <c r="P337" s="1"/>
      <c r="Q337" s="1" t="s">
        <v>332</v>
      </c>
    </row>
    <row r="338" spans="1:17" x14ac:dyDescent="0.25">
      <c r="A338" s="2" t="str">
        <f ca="1">IFERROR(__xludf.DUMMYFUNCTION("""COMPUTED_VALUE"""),"REG DE INTEGRA  METROPOLITANA")</f>
        <v>REG DE INTEGRA  METROPOLITANA</v>
      </c>
      <c r="B338" s="1" t="str">
        <f ca="1">IFERROR(__xludf.DUMMYFUNCTION("""COMPUTED_VALUE"""),"DRE BELEM 6")</f>
        <v>DRE BELEM 6</v>
      </c>
      <c r="C338" s="2" t="str">
        <f ca="1">IFERROR(__xludf.DUMMYFUNCTION("""COMPUTED_VALUE"""),"DRE - ANANINDEUA / BELEM")</f>
        <v>DRE - ANANINDEUA / BELEM</v>
      </c>
      <c r="D338" s="2" t="str">
        <f ca="1">IFERROR(__xludf.DUMMYFUNCTION("""COMPUTED_VALUE"""),"Belem 6")</f>
        <v>Belem 6</v>
      </c>
      <c r="E338" s="2" t="str">
        <f ca="1">IFERROR(__xludf.DUMMYFUNCTION("""COMPUTED_VALUE"""),"DRE - ANANINDEUA / BELEMBelem 6")</f>
        <v>DRE - ANANINDEUA / BELEMBelem 6</v>
      </c>
      <c r="F338" s="1">
        <f ca="1">IFERROR(__xludf.DUMMYFUNCTION("""COMPUTED_VALUE"""),1)</f>
        <v>1</v>
      </c>
      <c r="G338" s="1" t="str">
        <f ca="1">IFERROR(__xludf.DUMMYFUNCTION("""COMPUTED_VALUE"""),"DRE BELEM 7")</f>
        <v>DRE BELEM 7</v>
      </c>
      <c r="H338" s="1" t="str">
        <f ca="1">IFERROR(__xludf.DUMMYFUNCTION("""COMPUTED_VALUE"""),"19A URE - BELEM")</f>
        <v>19A URE - BELEM</v>
      </c>
      <c r="I338" s="2" t="str">
        <f ca="1">IFERROR(__xludf.DUMMYFUNCTION("""COMPUTED_VALUE"""),"Unidade 7")</f>
        <v>Unidade 7</v>
      </c>
      <c r="J338" s="1" t="str">
        <f ca="1">IFERROR(__xludf.DUMMYFUNCTION("""COMPUTED_VALUE"""),"BELEM")</f>
        <v>BELEM</v>
      </c>
      <c r="K338" s="1">
        <f ca="1">IFERROR(__xludf.DUMMYFUNCTION("""COMPUTED_VALUE"""),15040178)</f>
        <v>15040178</v>
      </c>
      <c r="L338" s="2" t="str">
        <f ca="1">IFERROR(__xludf.DUMMYFUNCTION("""COMPUTED_VALUE"""),"001920927900000")</f>
        <v>001920927900000</v>
      </c>
      <c r="M338" s="2" t="str">
        <f ca="1">IFERROR(__xludf.DUMMYFUNCTION("""COMPUTED_VALUE"""),"1920927900000")</f>
        <v>1920927900000</v>
      </c>
      <c r="N338" s="1" t="str">
        <f ca="1">IFERROR(__xludf.DUMMYFUNCTION("""COMPUTED_VALUE"""),"EEEIF PROFA LEONOR NOGUEIRA")</f>
        <v>EEEIF PROFA LEONOR NOGUEIRA</v>
      </c>
      <c r="O338" s="1"/>
      <c r="P338" s="1"/>
      <c r="Q338" s="1" t="s">
        <v>332</v>
      </c>
    </row>
    <row r="339" spans="1:17" x14ac:dyDescent="0.25">
      <c r="A339" s="2" t="str">
        <f ca="1">IFERROR(__xludf.DUMMYFUNCTION("""COMPUTED_VALUE"""),"REG DE INTEGRA  METROPOLITANA")</f>
        <v>REG DE INTEGRA  METROPOLITANA</v>
      </c>
      <c r="B339" s="1" t="str">
        <f ca="1">IFERROR(__xludf.DUMMYFUNCTION("""COMPUTED_VALUE"""),"DRE BELEM 6")</f>
        <v>DRE BELEM 6</v>
      </c>
      <c r="C339" s="2" t="str">
        <f ca="1">IFERROR(__xludf.DUMMYFUNCTION("""COMPUTED_VALUE"""),"DRE - ANANINDEUA / BELEM")</f>
        <v>DRE - ANANINDEUA / BELEM</v>
      </c>
      <c r="D339" s="2" t="str">
        <f ca="1">IFERROR(__xludf.DUMMYFUNCTION("""COMPUTED_VALUE"""),"Belem 6")</f>
        <v>Belem 6</v>
      </c>
      <c r="E339" s="2" t="str">
        <f ca="1">IFERROR(__xludf.DUMMYFUNCTION("""COMPUTED_VALUE"""),"DRE - ANANINDEUA / BELEMBelem 6")</f>
        <v>DRE - ANANINDEUA / BELEMBelem 6</v>
      </c>
      <c r="F339" s="1">
        <f ca="1">IFERROR(__xludf.DUMMYFUNCTION("""COMPUTED_VALUE"""),1)</f>
        <v>1</v>
      </c>
      <c r="G339" s="1" t="str">
        <f ca="1">IFERROR(__xludf.DUMMYFUNCTION("""COMPUTED_VALUE"""),"DRE BELEM 7")</f>
        <v>DRE BELEM 7</v>
      </c>
      <c r="H339" s="1" t="str">
        <f ca="1">IFERROR(__xludf.DUMMYFUNCTION("""COMPUTED_VALUE"""),"19A URE - BELEM")</f>
        <v>19A URE - BELEM</v>
      </c>
      <c r="I339" s="2" t="str">
        <f ca="1">IFERROR(__xludf.DUMMYFUNCTION("""COMPUTED_VALUE"""),"Unidade 7")</f>
        <v>Unidade 7</v>
      </c>
      <c r="J339" s="1" t="str">
        <f ca="1">IFERROR(__xludf.DUMMYFUNCTION("""COMPUTED_VALUE"""),"BELEM")</f>
        <v>BELEM</v>
      </c>
      <c r="K339" s="1">
        <f ca="1">IFERROR(__xludf.DUMMYFUNCTION("""COMPUTED_VALUE"""),15037215)</f>
        <v>15037215</v>
      </c>
      <c r="L339" s="2" t="str">
        <f ca="1">IFERROR(__xludf.DUMMYFUNCTION("""COMPUTED_VALUE"""),"001920902260000")</f>
        <v>001920902260000</v>
      </c>
      <c r="M339" s="2" t="str">
        <f ca="1">IFERROR(__xludf.DUMMYFUNCTION("""COMPUTED_VALUE"""),"1920902260000")</f>
        <v>1920902260000</v>
      </c>
      <c r="N339" s="1" t="str">
        <f ca="1">IFERROR(__xludf.DUMMYFUNCTION("""COMPUTED_VALUE"""),"EEEMPI PROF FRANCISCO DA SILVA NUNES")</f>
        <v>EEEMPI PROF FRANCISCO DA SILVA NUNES</v>
      </c>
      <c r="O339" s="1"/>
      <c r="P339" s="1"/>
      <c r="Q339" s="1" t="s">
        <v>332</v>
      </c>
    </row>
    <row r="340" spans="1:17" x14ac:dyDescent="0.25">
      <c r="A340" s="2" t="str">
        <f ca="1">IFERROR(__xludf.DUMMYFUNCTION("""COMPUTED_VALUE"""),"REG DE INTEGRA  METROPOLITANA")</f>
        <v>REG DE INTEGRA  METROPOLITANA</v>
      </c>
      <c r="B340" s="1" t="str">
        <f ca="1">IFERROR(__xludf.DUMMYFUNCTION("""COMPUTED_VALUE"""),"DRE BELEM 7")</f>
        <v>DRE BELEM 7</v>
      </c>
      <c r="C340" s="2" t="str">
        <f ca="1">IFERROR(__xludf.DUMMYFUNCTION("""COMPUTED_VALUE"""),"DRE - ANANINDEUA / BELEM")</f>
        <v>DRE - ANANINDEUA / BELEM</v>
      </c>
      <c r="D340" s="2" t="str">
        <f ca="1">IFERROR(__xludf.DUMMYFUNCTION("""COMPUTED_VALUE"""),"Belem 7")</f>
        <v>Belem 7</v>
      </c>
      <c r="E340" s="2" t="str">
        <f ca="1">IFERROR(__xludf.DUMMYFUNCTION("""COMPUTED_VALUE"""),"DRE - ANANINDEUA / BELEMBelem 7")</f>
        <v>DRE - ANANINDEUA / BELEMBelem 7</v>
      </c>
      <c r="F340" s="1">
        <f ca="1">IFERROR(__xludf.DUMMYFUNCTION("""COMPUTED_VALUE"""),2)</f>
        <v>2</v>
      </c>
      <c r="G340" s="1" t="str">
        <f ca="1">IFERROR(__xludf.DUMMYFUNCTION("""COMPUTED_VALUE"""),"DRE BELEM 8")</f>
        <v>DRE BELEM 8</v>
      </c>
      <c r="H340" s="1" t="str">
        <f ca="1">IFERROR(__xludf.DUMMYFUNCTION("""COMPUTED_VALUE"""),"19A URE - BELEM")</f>
        <v>19A URE - BELEM</v>
      </c>
      <c r="I340" s="2" t="str">
        <f ca="1">IFERROR(__xludf.DUMMYFUNCTION("""COMPUTED_VALUE"""),"Unidade 8")</f>
        <v>Unidade 8</v>
      </c>
      <c r="J340" s="1" t="str">
        <f ca="1">IFERROR(__xludf.DUMMYFUNCTION("""COMPUTED_VALUE"""),"BELEM")</f>
        <v>BELEM</v>
      </c>
      <c r="K340" s="1"/>
      <c r="L340" s="2" t="str">
        <f ca="1">IFERROR(__xludf.DUMMYFUNCTION("""COMPUTED_VALUE"""),"001920955000000")</f>
        <v>001920955000000</v>
      </c>
      <c r="M340" s="2" t="str">
        <f ca="1">IFERROR(__xludf.DUMMYFUNCTION("""COMPUTED_VALUE"""),"1920955000000")</f>
        <v>1920955000000</v>
      </c>
      <c r="N340" s="1" t="str">
        <f ca="1">IFERROR(__xludf.DUMMYFUNCTION("""COMPUTED_VALUE"""),"CENTRO  DE ATENDIMENTO EDUCACIONAL ESPECIALIZADO")</f>
        <v>CENTRO  DE ATENDIMENTO EDUCACIONAL ESPECIALIZADO</v>
      </c>
      <c r="O340" s="1"/>
      <c r="P340" s="1"/>
      <c r="Q340" s="1" t="s">
        <v>285</v>
      </c>
    </row>
    <row r="341" spans="1:17" x14ac:dyDescent="0.25">
      <c r="A341" s="2" t="str">
        <f ca="1">IFERROR(__xludf.DUMMYFUNCTION("""COMPUTED_VALUE"""),"REG DE INTEGRA  METROPOLITANA")</f>
        <v>REG DE INTEGRA  METROPOLITANA</v>
      </c>
      <c r="B341" s="1" t="str">
        <f ca="1">IFERROR(__xludf.DUMMYFUNCTION("""COMPUTED_VALUE"""),"DRE BELEM 7")</f>
        <v>DRE BELEM 7</v>
      </c>
      <c r="C341" s="2" t="str">
        <f ca="1">IFERROR(__xludf.DUMMYFUNCTION("""COMPUTED_VALUE"""),"DRE - ANANINDEUA / BELEM")</f>
        <v>DRE - ANANINDEUA / BELEM</v>
      </c>
      <c r="D341" s="2" t="str">
        <f ca="1">IFERROR(__xludf.DUMMYFUNCTION("""COMPUTED_VALUE"""),"Belem 7")</f>
        <v>Belem 7</v>
      </c>
      <c r="E341" s="2" t="str">
        <f ca="1">IFERROR(__xludf.DUMMYFUNCTION("""COMPUTED_VALUE"""),"DRE - ANANINDEUA / BELEMBelem 7")</f>
        <v>DRE - ANANINDEUA / BELEMBelem 7</v>
      </c>
      <c r="F341" s="1">
        <f ca="1">IFERROR(__xludf.DUMMYFUNCTION("""COMPUTED_VALUE"""),2)</f>
        <v>2</v>
      </c>
      <c r="G341" s="1" t="str">
        <f ca="1">IFERROR(__xludf.DUMMYFUNCTION("""COMPUTED_VALUE"""),"DRE BELEM 8")</f>
        <v>DRE BELEM 8</v>
      </c>
      <c r="H341" s="1" t="str">
        <f ca="1">IFERROR(__xludf.DUMMYFUNCTION("""COMPUTED_VALUE"""),"19A URE - BELEM")</f>
        <v>19A URE - BELEM</v>
      </c>
      <c r="I341" s="2" t="str">
        <f ca="1">IFERROR(__xludf.DUMMYFUNCTION("""COMPUTED_VALUE"""),"Unidade 6")</f>
        <v>Unidade 6</v>
      </c>
      <c r="J341" s="1" t="str">
        <f ca="1">IFERROR(__xludf.DUMMYFUNCTION("""COMPUTED_VALUE"""),"BELEM")</f>
        <v>BELEM</v>
      </c>
      <c r="K341" s="1">
        <f ca="1">IFERROR(__xludf.DUMMYFUNCTION("""COMPUTED_VALUE"""),15037665)</f>
        <v>15037665</v>
      </c>
      <c r="L341" s="2" t="str">
        <f ca="1">IFERROR(__xludf.DUMMYFUNCTION("""COMPUTED_VALUE"""),"001920930540000")</f>
        <v>001920930540000</v>
      </c>
      <c r="M341" s="2" t="str">
        <f ca="1">IFERROR(__xludf.DUMMYFUNCTION("""COMPUTED_VALUE"""),"1920930540000")</f>
        <v>1920930540000</v>
      </c>
      <c r="N341" s="1" t="str">
        <f ca="1">IFERROR(__xludf.DUMMYFUNCTION("""COMPUTED_VALUE"""),"CENTRO DE EDUCACAO DE JOVENS E ADULTOS PROF LUIZ OCTAVIO PEREIRA - CEEJA EM BELEM-PA")</f>
        <v>CENTRO DE EDUCACAO DE JOVENS E ADULTOS PROF LUIZ OCTAVIO PEREIRA - CEEJA EM BELEM-PA</v>
      </c>
      <c r="O341" s="1"/>
      <c r="P341" s="1"/>
      <c r="Q341" s="1" t="s">
        <v>285</v>
      </c>
    </row>
    <row r="342" spans="1:17" x14ac:dyDescent="0.25">
      <c r="A342" s="2" t="str">
        <f ca="1">IFERROR(__xludf.DUMMYFUNCTION("""COMPUTED_VALUE"""),"REG DE INTEGRA  METROPOLITANA")</f>
        <v>REG DE INTEGRA  METROPOLITANA</v>
      </c>
      <c r="B342" s="1" t="str">
        <f ca="1">IFERROR(__xludf.DUMMYFUNCTION("""COMPUTED_VALUE"""),"DRE BELEM 7")</f>
        <v>DRE BELEM 7</v>
      </c>
      <c r="C342" s="2" t="str">
        <f ca="1">IFERROR(__xludf.DUMMYFUNCTION("""COMPUTED_VALUE"""),"DRE - ANANINDEUA / BELEM")</f>
        <v>DRE - ANANINDEUA / BELEM</v>
      </c>
      <c r="D342" s="2" t="str">
        <f ca="1">IFERROR(__xludf.DUMMYFUNCTION("""COMPUTED_VALUE"""),"Belem 7")</f>
        <v>Belem 7</v>
      </c>
      <c r="E342" s="2" t="str">
        <f ca="1">IFERROR(__xludf.DUMMYFUNCTION("""COMPUTED_VALUE"""),"DRE - ANANINDEUA / BELEMBelem 7")</f>
        <v>DRE - ANANINDEUA / BELEMBelem 7</v>
      </c>
      <c r="F342" s="1">
        <f ca="1">IFERROR(__xludf.DUMMYFUNCTION("""COMPUTED_VALUE"""),2)</f>
        <v>2</v>
      </c>
      <c r="G342" s="1" t="str">
        <f ca="1">IFERROR(__xludf.DUMMYFUNCTION("""COMPUTED_VALUE"""),"DRE BELEM 8")</f>
        <v>DRE BELEM 8</v>
      </c>
      <c r="H342" s="1" t="str">
        <f ca="1">IFERROR(__xludf.DUMMYFUNCTION("""COMPUTED_VALUE"""),"19A URE - BELEM")</f>
        <v>19A URE - BELEM</v>
      </c>
      <c r="I342" s="2" t="str">
        <f ca="1">IFERROR(__xludf.DUMMYFUNCTION("""COMPUTED_VALUE"""),"Unidade 8")</f>
        <v>Unidade 8</v>
      </c>
      <c r="J342" s="1" t="str">
        <f ca="1">IFERROR(__xludf.DUMMYFUNCTION("""COMPUTED_VALUE"""),"BELEM")</f>
        <v>BELEM</v>
      </c>
      <c r="K342" s="1">
        <f ca="1">IFERROR(__xludf.DUMMYFUNCTION("""COMPUTED_VALUE"""),15037223)</f>
        <v>15037223</v>
      </c>
      <c r="L342" s="2" t="str">
        <f ca="1">IFERROR(__xludf.DUMMYFUNCTION("""COMPUTED_VALUE"""),"001920932600000")</f>
        <v>001920932600000</v>
      </c>
      <c r="M342" s="2" t="str">
        <f ca="1">IFERROR(__xludf.DUMMYFUNCTION("""COMPUTED_VALUE"""),"1920932600000")</f>
        <v>1920932600000</v>
      </c>
      <c r="N342" s="1" t="str">
        <f ca="1">IFERROR(__xludf.DUMMYFUNCTION("""COMPUTED_VALUE"""),"EEEF CASA DA CRIANCA SANTA INES")</f>
        <v>EEEF CASA DA CRIANCA SANTA INES</v>
      </c>
      <c r="O342" s="1"/>
      <c r="P342" s="1"/>
      <c r="Q342" s="1" t="s">
        <v>285</v>
      </c>
    </row>
    <row r="343" spans="1:17" x14ac:dyDescent="0.25">
      <c r="A343" s="2" t="str">
        <f ca="1">IFERROR(__xludf.DUMMYFUNCTION("""COMPUTED_VALUE"""),"REG DE INTEGRA  METROPOLITANA")</f>
        <v>REG DE INTEGRA  METROPOLITANA</v>
      </c>
      <c r="B343" s="1" t="str">
        <f ca="1">IFERROR(__xludf.DUMMYFUNCTION("""COMPUTED_VALUE"""),"DRE BELEM 7")</f>
        <v>DRE BELEM 7</v>
      </c>
      <c r="C343" s="2" t="str">
        <f ca="1">IFERROR(__xludf.DUMMYFUNCTION("""COMPUTED_VALUE"""),"DRE - ANANINDEUA / BELEM")</f>
        <v>DRE - ANANINDEUA / BELEM</v>
      </c>
      <c r="D343" s="2" t="str">
        <f ca="1">IFERROR(__xludf.DUMMYFUNCTION("""COMPUTED_VALUE"""),"Belem 7")</f>
        <v>Belem 7</v>
      </c>
      <c r="E343" s="2" t="str">
        <f ca="1">IFERROR(__xludf.DUMMYFUNCTION("""COMPUTED_VALUE"""),"DRE - ANANINDEUA / BELEMBelem 7")</f>
        <v>DRE - ANANINDEUA / BELEMBelem 7</v>
      </c>
      <c r="F343" s="1">
        <f ca="1">IFERROR(__xludf.DUMMYFUNCTION("""COMPUTED_VALUE"""),2)</f>
        <v>2</v>
      </c>
      <c r="G343" s="1" t="str">
        <f ca="1">IFERROR(__xludf.DUMMYFUNCTION("""COMPUTED_VALUE"""),"DRE BELEM 8")</f>
        <v>DRE BELEM 8</v>
      </c>
      <c r="H343" s="1" t="str">
        <f ca="1">IFERROR(__xludf.DUMMYFUNCTION("""COMPUTED_VALUE"""),"19A URE - BELEM")</f>
        <v>19A URE - BELEM</v>
      </c>
      <c r="I343" s="2" t="str">
        <f ca="1">IFERROR(__xludf.DUMMYFUNCTION("""COMPUTED_VALUE"""),"Unidade 8")</f>
        <v>Unidade 8</v>
      </c>
      <c r="J343" s="1" t="str">
        <f ca="1">IFERROR(__xludf.DUMMYFUNCTION("""COMPUTED_VALUE"""),"BELEM")</f>
        <v>BELEM</v>
      </c>
      <c r="K343" s="1">
        <f ca="1">IFERROR(__xludf.DUMMYFUNCTION("""COMPUTED_VALUE"""),15040437)</f>
        <v>15040437</v>
      </c>
      <c r="L343" s="2" t="str">
        <f ca="1">IFERROR(__xludf.DUMMYFUNCTION("""COMPUTED_VALUE"""),"001920901970000")</f>
        <v>001920901970000</v>
      </c>
      <c r="M343" s="2" t="str">
        <f ca="1">IFERROR(__xludf.DUMMYFUNCTION("""COMPUTED_VALUE"""),"1920901970000")</f>
        <v>1920901970000</v>
      </c>
      <c r="N343" s="1" t="str">
        <f ca="1">IFERROR(__xludf.DUMMYFUNCTION("""COMPUTED_VALUE"""),"EEEF MANOEL DE JESUS MORAES")</f>
        <v>EEEF MANOEL DE JESUS MORAES</v>
      </c>
      <c r="O343" s="1"/>
      <c r="P343" s="1"/>
      <c r="Q343" s="1" t="s">
        <v>285</v>
      </c>
    </row>
    <row r="344" spans="1:17" x14ac:dyDescent="0.25">
      <c r="A344" s="2" t="str">
        <f ca="1">IFERROR(__xludf.DUMMYFUNCTION("""COMPUTED_VALUE"""),"REG DE INTEGRA  METROPOLITANA")</f>
        <v>REG DE INTEGRA  METROPOLITANA</v>
      </c>
      <c r="B344" s="1" t="str">
        <f ca="1">IFERROR(__xludf.DUMMYFUNCTION("""COMPUTED_VALUE"""),"DRE BELEM 7")</f>
        <v>DRE BELEM 7</v>
      </c>
      <c r="C344" s="2" t="str">
        <f ca="1">IFERROR(__xludf.DUMMYFUNCTION("""COMPUTED_VALUE"""),"DRE - ANANINDEUA / BELEM")</f>
        <v>DRE - ANANINDEUA / BELEM</v>
      </c>
      <c r="D344" s="2" t="str">
        <f ca="1">IFERROR(__xludf.DUMMYFUNCTION("""COMPUTED_VALUE"""),"Belem 7")</f>
        <v>Belem 7</v>
      </c>
      <c r="E344" s="2" t="str">
        <f ca="1">IFERROR(__xludf.DUMMYFUNCTION("""COMPUTED_VALUE"""),"DRE - ANANINDEUA / BELEMBelem 7")</f>
        <v>DRE - ANANINDEUA / BELEMBelem 7</v>
      </c>
      <c r="F344" s="1">
        <f ca="1">IFERROR(__xludf.DUMMYFUNCTION("""COMPUTED_VALUE"""),2)</f>
        <v>2</v>
      </c>
      <c r="G344" s="1" t="str">
        <f ca="1">IFERROR(__xludf.DUMMYFUNCTION("""COMPUTED_VALUE"""),"DRE BELEM 8")</f>
        <v>DRE BELEM 8</v>
      </c>
      <c r="H344" s="1" t="str">
        <f ca="1">IFERROR(__xludf.DUMMYFUNCTION("""COMPUTED_VALUE"""),"19A URE - BELEM")</f>
        <v>19A URE - BELEM</v>
      </c>
      <c r="I344" s="2" t="str">
        <f ca="1">IFERROR(__xludf.DUMMYFUNCTION("""COMPUTED_VALUE"""),"Unidade 8")</f>
        <v>Unidade 8</v>
      </c>
      <c r="J344" s="1" t="str">
        <f ca="1">IFERROR(__xludf.DUMMYFUNCTION("""COMPUTED_VALUE"""),"BELEM")</f>
        <v>BELEM</v>
      </c>
      <c r="K344" s="1">
        <f ca="1">IFERROR(__xludf.DUMMYFUNCTION("""COMPUTED_VALUE"""),15041360)</f>
        <v>15041360</v>
      </c>
      <c r="L344" s="2" t="str">
        <f ca="1">IFERROR(__xludf.DUMMYFUNCTION("""COMPUTED_VALUE"""),"001920930930000")</f>
        <v>001920930930000</v>
      </c>
      <c r="M344" s="2" t="str">
        <f ca="1">IFERROR(__xludf.DUMMYFUNCTION("""COMPUTED_VALUE"""),"1920930930000")</f>
        <v>1920930930000</v>
      </c>
      <c r="N344" s="1" t="str">
        <f ca="1">IFERROR(__xludf.DUMMYFUNCTION("""COMPUTED_VALUE"""),"EEEF PREVENTORIO SANTA TEREZINHA")</f>
        <v>EEEF PREVENTORIO SANTA TEREZINHA</v>
      </c>
      <c r="O344" s="1"/>
      <c r="P344" s="1"/>
      <c r="Q344" s="1" t="s">
        <v>285</v>
      </c>
    </row>
    <row r="345" spans="1:17" x14ac:dyDescent="0.25">
      <c r="A345" s="2" t="str">
        <f ca="1">IFERROR(__xludf.DUMMYFUNCTION("""COMPUTED_VALUE"""),"REG DE INTEGRA  METROPOLITANA")</f>
        <v>REG DE INTEGRA  METROPOLITANA</v>
      </c>
      <c r="B345" s="1" t="str">
        <f ca="1">IFERROR(__xludf.DUMMYFUNCTION("""COMPUTED_VALUE"""),"DRE BELEM 7")</f>
        <v>DRE BELEM 7</v>
      </c>
      <c r="C345" s="2" t="str">
        <f ca="1">IFERROR(__xludf.DUMMYFUNCTION("""COMPUTED_VALUE"""),"DRE - ANANINDEUA / BELEM")</f>
        <v>DRE - ANANINDEUA / BELEM</v>
      </c>
      <c r="D345" s="2" t="str">
        <f ca="1">IFERROR(__xludf.DUMMYFUNCTION("""COMPUTED_VALUE"""),"Belem 7")</f>
        <v>Belem 7</v>
      </c>
      <c r="E345" s="2" t="str">
        <f ca="1">IFERROR(__xludf.DUMMYFUNCTION("""COMPUTED_VALUE"""),"DRE - ANANINDEUA / BELEMBelem 7")</f>
        <v>DRE - ANANINDEUA / BELEMBelem 7</v>
      </c>
      <c r="F345" s="1">
        <f ca="1">IFERROR(__xludf.DUMMYFUNCTION("""COMPUTED_VALUE"""),2)</f>
        <v>2</v>
      </c>
      <c r="G345" s="1" t="str">
        <f ca="1">IFERROR(__xludf.DUMMYFUNCTION("""COMPUTED_VALUE"""),"DRE BELEM 8")</f>
        <v>DRE BELEM 8</v>
      </c>
      <c r="H345" s="1" t="str">
        <f ca="1">IFERROR(__xludf.DUMMYFUNCTION("""COMPUTED_VALUE"""),"19A URE - BELEM")</f>
        <v>19A URE - BELEM</v>
      </c>
      <c r="I345" s="2" t="str">
        <f ca="1">IFERROR(__xludf.DUMMYFUNCTION("""COMPUTED_VALUE"""),"Unidade 8")</f>
        <v>Unidade 8</v>
      </c>
      <c r="J345" s="1" t="str">
        <f ca="1">IFERROR(__xludf.DUMMYFUNCTION("""COMPUTED_VALUE"""),"BELEM")</f>
        <v>BELEM</v>
      </c>
      <c r="K345" s="1">
        <f ca="1">IFERROR(__xludf.DUMMYFUNCTION("""COMPUTED_VALUE"""),15039510)</f>
        <v>15039510</v>
      </c>
      <c r="L345" s="2" t="str">
        <f ca="1">IFERROR(__xludf.DUMMYFUNCTION("""COMPUTED_VALUE"""),"001920901290000")</f>
        <v>001920901290000</v>
      </c>
      <c r="M345" s="2" t="str">
        <f ca="1">IFERROR(__xludf.DUMMYFUNCTION("""COMPUTED_VALUE"""),"1920901290000")</f>
        <v>1920901290000</v>
      </c>
      <c r="N345" s="1" t="str">
        <f ca="1">IFERROR(__xludf.DUMMYFUNCTION("""COMPUTED_VALUE"""),"EEEF PROFA ANESIA")</f>
        <v>EEEF PROFA ANESIA</v>
      </c>
      <c r="O345" s="1"/>
      <c r="P345" s="1"/>
      <c r="Q345" s="1" t="s">
        <v>285</v>
      </c>
    </row>
    <row r="346" spans="1:17" x14ac:dyDescent="0.25">
      <c r="A346" s="2" t="str">
        <f ca="1">IFERROR(__xludf.DUMMYFUNCTION("""COMPUTED_VALUE"""),"REG DE INTEGRA  METROPOLITANA")</f>
        <v>REG DE INTEGRA  METROPOLITANA</v>
      </c>
      <c r="B346" s="1" t="str">
        <f ca="1">IFERROR(__xludf.DUMMYFUNCTION("""COMPUTED_VALUE"""),"DRE BELEM 7")</f>
        <v>DRE BELEM 7</v>
      </c>
      <c r="C346" s="2" t="str">
        <f ca="1">IFERROR(__xludf.DUMMYFUNCTION("""COMPUTED_VALUE"""),"DRE - ANANINDEUA / BELEM")</f>
        <v>DRE - ANANINDEUA / BELEM</v>
      </c>
      <c r="D346" s="2" t="str">
        <f ca="1">IFERROR(__xludf.DUMMYFUNCTION("""COMPUTED_VALUE"""),"Belem 7")</f>
        <v>Belem 7</v>
      </c>
      <c r="E346" s="2" t="str">
        <f ca="1">IFERROR(__xludf.DUMMYFUNCTION("""COMPUTED_VALUE"""),"DRE - ANANINDEUA / BELEMBelem 7")</f>
        <v>DRE - ANANINDEUA / BELEMBelem 7</v>
      </c>
      <c r="F346" s="1">
        <f ca="1">IFERROR(__xludf.DUMMYFUNCTION("""COMPUTED_VALUE"""),2)</f>
        <v>2</v>
      </c>
      <c r="G346" s="1" t="str">
        <f ca="1">IFERROR(__xludf.DUMMYFUNCTION("""COMPUTED_VALUE"""),"DRE BELEM 8")</f>
        <v>DRE BELEM 8</v>
      </c>
      <c r="H346" s="1" t="str">
        <f ca="1">IFERROR(__xludf.DUMMYFUNCTION("""COMPUTED_VALUE"""),"19A URE - BELEM")</f>
        <v>19A URE - BELEM</v>
      </c>
      <c r="I346" s="2" t="str">
        <f ca="1">IFERROR(__xludf.DUMMYFUNCTION("""COMPUTED_VALUE"""),"Unidade 8")</f>
        <v>Unidade 8</v>
      </c>
      <c r="J346" s="1" t="str">
        <f ca="1">IFERROR(__xludf.DUMMYFUNCTION("""COMPUTED_VALUE"""),"BELEM")</f>
        <v>BELEM</v>
      </c>
      <c r="K346" s="1">
        <f ca="1">IFERROR(__xludf.DUMMYFUNCTION("""COMPUTED_VALUE"""),15040496)</f>
        <v>15040496</v>
      </c>
      <c r="L346" s="2" t="str">
        <f ca="1">IFERROR(__xludf.DUMMYFUNCTION("""COMPUTED_VALUE"""),"001920901870000")</f>
        <v>001920901870000</v>
      </c>
      <c r="M346" s="2" t="str">
        <f ca="1">IFERROR(__xludf.DUMMYFUNCTION("""COMPUTED_VALUE"""),"1920901870000")</f>
        <v>1920901870000</v>
      </c>
      <c r="N346" s="1" t="str">
        <f ca="1">IFERROR(__xludf.DUMMYFUNCTION("""COMPUTED_VALUE"""),"EEEF PROFA DONATILA SANTANA LOPES")</f>
        <v>EEEF PROFA DONATILA SANTANA LOPES</v>
      </c>
      <c r="O346" s="1"/>
      <c r="P346" s="1"/>
      <c r="Q346" s="1" t="s">
        <v>285</v>
      </c>
    </row>
    <row r="347" spans="1:17" x14ac:dyDescent="0.25">
      <c r="A347" s="2" t="str">
        <f ca="1">IFERROR(__xludf.DUMMYFUNCTION("""COMPUTED_VALUE"""),"REG DE INTEGRA  METROPOLITANA")</f>
        <v>REG DE INTEGRA  METROPOLITANA</v>
      </c>
      <c r="B347" s="1" t="str">
        <f ca="1">IFERROR(__xludf.DUMMYFUNCTION("""COMPUTED_VALUE"""),"DRE BELEM 7")</f>
        <v>DRE BELEM 7</v>
      </c>
      <c r="C347" s="2" t="str">
        <f ca="1">IFERROR(__xludf.DUMMYFUNCTION("""COMPUTED_VALUE"""),"DRE - ANANINDEUA / BELEM")</f>
        <v>DRE - ANANINDEUA / BELEM</v>
      </c>
      <c r="D347" s="2" t="str">
        <f ca="1">IFERROR(__xludf.DUMMYFUNCTION("""COMPUTED_VALUE"""),"Belem 7")</f>
        <v>Belem 7</v>
      </c>
      <c r="E347" s="2" t="str">
        <f ca="1">IFERROR(__xludf.DUMMYFUNCTION("""COMPUTED_VALUE"""),"DRE - ANANINDEUA / BELEMBelem 7")</f>
        <v>DRE - ANANINDEUA / BELEMBelem 7</v>
      </c>
      <c r="F347" s="1">
        <f ca="1">IFERROR(__xludf.DUMMYFUNCTION("""COMPUTED_VALUE"""),2)</f>
        <v>2</v>
      </c>
      <c r="G347" s="1" t="str">
        <f ca="1">IFERROR(__xludf.DUMMYFUNCTION("""COMPUTED_VALUE"""),"DRE BELEM 8")</f>
        <v>DRE BELEM 8</v>
      </c>
      <c r="H347" s="1" t="str">
        <f ca="1">IFERROR(__xludf.DUMMYFUNCTION("""COMPUTED_VALUE"""),"19A URE - BELEM")</f>
        <v>19A URE - BELEM</v>
      </c>
      <c r="I347" s="2" t="str">
        <f ca="1">IFERROR(__xludf.DUMMYFUNCTION("""COMPUTED_VALUE"""),"Unidade 8")</f>
        <v>Unidade 8</v>
      </c>
      <c r="J347" s="1" t="str">
        <f ca="1">IFERROR(__xludf.DUMMYFUNCTION("""COMPUTED_VALUE"""),"BELEM")</f>
        <v>BELEM</v>
      </c>
      <c r="K347" s="1">
        <f ca="1">IFERROR(__xludf.DUMMYFUNCTION("""COMPUTED_VALUE"""),15040208)</f>
        <v>15040208</v>
      </c>
      <c r="L347" s="2" t="str">
        <f ca="1">IFERROR(__xludf.DUMMYFUNCTION("""COMPUTED_VALUE"""),"001920902140000")</f>
        <v>001920902140000</v>
      </c>
      <c r="M347" s="2" t="str">
        <f ca="1">IFERROR(__xludf.DUMMYFUNCTION("""COMPUTED_VALUE"""),"1920902140000")</f>
        <v>1920902140000</v>
      </c>
      <c r="N347" s="1" t="str">
        <f ca="1">IFERROR(__xludf.DUMMYFUNCTION("""COMPUTED_VALUE"""),"EEEF RUTH PASSARINHO")</f>
        <v>EEEF RUTH PASSARINHO</v>
      </c>
      <c r="O347" s="1"/>
      <c r="P347" s="1"/>
      <c r="Q347" s="1" t="s">
        <v>285</v>
      </c>
    </row>
    <row r="348" spans="1:17" x14ac:dyDescent="0.25">
      <c r="A348" s="2" t="str">
        <f ca="1">IFERROR(__xludf.DUMMYFUNCTION("""COMPUTED_VALUE"""),"REG DE INTEGRA  METROPOLITANA")</f>
        <v>REG DE INTEGRA  METROPOLITANA</v>
      </c>
      <c r="B348" s="1" t="str">
        <f ca="1">IFERROR(__xludf.DUMMYFUNCTION("""COMPUTED_VALUE"""),"DRE BELEM 7")</f>
        <v>DRE BELEM 7</v>
      </c>
      <c r="C348" s="2" t="str">
        <f ca="1">IFERROR(__xludf.DUMMYFUNCTION("""COMPUTED_VALUE"""),"DRE - ANANINDEUA / BELEM")</f>
        <v>DRE - ANANINDEUA / BELEM</v>
      </c>
      <c r="D348" s="2" t="str">
        <f ca="1">IFERROR(__xludf.DUMMYFUNCTION("""COMPUTED_VALUE"""),"Belem 7")</f>
        <v>Belem 7</v>
      </c>
      <c r="E348" s="2" t="str">
        <f ca="1">IFERROR(__xludf.DUMMYFUNCTION("""COMPUTED_VALUE"""),"DRE - ANANINDEUA / BELEMBelem 7")</f>
        <v>DRE - ANANINDEUA / BELEMBelem 7</v>
      </c>
      <c r="F348" s="1">
        <f ca="1">IFERROR(__xludf.DUMMYFUNCTION("""COMPUTED_VALUE"""),2)</f>
        <v>2</v>
      </c>
      <c r="G348" s="1" t="str">
        <f ca="1">IFERROR(__xludf.DUMMYFUNCTION("""COMPUTED_VALUE"""),"DRE BELEM 8")</f>
        <v>DRE BELEM 8</v>
      </c>
      <c r="H348" s="1" t="str">
        <f ca="1">IFERROR(__xludf.DUMMYFUNCTION("""COMPUTED_VALUE"""),"19A URE - BELEM")</f>
        <v>19A URE - BELEM</v>
      </c>
      <c r="I348" s="2" t="str">
        <f ca="1">IFERROR(__xludf.DUMMYFUNCTION("""COMPUTED_VALUE"""),"Unidade 8")</f>
        <v>Unidade 8</v>
      </c>
      <c r="J348" s="1" t="str">
        <f ca="1">IFERROR(__xludf.DUMMYFUNCTION("""COMPUTED_VALUE"""),"BELEM")</f>
        <v>BELEM</v>
      </c>
      <c r="K348" s="1">
        <f ca="1">IFERROR(__xludf.DUMMYFUNCTION("""COMPUTED_VALUE"""),15039714)</f>
        <v>15039714</v>
      </c>
      <c r="L348" s="2" t="str">
        <f ca="1">IFERROR(__xludf.DUMMYFUNCTION("""COMPUTED_VALUE"""),"001920901810000")</f>
        <v>001920901810000</v>
      </c>
      <c r="M348" s="2" t="str">
        <f ca="1">IFERROR(__xludf.DUMMYFUNCTION("""COMPUTED_VALUE"""),"1920901810000")</f>
        <v>1920901810000</v>
      </c>
      <c r="N348" s="1" t="str">
        <f ca="1">IFERROR(__xludf.DUMMYFUNCTION("""COMPUTED_VALUE"""),"EEEFM DOM PEDRO II")</f>
        <v>EEEFM DOM PEDRO II</v>
      </c>
      <c r="O348" s="1"/>
      <c r="P348" s="1"/>
      <c r="Q348" s="1" t="s">
        <v>285</v>
      </c>
    </row>
    <row r="349" spans="1:17" x14ac:dyDescent="0.25">
      <c r="A349" s="2" t="str">
        <f ca="1">IFERROR(__xludf.DUMMYFUNCTION("""COMPUTED_VALUE"""),"REG DE INTEGRA  METROPOLITANA")</f>
        <v>REG DE INTEGRA  METROPOLITANA</v>
      </c>
      <c r="B349" s="1" t="str">
        <f ca="1">IFERROR(__xludf.DUMMYFUNCTION("""COMPUTED_VALUE"""),"DRE BELEM 7")</f>
        <v>DRE BELEM 7</v>
      </c>
      <c r="C349" s="2" t="str">
        <f ca="1">IFERROR(__xludf.DUMMYFUNCTION("""COMPUTED_VALUE"""),"DRE - ANANINDEUA / BELEM")</f>
        <v>DRE - ANANINDEUA / BELEM</v>
      </c>
      <c r="D349" s="2" t="str">
        <f ca="1">IFERROR(__xludf.DUMMYFUNCTION("""COMPUTED_VALUE"""),"Belem 7")</f>
        <v>Belem 7</v>
      </c>
      <c r="E349" s="2" t="str">
        <f ca="1">IFERROR(__xludf.DUMMYFUNCTION("""COMPUTED_VALUE"""),"DRE - ANANINDEUA / BELEMBelem 7")</f>
        <v>DRE - ANANINDEUA / BELEMBelem 7</v>
      </c>
      <c r="F349" s="1">
        <f ca="1">IFERROR(__xludf.DUMMYFUNCTION("""COMPUTED_VALUE"""),2)</f>
        <v>2</v>
      </c>
      <c r="G349" s="1" t="str">
        <f ca="1">IFERROR(__xludf.DUMMYFUNCTION("""COMPUTED_VALUE"""),"DRE BELEM 8")</f>
        <v>DRE BELEM 8</v>
      </c>
      <c r="H349" s="1" t="str">
        <f ca="1">IFERROR(__xludf.DUMMYFUNCTION("""COMPUTED_VALUE"""),"19A URE - BELEM")</f>
        <v>19A URE - BELEM</v>
      </c>
      <c r="I349" s="2" t="str">
        <f ca="1">IFERROR(__xludf.DUMMYFUNCTION("""COMPUTED_VALUE"""),"Unidade 8")</f>
        <v>Unidade 8</v>
      </c>
      <c r="J349" s="1" t="str">
        <f ca="1">IFERROR(__xludf.DUMMYFUNCTION("""COMPUTED_VALUE"""),"BELEM")</f>
        <v>BELEM</v>
      </c>
      <c r="K349" s="1">
        <f ca="1">IFERROR(__xludf.DUMMYFUNCTION("""COMPUTED_VALUE"""),15040011)</f>
        <v>15040011</v>
      </c>
      <c r="L349" s="2" t="str">
        <f ca="1">IFERROR(__xludf.DUMMYFUNCTION("""COMPUTED_VALUE"""),"001920901910000")</f>
        <v>001920901910000</v>
      </c>
      <c r="M349" s="2" t="str">
        <f ca="1">IFERROR(__xludf.DUMMYFUNCTION("""COMPUTED_VALUE"""),"1920901910000")</f>
        <v>1920901910000</v>
      </c>
      <c r="N349" s="1" t="str">
        <f ca="1">IFERROR(__xludf.DUMMYFUNCTION("""COMPUTED_VALUE"""),"EEEFM JARBAS PASSARINHO")</f>
        <v>EEEFM JARBAS PASSARINHO</v>
      </c>
      <c r="O349" s="1"/>
      <c r="P349" s="1"/>
      <c r="Q349" s="1" t="s">
        <v>285</v>
      </c>
    </row>
    <row r="350" spans="1:17" x14ac:dyDescent="0.25">
      <c r="A350" s="2" t="str">
        <f ca="1">IFERROR(__xludf.DUMMYFUNCTION("""COMPUTED_VALUE"""),"REG DE INTEGRA  METROPOLITANA")</f>
        <v>REG DE INTEGRA  METROPOLITANA</v>
      </c>
      <c r="B350" s="1" t="str">
        <f ca="1">IFERROR(__xludf.DUMMYFUNCTION("""COMPUTED_VALUE"""),"DRE BELEM 7")</f>
        <v>DRE BELEM 7</v>
      </c>
      <c r="C350" s="2" t="str">
        <f ca="1">IFERROR(__xludf.DUMMYFUNCTION("""COMPUTED_VALUE"""),"DRE - ANANINDEUA / BELEM")</f>
        <v>DRE - ANANINDEUA / BELEM</v>
      </c>
      <c r="D350" s="2" t="str">
        <f ca="1">IFERROR(__xludf.DUMMYFUNCTION("""COMPUTED_VALUE"""),"Belem 7")</f>
        <v>Belem 7</v>
      </c>
      <c r="E350" s="2" t="str">
        <f ca="1">IFERROR(__xludf.DUMMYFUNCTION("""COMPUTED_VALUE"""),"DRE - ANANINDEUA / BELEMBelem 7")</f>
        <v>DRE - ANANINDEUA / BELEMBelem 7</v>
      </c>
      <c r="F350" s="1">
        <f ca="1">IFERROR(__xludf.DUMMYFUNCTION("""COMPUTED_VALUE"""),2)</f>
        <v>2</v>
      </c>
      <c r="G350" s="1" t="str">
        <f ca="1">IFERROR(__xludf.DUMMYFUNCTION("""COMPUTED_VALUE"""),"DRE BELEM 8")</f>
        <v>DRE BELEM 8</v>
      </c>
      <c r="H350" s="1" t="str">
        <f ca="1">IFERROR(__xludf.DUMMYFUNCTION("""COMPUTED_VALUE"""),"19A URE - BELEM")</f>
        <v>19A URE - BELEM</v>
      </c>
      <c r="I350" s="2" t="str">
        <f ca="1">IFERROR(__xludf.DUMMYFUNCTION("""COMPUTED_VALUE"""),"Unidade 8")</f>
        <v>Unidade 8</v>
      </c>
      <c r="J350" s="1" t="str">
        <f ca="1">IFERROR(__xludf.DUMMYFUNCTION("""COMPUTED_VALUE"""),"BELEM")</f>
        <v>BELEM</v>
      </c>
      <c r="K350" s="1">
        <f ca="1">IFERROR(__xludf.DUMMYFUNCTION("""COMPUTED_VALUE"""),15039650)</f>
        <v>15039650</v>
      </c>
      <c r="L350" s="2" t="str">
        <f ca="1">IFERROR(__xludf.DUMMYFUNCTION("""COMPUTED_VALUE"""),"001920902080000")</f>
        <v>001920902080000</v>
      </c>
      <c r="M350" s="2" t="str">
        <f ca="1">IFERROR(__xludf.DUMMYFUNCTION("""COMPUTED_VALUE"""),"1920902080000")</f>
        <v>1920902080000</v>
      </c>
      <c r="N350" s="1" t="str">
        <f ca="1">IFERROR(__xludf.DUMMYFUNCTION("""COMPUTED_VALUE"""),"EEEFM LAURO SODRE")</f>
        <v>EEEFM LAURO SODRE</v>
      </c>
      <c r="O350" s="1"/>
      <c r="P350" s="1"/>
      <c r="Q350" s="1" t="s">
        <v>285</v>
      </c>
    </row>
    <row r="351" spans="1:17" x14ac:dyDescent="0.25">
      <c r="A351" s="2" t="str">
        <f ca="1">IFERROR(__xludf.DUMMYFUNCTION("""COMPUTED_VALUE"""),"REG DE INTEGRA  METROPOLITANA")</f>
        <v>REG DE INTEGRA  METROPOLITANA</v>
      </c>
      <c r="B351" s="1" t="str">
        <f ca="1">IFERROR(__xludf.DUMMYFUNCTION("""COMPUTED_VALUE"""),"DRE BELEM 7")</f>
        <v>DRE BELEM 7</v>
      </c>
      <c r="C351" s="2" t="str">
        <f ca="1">IFERROR(__xludf.DUMMYFUNCTION("""COMPUTED_VALUE"""),"DRE - ANANINDEUA / BELEM")</f>
        <v>DRE - ANANINDEUA / BELEM</v>
      </c>
      <c r="D351" s="2" t="str">
        <f ca="1">IFERROR(__xludf.DUMMYFUNCTION("""COMPUTED_VALUE"""),"Belem 7")</f>
        <v>Belem 7</v>
      </c>
      <c r="E351" s="2" t="str">
        <f ca="1">IFERROR(__xludf.DUMMYFUNCTION("""COMPUTED_VALUE"""),"DRE - ANANINDEUA / BELEMBelem 7")</f>
        <v>DRE - ANANINDEUA / BELEMBelem 7</v>
      </c>
      <c r="F351" s="1">
        <f ca="1">IFERROR(__xludf.DUMMYFUNCTION("""COMPUTED_VALUE"""),2)</f>
        <v>2</v>
      </c>
      <c r="G351" s="1" t="str">
        <f ca="1">IFERROR(__xludf.DUMMYFUNCTION("""COMPUTED_VALUE"""),"DRE BELEM 8")</f>
        <v>DRE BELEM 8</v>
      </c>
      <c r="H351" s="1" t="str">
        <f ca="1">IFERROR(__xludf.DUMMYFUNCTION("""COMPUTED_VALUE"""),"19A URE - BELEM")</f>
        <v>19A URE - BELEM</v>
      </c>
      <c r="I351" s="2" t="str">
        <f ca="1">IFERROR(__xludf.DUMMYFUNCTION("""COMPUTED_VALUE"""),"Unidade 8")</f>
        <v>Unidade 8</v>
      </c>
      <c r="J351" s="1" t="str">
        <f ca="1">IFERROR(__xludf.DUMMYFUNCTION("""COMPUTED_VALUE"""),"BELEM")</f>
        <v>BELEM</v>
      </c>
      <c r="K351" s="1">
        <f ca="1">IFERROR(__xludf.DUMMYFUNCTION("""COMPUTED_VALUE"""),15040429)</f>
        <v>15040429</v>
      </c>
      <c r="L351" s="2" t="str">
        <f ca="1">IFERROR(__xludf.DUMMYFUNCTION("""COMPUTED_VALUE"""),"001920902090000")</f>
        <v>001920902090000</v>
      </c>
      <c r="M351" s="2" t="str">
        <f ca="1">IFERROR(__xludf.DUMMYFUNCTION("""COMPUTED_VALUE"""),"1920902090000")</f>
        <v>1920902090000</v>
      </c>
      <c r="N351" s="1" t="str">
        <f ca="1">IFERROR(__xludf.DUMMYFUNCTION("""COMPUTED_VALUE"""),"EEEFM MAL CORDEIRO DE FARIAS")</f>
        <v>EEEFM MAL CORDEIRO DE FARIAS</v>
      </c>
      <c r="O351" s="1"/>
      <c r="P351" s="1"/>
      <c r="Q351" s="1" t="s">
        <v>285</v>
      </c>
    </row>
    <row r="352" spans="1:17" x14ac:dyDescent="0.25">
      <c r="A352" s="2" t="str">
        <f ca="1">IFERROR(__xludf.DUMMYFUNCTION("""COMPUTED_VALUE"""),"REG DE INTEGRA  METROPOLITANA")</f>
        <v>REG DE INTEGRA  METROPOLITANA</v>
      </c>
      <c r="B352" s="1" t="str">
        <f ca="1">IFERROR(__xludf.DUMMYFUNCTION("""COMPUTED_VALUE"""),"DRE BELEM 7")</f>
        <v>DRE BELEM 7</v>
      </c>
      <c r="C352" s="2" t="str">
        <f ca="1">IFERROR(__xludf.DUMMYFUNCTION("""COMPUTED_VALUE"""),"DRE - ANANINDEUA / BELEM")</f>
        <v>DRE - ANANINDEUA / BELEM</v>
      </c>
      <c r="D352" s="2" t="str">
        <f ca="1">IFERROR(__xludf.DUMMYFUNCTION("""COMPUTED_VALUE"""),"Belem 7")</f>
        <v>Belem 7</v>
      </c>
      <c r="E352" s="2" t="str">
        <f ca="1">IFERROR(__xludf.DUMMYFUNCTION("""COMPUTED_VALUE"""),"DRE - ANANINDEUA / BELEMBelem 7")</f>
        <v>DRE - ANANINDEUA / BELEMBelem 7</v>
      </c>
      <c r="F352" s="1">
        <f ca="1">IFERROR(__xludf.DUMMYFUNCTION("""COMPUTED_VALUE"""),2)</f>
        <v>2</v>
      </c>
      <c r="G352" s="1" t="str">
        <f ca="1">IFERROR(__xludf.DUMMYFUNCTION("""COMPUTED_VALUE"""),"DRE BELEM 8")</f>
        <v>DRE BELEM 8</v>
      </c>
      <c r="H352" s="1" t="str">
        <f ca="1">IFERROR(__xludf.DUMMYFUNCTION("""COMPUTED_VALUE"""),"19A URE - BELEM")</f>
        <v>19A URE - BELEM</v>
      </c>
      <c r="I352" s="2" t="str">
        <f ca="1">IFERROR(__xludf.DUMMYFUNCTION("""COMPUTED_VALUE"""),"Unidade 8")</f>
        <v>Unidade 8</v>
      </c>
      <c r="J352" s="1" t="str">
        <f ca="1">IFERROR(__xludf.DUMMYFUNCTION("""COMPUTED_VALUE"""),"BELEM")</f>
        <v>BELEM</v>
      </c>
      <c r="K352" s="1">
        <f ca="1">IFERROR(__xludf.DUMMYFUNCTION("""COMPUTED_VALUE"""),15041247)</f>
        <v>15041247</v>
      </c>
      <c r="L352" s="2" t="str">
        <f ca="1">IFERROR(__xludf.DUMMYFUNCTION("""COMPUTED_VALUE"""),"001920930900000")</f>
        <v>001920930900000</v>
      </c>
      <c r="M352" s="2" t="str">
        <f ca="1">IFERROR(__xludf.DUMMYFUNCTION("""COMPUTED_VALUE"""),"1920930900000")</f>
        <v>1920930900000</v>
      </c>
      <c r="N352" s="1" t="str">
        <f ca="1">IFERROR(__xludf.DUMMYFUNCTION("""COMPUTED_VALUE"""),"EEEFM NOSSA SENHORA DA CONCEICAO APARECIDA")</f>
        <v>EEEFM NOSSA SENHORA DA CONCEICAO APARECIDA</v>
      </c>
      <c r="O352" s="1"/>
      <c r="P352" s="1"/>
      <c r="Q352" s="1" t="s">
        <v>285</v>
      </c>
    </row>
    <row r="353" spans="1:17" x14ac:dyDescent="0.25">
      <c r="A353" s="2" t="str">
        <f ca="1">IFERROR(__xludf.DUMMYFUNCTION("""COMPUTED_VALUE"""),"REG DE INTEGRA  METROPOLITANA")</f>
        <v>REG DE INTEGRA  METROPOLITANA</v>
      </c>
      <c r="B353" s="1" t="str">
        <f ca="1">IFERROR(__xludf.DUMMYFUNCTION("""COMPUTED_VALUE"""),"DRE BELEM 7")</f>
        <v>DRE BELEM 7</v>
      </c>
      <c r="C353" s="2" t="str">
        <f ca="1">IFERROR(__xludf.DUMMYFUNCTION("""COMPUTED_VALUE"""),"DRE - ANANINDEUA / BELEM")</f>
        <v>DRE - ANANINDEUA / BELEM</v>
      </c>
      <c r="D353" s="2" t="str">
        <f ca="1">IFERROR(__xludf.DUMMYFUNCTION("""COMPUTED_VALUE"""),"Belem 7")</f>
        <v>Belem 7</v>
      </c>
      <c r="E353" s="2" t="str">
        <f ca="1">IFERROR(__xludf.DUMMYFUNCTION("""COMPUTED_VALUE"""),"DRE - ANANINDEUA / BELEMBelem 7")</f>
        <v>DRE - ANANINDEUA / BELEMBelem 7</v>
      </c>
      <c r="F353" s="1">
        <f ca="1">IFERROR(__xludf.DUMMYFUNCTION("""COMPUTED_VALUE"""),2)</f>
        <v>2</v>
      </c>
      <c r="G353" s="1" t="str">
        <f ca="1">IFERROR(__xludf.DUMMYFUNCTION("""COMPUTED_VALUE"""),"DRE BELEM 8")</f>
        <v>DRE BELEM 8</v>
      </c>
      <c r="H353" s="1" t="str">
        <f ca="1">IFERROR(__xludf.DUMMYFUNCTION("""COMPUTED_VALUE"""),"19A URE - BELEM")</f>
        <v>19A URE - BELEM</v>
      </c>
      <c r="I353" s="2" t="str">
        <f ca="1">IFERROR(__xludf.DUMMYFUNCTION("""COMPUTED_VALUE"""),"Unidade 8")</f>
        <v>Unidade 8</v>
      </c>
      <c r="J353" s="1" t="str">
        <f ca="1">IFERROR(__xludf.DUMMYFUNCTION("""COMPUTED_VALUE"""),"BELEM")</f>
        <v>BELEM</v>
      </c>
      <c r="K353" s="1">
        <f ca="1">IFERROR(__xludf.DUMMYFUNCTION("""COMPUTED_VALUE"""),15039234)</f>
        <v>15039234</v>
      </c>
      <c r="L353" s="2" t="str">
        <f ca="1">IFERROR(__xludf.DUMMYFUNCTION("""COMPUTED_VALUE"""),"001920901830000")</f>
        <v>001920901830000</v>
      </c>
      <c r="M353" s="2" t="str">
        <f ca="1">IFERROR(__xludf.DUMMYFUNCTION("""COMPUTED_VALUE"""),"1920901830000")</f>
        <v>1920901830000</v>
      </c>
      <c r="N353" s="1" t="str">
        <f ca="1">IFERROR(__xludf.DUMMYFUNCTION("""COMPUTED_VALUE"""),"EEEFM PAULINO DE BRITO")</f>
        <v>EEEFM PAULINO DE BRITO</v>
      </c>
      <c r="O353" s="1"/>
      <c r="P353" s="1"/>
      <c r="Q353" s="1" t="s">
        <v>285</v>
      </c>
    </row>
    <row r="354" spans="1:17" x14ac:dyDescent="0.25">
      <c r="A354" s="2" t="str">
        <f ca="1">IFERROR(__xludf.DUMMYFUNCTION("""COMPUTED_VALUE"""),"REG DE INTEGRA  METROPOLITANA")</f>
        <v>REG DE INTEGRA  METROPOLITANA</v>
      </c>
      <c r="B354" s="1" t="str">
        <f ca="1">IFERROR(__xludf.DUMMYFUNCTION("""COMPUTED_VALUE"""),"DRE BELEM 7")</f>
        <v>DRE BELEM 7</v>
      </c>
      <c r="C354" s="2" t="str">
        <f ca="1">IFERROR(__xludf.DUMMYFUNCTION("""COMPUTED_VALUE"""),"DRE - ANANINDEUA / BELEM")</f>
        <v>DRE - ANANINDEUA / BELEM</v>
      </c>
      <c r="D354" s="2" t="str">
        <f ca="1">IFERROR(__xludf.DUMMYFUNCTION("""COMPUTED_VALUE"""),"Belem 7")</f>
        <v>Belem 7</v>
      </c>
      <c r="E354" s="2" t="str">
        <f ca="1">IFERROR(__xludf.DUMMYFUNCTION("""COMPUTED_VALUE"""),"DRE - ANANINDEUA / BELEMBelem 7")</f>
        <v>DRE - ANANINDEUA / BELEMBelem 7</v>
      </c>
      <c r="F354" s="1">
        <f ca="1">IFERROR(__xludf.DUMMYFUNCTION("""COMPUTED_VALUE"""),2)</f>
        <v>2</v>
      </c>
      <c r="G354" s="1" t="str">
        <f ca="1">IFERROR(__xludf.DUMMYFUNCTION("""COMPUTED_VALUE"""),"DRE BELEM 8")</f>
        <v>DRE BELEM 8</v>
      </c>
      <c r="H354" s="1" t="str">
        <f ca="1">IFERROR(__xludf.DUMMYFUNCTION("""COMPUTED_VALUE"""),"19A URE - BELEM")</f>
        <v>19A URE - BELEM</v>
      </c>
      <c r="I354" s="2" t="str">
        <f ca="1">IFERROR(__xludf.DUMMYFUNCTION("""COMPUTED_VALUE"""),"Unidade 8")</f>
        <v>Unidade 8</v>
      </c>
      <c r="J354" s="1" t="str">
        <f ca="1">IFERROR(__xludf.DUMMYFUNCTION("""COMPUTED_VALUE"""),"BELEM")</f>
        <v>BELEM</v>
      </c>
      <c r="K354" s="1">
        <f ca="1">IFERROR(__xludf.DUMMYFUNCTION("""COMPUTED_VALUE"""),15038378)</f>
        <v>15038378</v>
      </c>
      <c r="L354" s="2" t="str">
        <f ca="1">IFERROR(__xludf.DUMMYFUNCTION("""COMPUTED_VALUE"""),"001920902220000")</f>
        <v>001920902220000</v>
      </c>
      <c r="M354" s="2" t="str">
        <f ca="1">IFERROR(__xludf.DUMMYFUNCTION("""COMPUTED_VALUE"""),"1920902220000")</f>
        <v>1920902220000</v>
      </c>
      <c r="N354" s="1" t="str">
        <f ca="1">IFERROR(__xludf.DUMMYFUNCTION("""COMPUTED_VALUE"""),"EEEFM PEDRO AMAZONAS PEDROSO")</f>
        <v>EEEFM PEDRO AMAZONAS PEDROSO</v>
      </c>
      <c r="O354" s="1"/>
      <c r="P354" s="1"/>
      <c r="Q354" s="1" t="s">
        <v>285</v>
      </c>
    </row>
    <row r="355" spans="1:17" x14ac:dyDescent="0.25">
      <c r="A355" s="2" t="str">
        <f ca="1">IFERROR(__xludf.DUMMYFUNCTION("""COMPUTED_VALUE"""),"REG DE INTEGRA  METROPOLITANA")</f>
        <v>REG DE INTEGRA  METROPOLITANA</v>
      </c>
      <c r="B355" s="1" t="str">
        <f ca="1">IFERROR(__xludf.DUMMYFUNCTION("""COMPUTED_VALUE"""),"DRE BELEM 7")</f>
        <v>DRE BELEM 7</v>
      </c>
      <c r="C355" s="2" t="str">
        <f ca="1">IFERROR(__xludf.DUMMYFUNCTION("""COMPUTED_VALUE"""),"DRE - ANANINDEUA / BELEM")</f>
        <v>DRE - ANANINDEUA / BELEM</v>
      </c>
      <c r="D355" s="2" t="str">
        <f ca="1">IFERROR(__xludf.DUMMYFUNCTION("""COMPUTED_VALUE"""),"Belem 7")</f>
        <v>Belem 7</v>
      </c>
      <c r="E355" s="2" t="str">
        <f ca="1">IFERROR(__xludf.DUMMYFUNCTION("""COMPUTED_VALUE"""),"DRE - ANANINDEUA / BELEMBelem 7")</f>
        <v>DRE - ANANINDEUA / BELEMBelem 7</v>
      </c>
      <c r="F355" s="1">
        <f ca="1">IFERROR(__xludf.DUMMYFUNCTION("""COMPUTED_VALUE"""),2)</f>
        <v>2</v>
      </c>
      <c r="G355" s="1" t="str">
        <f ca="1">IFERROR(__xludf.DUMMYFUNCTION("""COMPUTED_VALUE"""),"DRE BELEM 8")</f>
        <v>DRE BELEM 8</v>
      </c>
      <c r="H355" s="1" t="str">
        <f ca="1">IFERROR(__xludf.DUMMYFUNCTION("""COMPUTED_VALUE"""),"19A URE - BELEM")</f>
        <v>19A URE - BELEM</v>
      </c>
      <c r="I355" s="2" t="str">
        <f ca="1">IFERROR(__xludf.DUMMYFUNCTION("""COMPUTED_VALUE"""),"Unidade 8")</f>
        <v>Unidade 8</v>
      </c>
      <c r="J355" s="1" t="str">
        <f ca="1">IFERROR(__xludf.DUMMYFUNCTION("""COMPUTED_VALUE"""),"BELEM")</f>
        <v>BELEM</v>
      </c>
      <c r="K355" s="1">
        <f ca="1">IFERROR(__xludf.DUMMYFUNCTION("""COMPUTED_VALUE"""),15562220)</f>
        <v>15562220</v>
      </c>
      <c r="L355" s="2" t="str">
        <f ca="1">IFERROR(__xludf.DUMMYFUNCTION("""COMPUTED_VALUE"""),"001920929890000")</f>
        <v>001920929890000</v>
      </c>
      <c r="M355" s="2" t="str">
        <f ca="1">IFERROR(__xludf.DUMMYFUNCTION("""COMPUTED_VALUE"""),"1920929890000")</f>
        <v>1920929890000</v>
      </c>
      <c r="N355" s="1" t="str">
        <f ca="1">IFERROR(__xludf.DUMMYFUNCTION("""COMPUTED_VALUE"""),"EEEFM PROFA ALBANIZIA DE OLIVEIRA LIMA")</f>
        <v>EEEFM PROFA ALBANIZIA DE OLIVEIRA LIMA</v>
      </c>
      <c r="O355" s="1"/>
      <c r="P355" s="1"/>
      <c r="Q355" s="1" t="s">
        <v>285</v>
      </c>
    </row>
    <row r="356" spans="1:17" x14ac:dyDescent="0.25">
      <c r="A356" s="2" t="str">
        <f ca="1">IFERROR(__xludf.DUMMYFUNCTION("""COMPUTED_VALUE"""),"REG DE INTEGRA  METROPOLITANA")</f>
        <v>REG DE INTEGRA  METROPOLITANA</v>
      </c>
      <c r="B356" s="1" t="str">
        <f ca="1">IFERROR(__xludf.DUMMYFUNCTION("""COMPUTED_VALUE"""),"DRE BELEM 7")</f>
        <v>DRE BELEM 7</v>
      </c>
      <c r="C356" s="2" t="str">
        <f ca="1">IFERROR(__xludf.DUMMYFUNCTION("""COMPUTED_VALUE"""),"DRE - ANANINDEUA / BELEM")</f>
        <v>DRE - ANANINDEUA / BELEM</v>
      </c>
      <c r="D356" s="2" t="str">
        <f ca="1">IFERROR(__xludf.DUMMYFUNCTION("""COMPUTED_VALUE"""),"Belem 7")</f>
        <v>Belem 7</v>
      </c>
      <c r="E356" s="2" t="str">
        <f ca="1">IFERROR(__xludf.DUMMYFUNCTION("""COMPUTED_VALUE"""),"DRE - ANANINDEUA / BELEMBelem 7")</f>
        <v>DRE - ANANINDEUA / BELEMBelem 7</v>
      </c>
      <c r="F356" s="1">
        <f ca="1">IFERROR(__xludf.DUMMYFUNCTION("""COMPUTED_VALUE"""),2)</f>
        <v>2</v>
      </c>
      <c r="G356" s="1" t="str">
        <f ca="1">IFERROR(__xludf.DUMMYFUNCTION("""COMPUTED_VALUE"""),"DRE BELEM 8")</f>
        <v>DRE BELEM 8</v>
      </c>
      <c r="H356" s="1" t="str">
        <f ca="1">IFERROR(__xludf.DUMMYFUNCTION("""COMPUTED_VALUE"""),"19A URE - BELEM")</f>
        <v>19A URE - BELEM</v>
      </c>
      <c r="I356" s="2" t="str">
        <f ca="1">IFERROR(__xludf.DUMMYFUNCTION("""COMPUTED_VALUE"""),"Unidade 8")</f>
        <v>Unidade 8</v>
      </c>
      <c r="J356" s="1" t="str">
        <f ca="1">IFERROR(__xludf.DUMMYFUNCTION("""COMPUTED_VALUE"""),"BELEM")</f>
        <v>BELEM</v>
      </c>
      <c r="K356" s="1">
        <f ca="1">IFERROR(__xludf.DUMMYFUNCTION("""COMPUTED_VALUE"""),15041387)</f>
        <v>15041387</v>
      </c>
      <c r="L356" s="2" t="str">
        <f ca="1">IFERROR(__xludf.DUMMYFUNCTION("""COMPUTED_VALUE"""),"001920931010000")</f>
        <v>001920931010000</v>
      </c>
      <c r="M356" s="2" t="str">
        <f ca="1">IFERROR(__xludf.DUMMYFUNCTION("""COMPUTED_VALUE"""),"1920931010000")</f>
        <v>1920931010000</v>
      </c>
      <c r="N356" s="1" t="str">
        <f ca="1">IFERROR(__xludf.DUMMYFUNCTION("""COMPUTED_VALUE"""),"EEEFM SALESIANA DO TRABALHO")</f>
        <v>EEEFM SALESIANA DO TRABALHO</v>
      </c>
      <c r="O356" s="1"/>
      <c r="P356" s="1"/>
      <c r="Q356" s="1" t="s">
        <v>285</v>
      </c>
    </row>
    <row r="357" spans="1:17" x14ac:dyDescent="0.25">
      <c r="A357" s="2" t="str">
        <f ca="1">IFERROR(__xludf.DUMMYFUNCTION("""COMPUTED_VALUE"""),"REG DE INTEGRA  METROPOLITANA")</f>
        <v>REG DE INTEGRA  METROPOLITANA</v>
      </c>
      <c r="B357" s="1" t="str">
        <f ca="1">IFERROR(__xludf.DUMMYFUNCTION("""COMPUTED_VALUE"""),"DRE BELEM 7")</f>
        <v>DRE BELEM 7</v>
      </c>
      <c r="C357" s="2" t="str">
        <f ca="1">IFERROR(__xludf.DUMMYFUNCTION("""COMPUTED_VALUE"""),"DRE - ANANINDEUA / BELEM")</f>
        <v>DRE - ANANINDEUA / BELEM</v>
      </c>
      <c r="D357" s="2" t="str">
        <f ca="1">IFERROR(__xludf.DUMMYFUNCTION("""COMPUTED_VALUE"""),"Belem 7")</f>
        <v>Belem 7</v>
      </c>
      <c r="E357" s="2" t="str">
        <f ca="1">IFERROR(__xludf.DUMMYFUNCTION("""COMPUTED_VALUE"""),"DRE - ANANINDEUA / BELEMBelem 7")</f>
        <v>DRE - ANANINDEUA / BELEMBelem 7</v>
      </c>
      <c r="F357" s="1">
        <f ca="1">IFERROR(__xludf.DUMMYFUNCTION("""COMPUTED_VALUE"""),2)</f>
        <v>2</v>
      </c>
      <c r="G357" s="1" t="str">
        <f ca="1">IFERROR(__xludf.DUMMYFUNCTION("""COMPUTED_VALUE"""),"DRE BELEM 8")</f>
        <v>DRE BELEM 8</v>
      </c>
      <c r="H357" s="1" t="str">
        <f ca="1">IFERROR(__xludf.DUMMYFUNCTION("""COMPUTED_VALUE"""),"19A URE - BELEM")</f>
        <v>19A URE - BELEM</v>
      </c>
      <c r="I357" s="2" t="str">
        <f ca="1">IFERROR(__xludf.DUMMYFUNCTION("""COMPUTED_VALUE"""),"Unidade 8")</f>
        <v>Unidade 8</v>
      </c>
      <c r="J357" s="1" t="str">
        <f ca="1">IFERROR(__xludf.DUMMYFUNCTION("""COMPUTED_VALUE"""),"BELEM")</f>
        <v>BELEM</v>
      </c>
      <c r="K357" s="1">
        <f ca="1">IFERROR(__xludf.DUMMYFUNCTION("""COMPUTED_VALUE"""),15038700)</f>
        <v>15038700</v>
      </c>
      <c r="L357" s="2" t="str">
        <f ca="1">IFERROR(__xludf.DUMMYFUNCTION("""COMPUTED_VALUE"""),"001920902240000")</f>
        <v>001920902240000</v>
      </c>
      <c r="M357" s="2" t="str">
        <f ca="1">IFERROR(__xludf.DUMMYFUNCTION("""COMPUTED_VALUE"""),"1920902240000")</f>
        <v>1920902240000</v>
      </c>
      <c r="N357" s="1" t="str">
        <f ca="1">IFERROR(__xludf.DUMMYFUNCTION("""COMPUTED_VALUE"""),"EEEFM VISCONDE DE SOUZA FRANCO")</f>
        <v>EEEFM VISCONDE DE SOUZA FRANCO</v>
      </c>
      <c r="O357" s="1"/>
      <c r="P357" s="1"/>
      <c r="Q357" s="1" t="s">
        <v>285</v>
      </c>
    </row>
    <row r="358" spans="1:17" x14ac:dyDescent="0.25">
      <c r="A358" s="2" t="str">
        <f ca="1">IFERROR(__xludf.DUMMYFUNCTION("""COMPUTED_VALUE"""),"REG DE INTEGRA  METROPOLITANA")</f>
        <v>REG DE INTEGRA  METROPOLITANA</v>
      </c>
      <c r="B358" s="1" t="str">
        <f ca="1">IFERROR(__xludf.DUMMYFUNCTION("""COMPUTED_VALUE"""),"DRE BELEM 7")</f>
        <v>DRE BELEM 7</v>
      </c>
      <c r="C358" s="2" t="str">
        <f ca="1">IFERROR(__xludf.DUMMYFUNCTION("""COMPUTED_VALUE"""),"DRE - ANANINDEUA / BELEM")</f>
        <v>DRE - ANANINDEUA / BELEM</v>
      </c>
      <c r="D358" s="2" t="str">
        <f ca="1">IFERROR(__xludf.DUMMYFUNCTION("""COMPUTED_VALUE"""),"Belem 7")</f>
        <v>Belem 7</v>
      </c>
      <c r="E358" s="2" t="str">
        <f ca="1">IFERROR(__xludf.DUMMYFUNCTION("""COMPUTED_VALUE"""),"DRE - ANANINDEUA / BELEMBelem 7")</f>
        <v>DRE - ANANINDEUA / BELEMBelem 7</v>
      </c>
      <c r="F358" s="1">
        <f ca="1">IFERROR(__xludf.DUMMYFUNCTION("""COMPUTED_VALUE"""),2)</f>
        <v>2</v>
      </c>
      <c r="G358" s="1" t="str">
        <f ca="1">IFERROR(__xludf.DUMMYFUNCTION("""COMPUTED_VALUE"""),"DRE BELEM 8")</f>
        <v>DRE BELEM 8</v>
      </c>
      <c r="H358" s="1" t="str">
        <f ca="1">IFERROR(__xludf.DUMMYFUNCTION("""COMPUTED_VALUE"""),"19A URE - BELEM")</f>
        <v>19A URE - BELEM</v>
      </c>
      <c r="I358" s="2" t="str">
        <f ca="1">IFERROR(__xludf.DUMMYFUNCTION("""COMPUTED_VALUE"""),"Unidade 6")</f>
        <v>Unidade 6</v>
      </c>
      <c r="J358" s="1" t="str">
        <f ca="1">IFERROR(__xludf.DUMMYFUNCTION("""COMPUTED_VALUE"""),"BELEM")</f>
        <v>BELEM</v>
      </c>
      <c r="K358" s="1">
        <f ca="1">IFERROR(__xludf.DUMMYFUNCTION("""COMPUTED_VALUE"""),15040348)</f>
        <v>15040348</v>
      </c>
      <c r="L358" s="2" t="str">
        <f ca="1">IFERROR(__xludf.DUMMYFUNCTION("""COMPUTED_VALUE"""),"001920902160000")</f>
        <v>001920902160000</v>
      </c>
      <c r="M358" s="2" t="str">
        <f ca="1">IFERROR(__xludf.DUMMYFUNCTION("""COMPUTED_VALUE"""),"1920902160000")</f>
        <v>1920902160000</v>
      </c>
      <c r="N358" s="1" t="str">
        <f ca="1">IFERROR(__xludf.DUMMYFUNCTION("""COMPUTED_VALUE"""),"EEEM AUGUSTO MEIRA")</f>
        <v>EEEM AUGUSTO MEIRA</v>
      </c>
      <c r="O358" s="1"/>
      <c r="P358" s="1"/>
      <c r="Q358" s="1" t="s">
        <v>285</v>
      </c>
    </row>
    <row r="359" spans="1:17" x14ac:dyDescent="0.25">
      <c r="A359" s="2" t="str">
        <f ca="1">IFERROR(__xludf.DUMMYFUNCTION("""COMPUTED_VALUE"""),"REG DE INTEGRA  METROPOLITANA")</f>
        <v>REG DE INTEGRA  METROPOLITANA</v>
      </c>
      <c r="B359" s="1" t="str">
        <f ca="1">IFERROR(__xludf.DUMMYFUNCTION("""COMPUTED_VALUE"""),"DRE BELEM 7")</f>
        <v>DRE BELEM 7</v>
      </c>
      <c r="C359" s="2" t="str">
        <f ca="1">IFERROR(__xludf.DUMMYFUNCTION("""COMPUTED_VALUE"""),"DRE - ANANINDEUA / BELEM")</f>
        <v>DRE - ANANINDEUA / BELEM</v>
      </c>
      <c r="D359" s="2" t="str">
        <f ca="1">IFERROR(__xludf.DUMMYFUNCTION("""COMPUTED_VALUE"""),"Belem 7")</f>
        <v>Belem 7</v>
      </c>
      <c r="E359" s="2" t="str">
        <f ca="1">IFERROR(__xludf.DUMMYFUNCTION("""COMPUTED_VALUE"""),"DRE - ANANINDEUA / BELEMBelem 7")</f>
        <v>DRE - ANANINDEUA / BELEMBelem 7</v>
      </c>
      <c r="F359" s="1">
        <f ca="1">IFERROR(__xludf.DUMMYFUNCTION("""COMPUTED_VALUE"""),2)</f>
        <v>2</v>
      </c>
      <c r="G359" s="1" t="str">
        <f ca="1">IFERROR(__xludf.DUMMYFUNCTION("""COMPUTED_VALUE"""),"DRE BELEM 8")</f>
        <v>DRE BELEM 8</v>
      </c>
      <c r="H359" s="1" t="str">
        <f ca="1">IFERROR(__xludf.DUMMYFUNCTION("""COMPUTED_VALUE"""),"19A URE - BELEM")</f>
        <v>19A URE - BELEM</v>
      </c>
      <c r="I359" s="2" t="str">
        <f ca="1">IFERROR(__xludf.DUMMYFUNCTION("""COMPUTED_VALUE"""),"Unidade 8")</f>
        <v>Unidade 8</v>
      </c>
      <c r="J359" s="1" t="str">
        <f ca="1">IFERROR(__xludf.DUMMYFUNCTION("""COMPUTED_VALUE"""),"BELEM")</f>
        <v>BELEM</v>
      </c>
      <c r="K359" s="1">
        <f ca="1">IFERROR(__xludf.DUMMYFUNCTION("""COMPUTED_VALUE"""),15040593)</f>
        <v>15040593</v>
      </c>
      <c r="L359" s="2" t="str">
        <f ca="1">IFERROR(__xludf.DUMMYFUNCTION("""COMPUTED_VALUE"""),"001920931240000")</f>
        <v>001920931240000</v>
      </c>
      <c r="M359" s="2" t="str">
        <f ca="1">IFERROR(__xludf.DUMMYFUNCTION("""COMPUTED_VALUE"""),"1920931240000")</f>
        <v>1920931240000</v>
      </c>
      <c r="N359" s="1" t="str">
        <f ca="1">IFERROR(__xludf.DUMMYFUNCTION("""COMPUTED_VALUE"""),"ERC LOURENCO FILHO ( FUNDACAO PESTALOZZI)")</f>
        <v>ERC LOURENCO FILHO ( FUNDACAO PESTALOZZI)</v>
      </c>
      <c r="O359" s="1"/>
      <c r="P359" s="1"/>
      <c r="Q359" s="1" t="s">
        <v>285</v>
      </c>
    </row>
    <row r="360" spans="1:17" x14ac:dyDescent="0.25">
      <c r="A360" s="2" t="str">
        <f ca="1">IFERROR(__xludf.DUMMYFUNCTION("""COMPUTED_VALUE"""),"REG DE INTEGRA  METROPOLITANA")</f>
        <v>REG DE INTEGRA  METROPOLITANA</v>
      </c>
      <c r="B360" s="1" t="str">
        <f ca="1">IFERROR(__xludf.DUMMYFUNCTION("""COMPUTED_VALUE"""),"DRE BELEM 7")</f>
        <v>DRE BELEM 7</v>
      </c>
      <c r="C360" s="2" t="str">
        <f ca="1">IFERROR(__xludf.DUMMYFUNCTION("""COMPUTED_VALUE"""),"DRE - ANANINDEUA / BELEM")</f>
        <v>DRE - ANANINDEUA / BELEM</v>
      </c>
      <c r="D360" s="2" t="str">
        <f ca="1">IFERROR(__xludf.DUMMYFUNCTION("""COMPUTED_VALUE"""),"Belem 7")</f>
        <v>Belem 7</v>
      </c>
      <c r="E360" s="2" t="str">
        <f ca="1">IFERROR(__xludf.DUMMYFUNCTION("""COMPUTED_VALUE"""),"DRE - ANANINDEUA / BELEMBelem 7")</f>
        <v>DRE - ANANINDEUA / BELEMBelem 7</v>
      </c>
      <c r="F360" s="1">
        <f ca="1">IFERROR(__xludf.DUMMYFUNCTION("""COMPUTED_VALUE"""),2)</f>
        <v>2</v>
      </c>
      <c r="G360" s="1" t="str">
        <f ca="1">IFERROR(__xludf.DUMMYFUNCTION("""COMPUTED_VALUE"""),"DRE BELEM 8")</f>
        <v>DRE BELEM 8</v>
      </c>
      <c r="H360" s="1" t="str">
        <f ca="1">IFERROR(__xludf.DUMMYFUNCTION("""COMPUTED_VALUE"""),"19A URE - BELEM")</f>
        <v>19A URE - BELEM</v>
      </c>
      <c r="I360" s="2" t="str">
        <f ca="1">IFERROR(__xludf.DUMMYFUNCTION("""COMPUTED_VALUE"""),"Unidade 8")</f>
        <v>Unidade 8</v>
      </c>
      <c r="J360" s="1" t="str">
        <f ca="1">IFERROR(__xludf.DUMMYFUNCTION("""COMPUTED_VALUE"""),"BELEM")</f>
        <v>BELEM</v>
      </c>
      <c r="K360" s="1">
        <f ca="1">IFERROR(__xludf.DUMMYFUNCTION("""COMPUTED_VALUE"""),15041417)</f>
        <v>15041417</v>
      </c>
      <c r="L360" s="2" t="str">
        <f ca="1">IFERROR(__xludf.DUMMYFUNCTION("""COMPUTED_VALUE"""),"001920936780000")</f>
        <v>001920936780000</v>
      </c>
      <c r="M360" s="2" t="str">
        <f ca="1">IFERROR(__xludf.DUMMYFUNCTION("""COMPUTED_VALUE"""),"1920936780000")</f>
        <v>1920936780000</v>
      </c>
      <c r="N360" s="1" t="str">
        <f ca="1">IFERROR(__xludf.DUMMYFUNCTION("""COMPUTED_VALUE"""),"ESCOLA ESTADUAL ENSINO FUNDAMENTAL SANTO AGOSTINHO")</f>
        <v>ESCOLA ESTADUAL ENSINO FUNDAMENTAL SANTO AGOSTINHO</v>
      </c>
      <c r="O360" s="1"/>
      <c r="P360" s="1"/>
      <c r="Q360" s="1" t="s">
        <v>285</v>
      </c>
    </row>
    <row r="361" spans="1:17" x14ac:dyDescent="0.25">
      <c r="A361" s="2" t="str">
        <f ca="1">IFERROR(__xludf.DUMMYFUNCTION("""COMPUTED_VALUE"""),"REG DE INTEGRA  METROPOLITANA")</f>
        <v>REG DE INTEGRA  METROPOLITANA</v>
      </c>
      <c r="B361" s="1" t="str">
        <f ca="1">IFERROR(__xludf.DUMMYFUNCTION("""COMPUTED_VALUE"""),"DRE BELEM 7")</f>
        <v>DRE BELEM 7</v>
      </c>
      <c r="C361" s="2" t="str">
        <f ca="1">IFERROR(__xludf.DUMMYFUNCTION("""COMPUTED_VALUE"""),"DRE - ANANINDEUA / BELEM")</f>
        <v>DRE - ANANINDEUA / BELEM</v>
      </c>
      <c r="D361" s="2" t="str">
        <f ca="1">IFERROR(__xludf.DUMMYFUNCTION("""COMPUTED_VALUE"""),"Belem 7")</f>
        <v>Belem 7</v>
      </c>
      <c r="E361" s="2" t="str">
        <f ca="1">IFERROR(__xludf.DUMMYFUNCTION("""COMPUTED_VALUE"""),"DRE - ANANINDEUA / BELEMBelem 7")</f>
        <v>DRE - ANANINDEUA / BELEMBelem 7</v>
      </c>
      <c r="F361" s="1">
        <f ca="1">IFERROR(__xludf.DUMMYFUNCTION("""COMPUTED_VALUE"""),2)</f>
        <v>2</v>
      </c>
      <c r="G361" s="1" t="str">
        <f ca="1">IFERROR(__xludf.DUMMYFUNCTION("""COMPUTED_VALUE"""),"DRE BELEM 8")</f>
        <v>DRE BELEM 8</v>
      </c>
      <c r="H361" s="1" t="str">
        <f ca="1">IFERROR(__xludf.DUMMYFUNCTION("""COMPUTED_VALUE"""),"19A URE - BELEM")</f>
        <v>19A URE - BELEM</v>
      </c>
      <c r="I361" s="2" t="str">
        <f ca="1">IFERROR(__xludf.DUMMYFUNCTION("""COMPUTED_VALUE"""),"Unidade 8")</f>
        <v>Unidade 8</v>
      </c>
      <c r="J361" s="1" t="str">
        <f ca="1">IFERROR(__xludf.DUMMYFUNCTION("""COMPUTED_VALUE"""),"BELEM")</f>
        <v>BELEM</v>
      </c>
      <c r="K361" s="1">
        <f ca="1">IFERROR(__xludf.DUMMYFUNCTION("""COMPUTED_VALUE"""),15042022)</f>
        <v>15042022</v>
      </c>
      <c r="L361" s="2" t="str">
        <f ca="1">IFERROR(__xludf.DUMMYFUNCTION("""COMPUTED_VALUE"""),"001920935060000")</f>
        <v>001920935060000</v>
      </c>
      <c r="M361" s="2" t="str">
        <f ca="1">IFERROR(__xludf.DUMMYFUNCTION("""COMPUTED_VALUE"""),"1920935060000")</f>
        <v>1920935060000</v>
      </c>
      <c r="N361" s="1" t="str">
        <f ca="1">IFERROR(__xludf.DUMMYFUNCTION("""COMPUTED_VALUE"""),"UEES PROF YOLANDA MARTINS E SILVA")</f>
        <v>UEES PROF YOLANDA MARTINS E SILVA</v>
      </c>
      <c r="O361" s="1"/>
      <c r="P361" s="1"/>
      <c r="Q361" s="1" t="s">
        <v>285</v>
      </c>
    </row>
    <row r="362" spans="1:17" x14ac:dyDescent="0.25">
      <c r="A362" s="2" t="str">
        <f ca="1">IFERROR(__xludf.DUMMYFUNCTION("""COMPUTED_VALUE"""),"REG DE INTEGRA  METROPOLITANA")</f>
        <v>REG DE INTEGRA  METROPOLITANA</v>
      </c>
      <c r="B362" s="1" t="str">
        <f ca="1">IFERROR(__xludf.DUMMYFUNCTION("""COMPUTED_VALUE"""),"DRE BELEM 7")</f>
        <v>DRE BELEM 7</v>
      </c>
      <c r="C362" s="2" t="str">
        <f ca="1">IFERROR(__xludf.DUMMYFUNCTION("""COMPUTED_VALUE"""),"DRE - ANANINDEUA / BELEM")</f>
        <v>DRE - ANANINDEUA / BELEM</v>
      </c>
      <c r="D362" s="2" t="str">
        <f ca="1">IFERROR(__xludf.DUMMYFUNCTION("""COMPUTED_VALUE"""),"Belem 7")</f>
        <v>Belem 7</v>
      </c>
      <c r="E362" s="2" t="str">
        <f ca="1">IFERROR(__xludf.DUMMYFUNCTION("""COMPUTED_VALUE"""),"DRE - ANANINDEUA / BELEMBelem 7")</f>
        <v>DRE - ANANINDEUA / BELEMBelem 7</v>
      </c>
      <c r="F362" s="1">
        <f ca="1">IFERROR(__xludf.DUMMYFUNCTION("""COMPUTED_VALUE"""),2)</f>
        <v>2</v>
      </c>
      <c r="G362" s="1" t="str">
        <f ca="1">IFERROR(__xludf.DUMMYFUNCTION("""COMPUTED_VALUE"""),"DRE BELEM 8")</f>
        <v>DRE BELEM 8</v>
      </c>
      <c r="H362" s="1" t="str">
        <f ca="1">IFERROR(__xludf.DUMMYFUNCTION("""COMPUTED_VALUE"""),"19A URE - BELEM")</f>
        <v>19A URE - BELEM</v>
      </c>
      <c r="I362" s="2" t="str">
        <f ca="1">IFERROR(__xludf.DUMMYFUNCTION("""COMPUTED_VALUE"""),"Unidade 8")</f>
        <v>Unidade 8</v>
      </c>
      <c r="J362" s="1" t="str">
        <f ca="1">IFERROR(__xludf.DUMMYFUNCTION("""COMPUTED_VALUE"""),"BELEM")</f>
        <v>BELEM</v>
      </c>
      <c r="K362" s="1">
        <f ca="1">IFERROR(__xludf.DUMMYFUNCTION("""COMPUTED_VALUE"""),15042073)</f>
        <v>15042073</v>
      </c>
      <c r="L362" s="2" t="str">
        <f ca="1">IFERROR(__xludf.DUMMYFUNCTION("""COMPUTED_VALUE"""),"001920935070000")</f>
        <v>001920935070000</v>
      </c>
      <c r="M362" s="2" t="str">
        <f ca="1">IFERROR(__xludf.DUMMYFUNCTION("""COMPUTED_VALUE"""),"1920935070000")</f>
        <v>1920935070000</v>
      </c>
      <c r="N362" s="1" t="str">
        <f ca="1">IFERROR(__xludf.DUMMYFUNCTION("""COMPUTED_VALUE"""),"UNIDADE TECNICA PROF ASTERIO DE CAMPOS")</f>
        <v>UNIDADE TECNICA PROF ASTERIO DE CAMPOS</v>
      </c>
      <c r="O362" s="1"/>
      <c r="P362" s="1"/>
      <c r="Q362" s="1" t="s">
        <v>285</v>
      </c>
    </row>
    <row r="363" spans="1:17" x14ac:dyDescent="0.25">
      <c r="A363" s="2" t="str">
        <f ca="1">IFERROR(__xludf.DUMMYFUNCTION("""COMPUTED_VALUE"""),"REG DE INTEGRA  METROPOLITANA")</f>
        <v>REG DE INTEGRA  METROPOLITANA</v>
      </c>
      <c r="B363" s="1" t="str">
        <f ca="1">IFERROR(__xludf.DUMMYFUNCTION("""COMPUTED_VALUE"""),"DRE BELEM 8")</f>
        <v>DRE BELEM 8</v>
      </c>
      <c r="C363" s="2" t="str">
        <f ca="1">IFERROR(__xludf.DUMMYFUNCTION("""COMPUTED_VALUE"""),"DRE - ANANINDEUA / BELEM")</f>
        <v>DRE - ANANINDEUA / BELEM</v>
      </c>
      <c r="D363" s="2" t="str">
        <f ca="1">IFERROR(__xludf.DUMMYFUNCTION("""COMPUTED_VALUE"""),"Belem 8")</f>
        <v>Belem 8</v>
      </c>
      <c r="E363" s="2" t="str">
        <f ca="1">IFERROR(__xludf.DUMMYFUNCTION("""COMPUTED_VALUE"""),"DRE - ANANINDEUA / BELEMBelem 8")</f>
        <v>DRE - ANANINDEUA / BELEMBelem 8</v>
      </c>
      <c r="F363" s="1">
        <f ca="1">IFERROR(__xludf.DUMMYFUNCTION("""COMPUTED_VALUE"""),2)</f>
        <v>2</v>
      </c>
      <c r="G363" s="1" t="str">
        <f ca="1">IFERROR(__xludf.DUMMYFUNCTION("""COMPUTED_VALUE"""),"DRE BELEM 9")</f>
        <v>DRE BELEM 9</v>
      </c>
      <c r="H363" s="1" t="str">
        <f ca="1">IFERROR(__xludf.DUMMYFUNCTION("""COMPUTED_VALUE"""),"19A URE - BELEM")</f>
        <v>19A URE - BELEM</v>
      </c>
      <c r="I363" s="2" t="str">
        <f ca="1">IFERROR(__xludf.DUMMYFUNCTION("""COMPUTED_VALUE"""),"Unidade 9")</f>
        <v>Unidade 9</v>
      </c>
      <c r="J363" s="1" t="str">
        <f ca="1">IFERROR(__xludf.DUMMYFUNCTION("""COMPUTED_VALUE"""),"BELEM")</f>
        <v>BELEM</v>
      </c>
      <c r="K363" s="1">
        <f ca="1">IFERROR(__xludf.DUMMYFUNCTION("""COMPUTED_VALUE"""),15042693)</f>
        <v>15042693</v>
      </c>
      <c r="L363" s="2" t="str">
        <f ca="1">IFERROR(__xludf.DUMMYFUNCTION("""COMPUTED_VALUE"""),"001920928680000")</f>
        <v>001920928680000</v>
      </c>
      <c r="M363" s="2" t="str">
        <f ca="1">IFERROR(__xludf.DUMMYFUNCTION("""COMPUTED_VALUE"""),"1920928680000")</f>
        <v>1920928680000</v>
      </c>
      <c r="N363" s="1" t="str">
        <f ca="1">IFERROR(__xludf.DUMMYFUNCTION("""COMPUTED_VALUE"""),"EEEF AMERICO SOUZA DE OLIVEIRA")</f>
        <v>EEEF AMERICO SOUZA DE OLIVEIRA</v>
      </c>
      <c r="O363" s="1"/>
      <c r="P363" s="1"/>
      <c r="Q363" s="1" t="s">
        <v>374</v>
      </c>
    </row>
    <row r="364" spans="1:17" x14ac:dyDescent="0.25">
      <c r="A364" s="2" t="str">
        <f ca="1">IFERROR(__xludf.DUMMYFUNCTION("""COMPUTED_VALUE"""),"REG DE INTEGRA  METROPOLITANA")</f>
        <v>REG DE INTEGRA  METROPOLITANA</v>
      </c>
      <c r="B364" s="1" t="str">
        <f ca="1">IFERROR(__xludf.DUMMYFUNCTION("""COMPUTED_VALUE"""),"DRE BELEM 8")</f>
        <v>DRE BELEM 8</v>
      </c>
      <c r="C364" s="2" t="str">
        <f ca="1">IFERROR(__xludf.DUMMYFUNCTION("""COMPUTED_VALUE"""),"DRE - ANANINDEUA / BELEM")</f>
        <v>DRE - ANANINDEUA / BELEM</v>
      </c>
      <c r="D364" s="2" t="str">
        <f ca="1">IFERROR(__xludf.DUMMYFUNCTION("""COMPUTED_VALUE"""),"Belem 8")</f>
        <v>Belem 8</v>
      </c>
      <c r="E364" s="2" t="str">
        <f ca="1">IFERROR(__xludf.DUMMYFUNCTION("""COMPUTED_VALUE"""),"DRE - ANANINDEUA / BELEMBelem 8")</f>
        <v>DRE - ANANINDEUA / BELEMBelem 8</v>
      </c>
      <c r="F364" s="1">
        <f ca="1">IFERROR(__xludf.DUMMYFUNCTION("""COMPUTED_VALUE"""),2)</f>
        <v>2</v>
      </c>
      <c r="G364" s="1" t="str">
        <f ca="1">IFERROR(__xludf.DUMMYFUNCTION("""COMPUTED_VALUE"""),"DRE BELEM 9")</f>
        <v>DRE BELEM 9</v>
      </c>
      <c r="H364" s="1" t="str">
        <f ca="1">IFERROR(__xludf.DUMMYFUNCTION("""COMPUTED_VALUE"""),"19A URE - BELEM")</f>
        <v>19A URE - BELEM</v>
      </c>
      <c r="I364" s="2" t="str">
        <f ca="1">IFERROR(__xludf.DUMMYFUNCTION("""COMPUTED_VALUE"""),"Unidade 9")</f>
        <v>Unidade 9</v>
      </c>
      <c r="J364" s="1" t="str">
        <f ca="1">IFERROR(__xludf.DUMMYFUNCTION("""COMPUTED_VALUE"""),"BELEM")</f>
        <v>BELEM</v>
      </c>
      <c r="K364" s="1">
        <f ca="1">IFERROR(__xludf.DUMMYFUNCTION("""COMPUTED_VALUE"""),15043150)</f>
        <v>15043150</v>
      </c>
      <c r="L364" s="2" t="str">
        <f ca="1">IFERROR(__xludf.DUMMYFUNCTION("""COMPUTED_VALUE"""),"001920931100000")</f>
        <v>001920931100000</v>
      </c>
      <c r="M364" s="2" t="str">
        <f ca="1">IFERROR(__xludf.DUMMYFUNCTION("""COMPUTED_VALUE"""),"1920931100000")</f>
        <v>1920931100000</v>
      </c>
      <c r="N364" s="1" t="str">
        <f ca="1">IFERROR(__xludf.DUMMYFUNCTION("""COMPUTED_VALUE"""),"EEEF ASSOC CRISTA DO BENGUI")</f>
        <v>EEEF ASSOC CRISTA DO BENGUI</v>
      </c>
      <c r="O364" s="1"/>
      <c r="P364" s="1"/>
      <c r="Q364" s="1" t="s">
        <v>374</v>
      </c>
    </row>
    <row r="365" spans="1:17" x14ac:dyDescent="0.25">
      <c r="A365" s="2" t="str">
        <f ca="1">IFERROR(__xludf.DUMMYFUNCTION("""COMPUTED_VALUE"""),"REG DE INTEGRA  METROPOLITANA")</f>
        <v>REG DE INTEGRA  METROPOLITANA</v>
      </c>
      <c r="B365" s="1" t="str">
        <f ca="1">IFERROR(__xludf.DUMMYFUNCTION("""COMPUTED_VALUE"""),"DRE BELEM 8")</f>
        <v>DRE BELEM 8</v>
      </c>
      <c r="C365" s="2" t="str">
        <f ca="1">IFERROR(__xludf.DUMMYFUNCTION("""COMPUTED_VALUE"""),"DRE - ANANINDEUA / BELEM")</f>
        <v>DRE - ANANINDEUA / BELEM</v>
      </c>
      <c r="D365" s="2" t="str">
        <f ca="1">IFERROR(__xludf.DUMMYFUNCTION("""COMPUTED_VALUE"""),"Belem 8")</f>
        <v>Belem 8</v>
      </c>
      <c r="E365" s="2" t="str">
        <f ca="1">IFERROR(__xludf.DUMMYFUNCTION("""COMPUTED_VALUE"""),"DRE - ANANINDEUA / BELEMBelem 8")</f>
        <v>DRE - ANANINDEUA / BELEMBelem 8</v>
      </c>
      <c r="F365" s="1">
        <f ca="1">IFERROR(__xludf.DUMMYFUNCTION("""COMPUTED_VALUE"""),2)</f>
        <v>2</v>
      </c>
      <c r="G365" s="1" t="str">
        <f ca="1">IFERROR(__xludf.DUMMYFUNCTION("""COMPUTED_VALUE"""),"DRE BELEM 9")</f>
        <v>DRE BELEM 9</v>
      </c>
      <c r="H365" s="1" t="str">
        <f ca="1">IFERROR(__xludf.DUMMYFUNCTION("""COMPUTED_VALUE"""),"19A URE - BELEM")</f>
        <v>19A URE - BELEM</v>
      </c>
      <c r="I365" s="2" t="str">
        <f ca="1">IFERROR(__xludf.DUMMYFUNCTION("""COMPUTED_VALUE"""),"Unidade 9")</f>
        <v>Unidade 9</v>
      </c>
      <c r="J365" s="1" t="str">
        <f ca="1">IFERROR(__xludf.DUMMYFUNCTION("""COMPUTED_VALUE"""),"BELEM")</f>
        <v>BELEM</v>
      </c>
      <c r="K365" s="1">
        <f ca="1">IFERROR(__xludf.DUMMYFUNCTION("""COMPUTED_VALUE"""),15522938)</f>
        <v>15522938</v>
      </c>
      <c r="L365" s="2" t="str">
        <f ca="1">IFERROR(__xludf.DUMMYFUNCTION("""COMPUTED_VALUE"""),"001920933170000")</f>
        <v>001920933170000</v>
      </c>
      <c r="M365" s="2" t="str">
        <f ca="1">IFERROR(__xludf.DUMMYFUNCTION("""COMPUTED_VALUE"""),"1920933170000")</f>
        <v>1920933170000</v>
      </c>
      <c r="N365" s="1" t="str">
        <f ca="1">IFERROR(__xludf.DUMMYFUNCTION("""COMPUTED_VALUE"""),"EEEF ASSOC DOS MORADORES DO JARDIM RESID JADERLAR")</f>
        <v>EEEF ASSOC DOS MORADORES DO JARDIM RESID JADERLAR</v>
      </c>
      <c r="O365" s="1"/>
      <c r="P365" s="1"/>
      <c r="Q365" s="1" t="s">
        <v>374</v>
      </c>
    </row>
    <row r="366" spans="1:17" x14ac:dyDescent="0.25">
      <c r="A366" s="2" t="str">
        <f ca="1">IFERROR(__xludf.DUMMYFUNCTION("""COMPUTED_VALUE"""),"REG DE INTEGRA  METROPOLITANA")</f>
        <v>REG DE INTEGRA  METROPOLITANA</v>
      </c>
      <c r="B366" s="1" t="str">
        <f ca="1">IFERROR(__xludf.DUMMYFUNCTION("""COMPUTED_VALUE"""),"DRE BELEM 8")</f>
        <v>DRE BELEM 8</v>
      </c>
      <c r="C366" s="2" t="str">
        <f ca="1">IFERROR(__xludf.DUMMYFUNCTION("""COMPUTED_VALUE"""),"DRE - ANANINDEUA / BELEM")</f>
        <v>DRE - ANANINDEUA / BELEM</v>
      </c>
      <c r="D366" s="2" t="str">
        <f ca="1">IFERROR(__xludf.DUMMYFUNCTION("""COMPUTED_VALUE"""),"Belem 8")</f>
        <v>Belem 8</v>
      </c>
      <c r="E366" s="2" t="str">
        <f ca="1">IFERROR(__xludf.DUMMYFUNCTION("""COMPUTED_VALUE"""),"DRE - ANANINDEUA / BELEMBelem 8")</f>
        <v>DRE - ANANINDEUA / BELEMBelem 8</v>
      </c>
      <c r="F366" s="1">
        <f ca="1">IFERROR(__xludf.DUMMYFUNCTION("""COMPUTED_VALUE"""),2)</f>
        <v>2</v>
      </c>
      <c r="G366" s="1" t="str">
        <f ca="1">IFERROR(__xludf.DUMMYFUNCTION("""COMPUTED_VALUE"""),"DRE BELEM 9")</f>
        <v>DRE BELEM 9</v>
      </c>
      <c r="H366" s="1" t="str">
        <f ca="1">IFERROR(__xludf.DUMMYFUNCTION("""COMPUTED_VALUE"""),"19A URE - BELEM")</f>
        <v>19A URE - BELEM</v>
      </c>
      <c r="I366" s="2" t="str">
        <f ca="1">IFERROR(__xludf.DUMMYFUNCTION("""COMPUTED_VALUE"""),"Unidade 9")</f>
        <v>Unidade 9</v>
      </c>
      <c r="J366" s="1" t="str">
        <f ca="1">IFERROR(__xludf.DUMMYFUNCTION("""COMPUTED_VALUE"""),"BELEM")</f>
        <v>BELEM</v>
      </c>
      <c r="K366" s="1">
        <f ca="1">IFERROR(__xludf.DUMMYFUNCTION("""COMPUTED_VALUE"""),15137023)</f>
        <v>15137023</v>
      </c>
      <c r="L366" s="2" t="str">
        <f ca="1">IFERROR(__xludf.DUMMYFUNCTION("""COMPUTED_VALUE"""),"001920937510000")</f>
        <v>001920937510000</v>
      </c>
      <c r="M366" s="2" t="str">
        <f ca="1">IFERROR(__xludf.DUMMYFUNCTION("""COMPUTED_VALUE"""),"1920937510000")</f>
        <v>1920937510000</v>
      </c>
      <c r="N366" s="1" t="str">
        <f ca="1">IFERROR(__xludf.DUMMYFUNCTION("""COMPUTED_VALUE"""),"EEEF BENEDITO MONTEIRO")</f>
        <v>EEEF BENEDITO MONTEIRO</v>
      </c>
      <c r="O366" s="1"/>
      <c r="P366" s="1"/>
      <c r="Q366" s="1" t="s">
        <v>374</v>
      </c>
    </row>
    <row r="367" spans="1:17" x14ac:dyDescent="0.25">
      <c r="A367" s="2" t="str">
        <f ca="1">IFERROR(__xludf.DUMMYFUNCTION("""COMPUTED_VALUE"""),"REG DE INTEGRA  METROPOLITANA")</f>
        <v>REG DE INTEGRA  METROPOLITANA</v>
      </c>
      <c r="B367" s="1" t="str">
        <f ca="1">IFERROR(__xludf.DUMMYFUNCTION("""COMPUTED_VALUE"""),"DRE BELEM 8")</f>
        <v>DRE BELEM 8</v>
      </c>
      <c r="C367" s="2" t="str">
        <f ca="1">IFERROR(__xludf.DUMMYFUNCTION("""COMPUTED_VALUE"""),"DRE - ANANINDEUA / BELEM")</f>
        <v>DRE - ANANINDEUA / BELEM</v>
      </c>
      <c r="D367" s="2" t="str">
        <f ca="1">IFERROR(__xludf.DUMMYFUNCTION("""COMPUTED_VALUE"""),"Belem 8")</f>
        <v>Belem 8</v>
      </c>
      <c r="E367" s="2" t="str">
        <f ca="1">IFERROR(__xludf.DUMMYFUNCTION("""COMPUTED_VALUE"""),"DRE - ANANINDEUA / BELEMBelem 8")</f>
        <v>DRE - ANANINDEUA / BELEMBelem 8</v>
      </c>
      <c r="F367" s="1">
        <f ca="1">IFERROR(__xludf.DUMMYFUNCTION("""COMPUTED_VALUE"""),2)</f>
        <v>2</v>
      </c>
      <c r="G367" s="1" t="str">
        <f ca="1">IFERROR(__xludf.DUMMYFUNCTION("""COMPUTED_VALUE"""),"DRE BELEM 9")</f>
        <v>DRE BELEM 9</v>
      </c>
      <c r="H367" s="1" t="str">
        <f ca="1">IFERROR(__xludf.DUMMYFUNCTION("""COMPUTED_VALUE"""),"19A URE - BELEM")</f>
        <v>19A URE - BELEM</v>
      </c>
      <c r="I367" s="2" t="str">
        <f ca="1">IFERROR(__xludf.DUMMYFUNCTION("""COMPUTED_VALUE"""),"Unidade 9")</f>
        <v>Unidade 9</v>
      </c>
      <c r="J367" s="1" t="str">
        <f ca="1">IFERROR(__xludf.DUMMYFUNCTION("""COMPUTED_VALUE"""),"BELEM")</f>
        <v>BELEM</v>
      </c>
      <c r="K367" s="1">
        <f ca="1">IFERROR(__xludf.DUMMYFUNCTION("""COMPUTED_VALUE"""),15586979)</f>
        <v>15586979</v>
      </c>
      <c r="L367" s="2" t="str">
        <f ca="1">IFERROR(__xludf.DUMMYFUNCTION("""COMPUTED_VALUE"""),"001920936980000")</f>
        <v>001920936980000</v>
      </c>
      <c r="M367" s="2" t="str">
        <f ca="1">IFERROR(__xludf.DUMMYFUNCTION("""COMPUTED_VALUE"""),"1920936980000")</f>
        <v>1920936980000</v>
      </c>
      <c r="N367" s="1" t="str">
        <f ca="1">IFERROR(__xludf.DUMMYFUNCTION("""COMPUTED_VALUE"""),"EEEF CANARINHO")</f>
        <v>EEEF CANARINHO</v>
      </c>
      <c r="O367" s="1"/>
      <c r="P367" s="1"/>
      <c r="Q367" s="1" t="s">
        <v>374</v>
      </c>
    </row>
    <row r="368" spans="1:17" x14ac:dyDescent="0.25">
      <c r="A368" s="2" t="str">
        <f ca="1">IFERROR(__xludf.DUMMYFUNCTION("""COMPUTED_VALUE"""),"REG DE INTEGRA  METROPOLITANA")</f>
        <v>REG DE INTEGRA  METROPOLITANA</v>
      </c>
      <c r="B368" s="1" t="str">
        <f ca="1">IFERROR(__xludf.DUMMYFUNCTION("""COMPUTED_VALUE"""),"DRE BELEM 8")</f>
        <v>DRE BELEM 8</v>
      </c>
      <c r="C368" s="2" t="str">
        <f ca="1">IFERROR(__xludf.DUMMYFUNCTION("""COMPUTED_VALUE"""),"DRE - ANANINDEUA / BELEM")</f>
        <v>DRE - ANANINDEUA / BELEM</v>
      </c>
      <c r="D368" s="2" t="str">
        <f ca="1">IFERROR(__xludf.DUMMYFUNCTION("""COMPUTED_VALUE"""),"Belem 8")</f>
        <v>Belem 8</v>
      </c>
      <c r="E368" s="2" t="str">
        <f ca="1">IFERROR(__xludf.DUMMYFUNCTION("""COMPUTED_VALUE"""),"DRE - ANANINDEUA / BELEMBelem 8")</f>
        <v>DRE - ANANINDEUA / BELEMBelem 8</v>
      </c>
      <c r="F368" s="1">
        <f ca="1">IFERROR(__xludf.DUMMYFUNCTION("""COMPUTED_VALUE"""),2)</f>
        <v>2</v>
      </c>
      <c r="G368" s="1" t="str">
        <f ca="1">IFERROR(__xludf.DUMMYFUNCTION("""COMPUTED_VALUE"""),"DRE BELEM 9")</f>
        <v>DRE BELEM 9</v>
      </c>
      <c r="H368" s="1" t="str">
        <f ca="1">IFERROR(__xludf.DUMMYFUNCTION("""COMPUTED_VALUE"""),"19A URE - BELEM")</f>
        <v>19A URE - BELEM</v>
      </c>
      <c r="I368" s="2" t="str">
        <f ca="1">IFERROR(__xludf.DUMMYFUNCTION("""COMPUTED_VALUE"""),"Unidade 9")</f>
        <v>Unidade 9</v>
      </c>
      <c r="J368" s="1" t="str">
        <f ca="1">IFERROR(__xludf.DUMMYFUNCTION("""COMPUTED_VALUE"""),"BELEM")</f>
        <v>BELEM</v>
      </c>
      <c r="K368" s="1">
        <f ca="1">IFERROR(__xludf.DUMMYFUNCTION("""COMPUTED_VALUE"""),15581918)</f>
        <v>15581918</v>
      </c>
      <c r="L368" s="2" t="str">
        <f ca="1">IFERROR(__xludf.DUMMYFUNCTION("""COMPUTED_VALUE"""),"001920936670000")</f>
        <v>001920936670000</v>
      </c>
      <c r="M368" s="2" t="str">
        <f ca="1">IFERROR(__xludf.DUMMYFUNCTION("""COMPUTED_VALUE"""),"1920936670000")</f>
        <v>1920936670000</v>
      </c>
      <c r="N368" s="1" t="str">
        <f ca="1">IFERROR(__xludf.DUMMYFUNCTION("""COMPUTED_VALUE"""),"EEEF DR MARIA ESTER MOUTA DE OLIVEIRA")</f>
        <v>EEEF DR MARIA ESTER MOUTA DE OLIVEIRA</v>
      </c>
      <c r="O368" s="1"/>
      <c r="P368" s="1"/>
      <c r="Q368" s="1" t="s">
        <v>374</v>
      </c>
    </row>
    <row r="369" spans="1:17" x14ac:dyDescent="0.25">
      <c r="A369" s="2" t="str">
        <f ca="1">IFERROR(__xludf.DUMMYFUNCTION("""COMPUTED_VALUE"""),"REG DE INTEGRA  METROPOLITANA")</f>
        <v>REG DE INTEGRA  METROPOLITANA</v>
      </c>
      <c r="B369" s="1" t="str">
        <f ca="1">IFERROR(__xludf.DUMMYFUNCTION("""COMPUTED_VALUE"""),"DRE BELEM 8")</f>
        <v>DRE BELEM 8</v>
      </c>
      <c r="C369" s="2" t="str">
        <f ca="1">IFERROR(__xludf.DUMMYFUNCTION("""COMPUTED_VALUE"""),"DRE - ANANINDEUA / BELEM")</f>
        <v>DRE - ANANINDEUA / BELEM</v>
      </c>
      <c r="D369" s="2" t="str">
        <f ca="1">IFERROR(__xludf.DUMMYFUNCTION("""COMPUTED_VALUE"""),"Belem 8")</f>
        <v>Belem 8</v>
      </c>
      <c r="E369" s="2" t="str">
        <f ca="1">IFERROR(__xludf.DUMMYFUNCTION("""COMPUTED_VALUE"""),"DRE - ANANINDEUA / BELEMBelem 8")</f>
        <v>DRE - ANANINDEUA / BELEMBelem 8</v>
      </c>
      <c r="F369" s="1">
        <f ca="1">IFERROR(__xludf.DUMMYFUNCTION("""COMPUTED_VALUE"""),2)</f>
        <v>2</v>
      </c>
      <c r="G369" s="1" t="str">
        <f ca="1">IFERROR(__xludf.DUMMYFUNCTION("""COMPUTED_VALUE"""),"DRE BELEM 9")</f>
        <v>DRE BELEM 9</v>
      </c>
      <c r="H369" s="1" t="str">
        <f ca="1">IFERROR(__xludf.DUMMYFUNCTION("""COMPUTED_VALUE"""),"19A URE - BELEM")</f>
        <v>19A URE - BELEM</v>
      </c>
      <c r="I369" s="2" t="str">
        <f ca="1">IFERROR(__xludf.DUMMYFUNCTION("""COMPUTED_VALUE"""),"Unidade 9")</f>
        <v>Unidade 9</v>
      </c>
      <c r="J369" s="1" t="str">
        <f ca="1">IFERROR(__xludf.DUMMYFUNCTION("""COMPUTED_VALUE"""),"BELEM")</f>
        <v>BELEM</v>
      </c>
      <c r="K369" s="1">
        <f ca="1">IFERROR(__xludf.DUMMYFUNCTION("""COMPUTED_VALUE"""),15156478)</f>
        <v>15156478</v>
      </c>
      <c r="L369" s="2" t="str">
        <f ca="1">IFERROR(__xludf.DUMMYFUNCTION("""COMPUTED_VALUE"""),"001920937530000")</f>
        <v>001920937530000</v>
      </c>
      <c r="M369" s="2" t="str">
        <f ca="1">IFERROR(__xludf.DUMMYFUNCTION("""COMPUTED_VALUE"""),"1920937530000")</f>
        <v>1920937530000</v>
      </c>
      <c r="N369" s="1" t="str">
        <f ca="1">IFERROR(__xludf.DUMMYFUNCTION("""COMPUTED_VALUE"""),"EEEF LINDANOR CELINA COELHO CASSHA")</f>
        <v>EEEF LINDANOR CELINA COELHO CASSHA</v>
      </c>
      <c r="O369" s="1"/>
      <c r="P369" s="1"/>
      <c r="Q369" s="1" t="s">
        <v>374</v>
      </c>
    </row>
    <row r="370" spans="1:17" x14ac:dyDescent="0.25">
      <c r="A370" s="2" t="str">
        <f ca="1">IFERROR(__xludf.DUMMYFUNCTION("""COMPUTED_VALUE"""),"REG DE INTEGRA  METROPOLITANA")</f>
        <v>REG DE INTEGRA  METROPOLITANA</v>
      </c>
      <c r="B370" s="1" t="str">
        <f ca="1">IFERROR(__xludf.DUMMYFUNCTION("""COMPUTED_VALUE"""),"DRE BELEM 8")</f>
        <v>DRE BELEM 8</v>
      </c>
      <c r="C370" s="2" t="str">
        <f ca="1">IFERROR(__xludf.DUMMYFUNCTION("""COMPUTED_VALUE"""),"DRE - ANANINDEUA / BELEM")</f>
        <v>DRE - ANANINDEUA / BELEM</v>
      </c>
      <c r="D370" s="2" t="str">
        <f ca="1">IFERROR(__xludf.DUMMYFUNCTION("""COMPUTED_VALUE"""),"Belem 8")</f>
        <v>Belem 8</v>
      </c>
      <c r="E370" s="2" t="str">
        <f ca="1">IFERROR(__xludf.DUMMYFUNCTION("""COMPUTED_VALUE"""),"DRE - ANANINDEUA / BELEMBelem 8")</f>
        <v>DRE - ANANINDEUA / BELEMBelem 8</v>
      </c>
      <c r="F370" s="1">
        <f ca="1">IFERROR(__xludf.DUMMYFUNCTION("""COMPUTED_VALUE"""),2)</f>
        <v>2</v>
      </c>
      <c r="G370" s="1" t="str">
        <f ca="1">IFERROR(__xludf.DUMMYFUNCTION("""COMPUTED_VALUE"""),"DRE BELEM 9")</f>
        <v>DRE BELEM 9</v>
      </c>
      <c r="H370" s="1" t="str">
        <f ca="1">IFERROR(__xludf.DUMMYFUNCTION("""COMPUTED_VALUE"""),"19A URE - BELEM")</f>
        <v>19A URE - BELEM</v>
      </c>
      <c r="I370" s="2" t="str">
        <f ca="1">IFERROR(__xludf.DUMMYFUNCTION("""COMPUTED_VALUE"""),"Unidade 9")</f>
        <v>Unidade 9</v>
      </c>
      <c r="J370" s="1" t="str">
        <f ca="1">IFERROR(__xludf.DUMMYFUNCTION("""COMPUTED_VALUE"""),"BELEM")</f>
        <v>BELEM</v>
      </c>
      <c r="K370" s="1">
        <f ca="1">IFERROR(__xludf.DUMMYFUNCTION("""COMPUTED_VALUE"""),15042537)</f>
        <v>15042537</v>
      </c>
      <c r="L370" s="2" t="str">
        <f ca="1">IFERROR(__xludf.DUMMYFUNCTION("""COMPUTED_VALUE"""),"001920930450000")</f>
        <v>001920930450000</v>
      </c>
      <c r="M370" s="2" t="str">
        <f ca="1">IFERROR(__xludf.DUMMYFUNCTION("""COMPUTED_VALUE"""),"1920930450000")</f>
        <v>1920930450000</v>
      </c>
      <c r="N370" s="1" t="str">
        <f ca="1">IFERROR(__xludf.DUMMYFUNCTION("""COMPUTED_VALUE"""),"EEEF MARILDA NUNES")</f>
        <v>EEEF MARILDA NUNES</v>
      </c>
      <c r="O370" s="1"/>
      <c r="P370" s="1"/>
      <c r="Q370" s="1" t="s">
        <v>374</v>
      </c>
    </row>
    <row r="371" spans="1:17" x14ac:dyDescent="0.25">
      <c r="A371" s="2" t="str">
        <f ca="1">IFERROR(__xludf.DUMMYFUNCTION("""COMPUTED_VALUE"""),"REG DE INTEGRA  METROPOLITANA")</f>
        <v>REG DE INTEGRA  METROPOLITANA</v>
      </c>
      <c r="B371" s="1" t="str">
        <f ca="1">IFERROR(__xludf.DUMMYFUNCTION("""COMPUTED_VALUE"""),"DRE BELEM 8")</f>
        <v>DRE BELEM 8</v>
      </c>
      <c r="C371" s="2" t="str">
        <f ca="1">IFERROR(__xludf.DUMMYFUNCTION("""COMPUTED_VALUE"""),"DRE - ANANINDEUA / BELEM")</f>
        <v>DRE - ANANINDEUA / BELEM</v>
      </c>
      <c r="D371" s="2" t="str">
        <f ca="1">IFERROR(__xludf.DUMMYFUNCTION("""COMPUTED_VALUE"""),"Belem 8")</f>
        <v>Belem 8</v>
      </c>
      <c r="E371" s="2" t="str">
        <f ca="1">IFERROR(__xludf.DUMMYFUNCTION("""COMPUTED_VALUE"""),"DRE - ANANINDEUA / BELEMBelem 8")</f>
        <v>DRE - ANANINDEUA / BELEMBelem 8</v>
      </c>
      <c r="F371" s="1">
        <f ca="1">IFERROR(__xludf.DUMMYFUNCTION("""COMPUTED_VALUE"""),2)</f>
        <v>2</v>
      </c>
      <c r="G371" s="1" t="str">
        <f ca="1">IFERROR(__xludf.DUMMYFUNCTION("""COMPUTED_VALUE"""),"DRE BELEM 9")</f>
        <v>DRE BELEM 9</v>
      </c>
      <c r="H371" s="1" t="str">
        <f ca="1">IFERROR(__xludf.DUMMYFUNCTION("""COMPUTED_VALUE"""),"19A URE - BELEM")</f>
        <v>19A URE - BELEM</v>
      </c>
      <c r="I371" s="2" t="str">
        <f ca="1">IFERROR(__xludf.DUMMYFUNCTION("""COMPUTED_VALUE"""),"Unidade 9")</f>
        <v>Unidade 9</v>
      </c>
      <c r="J371" s="1" t="str">
        <f ca="1">IFERROR(__xludf.DUMMYFUNCTION("""COMPUTED_VALUE"""),"BELEM")</f>
        <v>BELEM</v>
      </c>
      <c r="K371" s="1">
        <f ca="1">IFERROR(__xludf.DUMMYFUNCTION("""COMPUTED_VALUE"""),15517691)</f>
        <v>15517691</v>
      </c>
      <c r="L371" s="2" t="str">
        <f ca="1">IFERROR(__xludf.DUMMYFUNCTION("""COMPUTED_VALUE"""),"001920928870000")</f>
        <v>001920928870000</v>
      </c>
      <c r="M371" s="2" t="str">
        <f ca="1">IFERROR(__xludf.DUMMYFUNCTION("""COMPUTED_VALUE"""),"1920928870000")</f>
        <v>1920928870000</v>
      </c>
      <c r="N371" s="1" t="str">
        <f ca="1">IFERROR(__xludf.DUMMYFUNCTION("""COMPUTED_VALUE"""),"EEEF PROFA CLAUDINE GABRIELE LIMA E SILVA")</f>
        <v>EEEF PROFA CLAUDINE GABRIELE LIMA E SILVA</v>
      </c>
      <c r="O371" s="1"/>
      <c r="P371" s="1"/>
      <c r="Q371" s="1" t="s">
        <v>374</v>
      </c>
    </row>
    <row r="372" spans="1:17" x14ac:dyDescent="0.25">
      <c r="A372" s="2" t="str">
        <f ca="1">IFERROR(__xludf.DUMMYFUNCTION("""COMPUTED_VALUE"""),"REG DE INTEGRA  METROPOLITANA")</f>
        <v>REG DE INTEGRA  METROPOLITANA</v>
      </c>
      <c r="B372" s="1" t="str">
        <f ca="1">IFERROR(__xludf.DUMMYFUNCTION("""COMPUTED_VALUE"""),"DRE BELEM 8")</f>
        <v>DRE BELEM 8</v>
      </c>
      <c r="C372" s="2" t="str">
        <f ca="1">IFERROR(__xludf.DUMMYFUNCTION("""COMPUTED_VALUE"""),"DRE - ANANINDEUA / BELEM")</f>
        <v>DRE - ANANINDEUA / BELEM</v>
      </c>
      <c r="D372" s="2" t="str">
        <f ca="1">IFERROR(__xludf.DUMMYFUNCTION("""COMPUTED_VALUE"""),"Belem 8")</f>
        <v>Belem 8</v>
      </c>
      <c r="E372" s="2" t="str">
        <f ca="1">IFERROR(__xludf.DUMMYFUNCTION("""COMPUTED_VALUE"""),"DRE - ANANINDEUA / BELEMBelem 8")</f>
        <v>DRE - ANANINDEUA / BELEMBelem 8</v>
      </c>
      <c r="F372" s="1">
        <f ca="1">IFERROR(__xludf.DUMMYFUNCTION("""COMPUTED_VALUE"""),2)</f>
        <v>2</v>
      </c>
      <c r="G372" s="1" t="str">
        <f ca="1">IFERROR(__xludf.DUMMYFUNCTION("""COMPUTED_VALUE"""),"DRE BELEM 9")</f>
        <v>DRE BELEM 9</v>
      </c>
      <c r="H372" s="1" t="str">
        <f ca="1">IFERROR(__xludf.DUMMYFUNCTION("""COMPUTED_VALUE"""),"19A URE - BELEM")</f>
        <v>19A URE - BELEM</v>
      </c>
      <c r="I372" s="2" t="str">
        <f ca="1">IFERROR(__xludf.DUMMYFUNCTION("""COMPUTED_VALUE"""),"Unidade 9")</f>
        <v>Unidade 9</v>
      </c>
      <c r="J372" s="1" t="str">
        <f ca="1">IFERROR(__xludf.DUMMYFUNCTION("""COMPUTED_VALUE"""),"BELEM")</f>
        <v>BELEM</v>
      </c>
      <c r="K372" s="1">
        <f ca="1">IFERROR(__xludf.DUMMYFUNCTION("""COMPUTED_VALUE"""),15043207)</f>
        <v>15043207</v>
      </c>
      <c r="L372" s="2" t="str">
        <f ca="1">IFERROR(__xludf.DUMMYFUNCTION("""COMPUTED_VALUE"""),"001920931130000")</f>
        <v>001920931130000</v>
      </c>
      <c r="M372" s="2" t="str">
        <f ca="1">IFERROR(__xludf.DUMMYFUNCTION("""COMPUTED_VALUE"""),"1920931130000")</f>
        <v>1920931130000</v>
      </c>
      <c r="N372" s="1" t="str">
        <f ca="1">IFERROR(__xludf.DUMMYFUNCTION("""COMPUTED_VALUE"""),"EEEF SANTA BARBARA")</f>
        <v>EEEF SANTA BARBARA</v>
      </c>
      <c r="O372" s="1"/>
      <c r="P372" s="1"/>
      <c r="Q372" s="1" t="s">
        <v>374</v>
      </c>
    </row>
    <row r="373" spans="1:17" x14ac:dyDescent="0.25">
      <c r="A373" s="2" t="str">
        <f ca="1">IFERROR(__xludf.DUMMYFUNCTION("""COMPUTED_VALUE"""),"REG DE INTEGRA  METROPOLITANA")</f>
        <v>REG DE INTEGRA  METROPOLITANA</v>
      </c>
      <c r="B373" s="1" t="str">
        <f ca="1">IFERROR(__xludf.DUMMYFUNCTION("""COMPUTED_VALUE"""),"DRE BELEM 8")</f>
        <v>DRE BELEM 8</v>
      </c>
      <c r="C373" s="2" t="str">
        <f ca="1">IFERROR(__xludf.DUMMYFUNCTION("""COMPUTED_VALUE"""),"DRE - ANANINDEUA / BELEM")</f>
        <v>DRE - ANANINDEUA / BELEM</v>
      </c>
      <c r="D373" s="2" t="str">
        <f ca="1">IFERROR(__xludf.DUMMYFUNCTION("""COMPUTED_VALUE"""),"Belem 8")</f>
        <v>Belem 8</v>
      </c>
      <c r="E373" s="2" t="str">
        <f ca="1">IFERROR(__xludf.DUMMYFUNCTION("""COMPUTED_VALUE"""),"DRE - ANANINDEUA / BELEMBelem 8")</f>
        <v>DRE - ANANINDEUA / BELEMBelem 8</v>
      </c>
      <c r="F373" s="1">
        <f ca="1">IFERROR(__xludf.DUMMYFUNCTION("""COMPUTED_VALUE"""),2)</f>
        <v>2</v>
      </c>
      <c r="G373" s="1" t="str">
        <f ca="1">IFERROR(__xludf.DUMMYFUNCTION("""COMPUTED_VALUE"""),"DRE BELEM 9")</f>
        <v>DRE BELEM 9</v>
      </c>
      <c r="H373" s="1" t="str">
        <f ca="1">IFERROR(__xludf.DUMMYFUNCTION("""COMPUTED_VALUE"""),"19A URE - BELEM")</f>
        <v>19A URE - BELEM</v>
      </c>
      <c r="I373" s="2" t="str">
        <f ca="1">IFERROR(__xludf.DUMMYFUNCTION("""COMPUTED_VALUE"""),"Unidade 9")</f>
        <v>Unidade 9</v>
      </c>
      <c r="J373" s="1" t="str">
        <f ca="1">IFERROR(__xludf.DUMMYFUNCTION("""COMPUTED_VALUE"""),"BELEM")</f>
        <v>BELEM</v>
      </c>
      <c r="K373" s="1">
        <f ca="1">IFERROR(__xludf.DUMMYFUNCTION("""COMPUTED_VALUE"""),15042600)</f>
        <v>15042600</v>
      </c>
      <c r="L373" s="2" t="str">
        <f ca="1">IFERROR(__xludf.DUMMYFUNCTION("""COMPUTED_VALUE"""),"001920931210000")</f>
        <v>001920931210000</v>
      </c>
      <c r="M373" s="2" t="str">
        <f ca="1">IFERROR(__xludf.DUMMYFUNCTION("""COMPUTED_VALUE"""),"1920931210000")</f>
        <v>1920931210000</v>
      </c>
      <c r="N373" s="1" t="str">
        <f ca="1">IFERROR(__xludf.DUMMYFUNCTION("""COMPUTED_VALUE"""),"EEEF SAO FRANCISCO DE ASSIS")</f>
        <v>EEEF SAO FRANCISCO DE ASSIS</v>
      </c>
      <c r="O373" s="1"/>
      <c r="P373" s="1"/>
      <c r="Q373" s="1" t="s">
        <v>374</v>
      </c>
    </row>
    <row r="374" spans="1:17" x14ac:dyDescent="0.25">
      <c r="A374" s="2" t="str">
        <f ca="1">IFERROR(__xludf.DUMMYFUNCTION("""COMPUTED_VALUE"""),"REG DE INTEGRA  METROPOLITANA")</f>
        <v>REG DE INTEGRA  METROPOLITANA</v>
      </c>
      <c r="B374" s="1" t="str">
        <f ca="1">IFERROR(__xludf.DUMMYFUNCTION("""COMPUTED_VALUE"""),"DRE BELEM 8")</f>
        <v>DRE BELEM 8</v>
      </c>
      <c r="C374" s="2" t="str">
        <f ca="1">IFERROR(__xludf.DUMMYFUNCTION("""COMPUTED_VALUE"""),"DRE - ANANINDEUA / BELEM")</f>
        <v>DRE - ANANINDEUA / BELEM</v>
      </c>
      <c r="D374" s="2" t="str">
        <f ca="1">IFERROR(__xludf.DUMMYFUNCTION("""COMPUTED_VALUE"""),"Belem 8")</f>
        <v>Belem 8</v>
      </c>
      <c r="E374" s="2" t="str">
        <f ca="1">IFERROR(__xludf.DUMMYFUNCTION("""COMPUTED_VALUE"""),"DRE - ANANINDEUA / BELEMBelem 8")</f>
        <v>DRE - ANANINDEUA / BELEMBelem 8</v>
      </c>
      <c r="F374" s="1">
        <f ca="1">IFERROR(__xludf.DUMMYFUNCTION("""COMPUTED_VALUE"""),2)</f>
        <v>2</v>
      </c>
      <c r="G374" s="1" t="str">
        <f ca="1">IFERROR(__xludf.DUMMYFUNCTION("""COMPUTED_VALUE"""),"DRE BELEM 9")</f>
        <v>DRE BELEM 9</v>
      </c>
      <c r="H374" s="1" t="str">
        <f ca="1">IFERROR(__xludf.DUMMYFUNCTION("""COMPUTED_VALUE"""),"19A URE - BELEM")</f>
        <v>19A URE - BELEM</v>
      </c>
      <c r="I374" s="2" t="str">
        <f ca="1">IFERROR(__xludf.DUMMYFUNCTION("""COMPUTED_VALUE"""),"Unidade 9")</f>
        <v>Unidade 9</v>
      </c>
      <c r="J374" s="1" t="str">
        <f ca="1">IFERROR(__xludf.DUMMYFUNCTION("""COMPUTED_VALUE"""),"BELEM")</f>
        <v>BELEM</v>
      </c>
      <c r="K374" s="1">
        <f ca="1">IFERROR(__xludf.DUMMYFUNCTION("""COMPUTED_VALUE"""),15042286)</f>
        <v>15042286</v>
      </c>
      <c r="L374" s="2" t="str">
        <f ca="1">IFERROR(__xludf.DUMMYFUNCTION("""COMPUTED_VALUE"""),"001920934520000")</f>
        <v>001920934520000</v>
      </c>
      <c r="M374" s="2" t="str">
        <f ca="1">IFERROR(__xludf.DUMMYFUNCTION("""COMPUTED_VALUE"""),"1920934520000")</f>
        <v>1920934520000</v>
      </c>
      <c r="N374" s="1" t="str">
        <f ca="1">IFERROR(__xludf.DUMMYFUNCTION("""COMPUTED_VALUE"""),"EEEF SAO JERONIMO")</f>
        <v>EEEF SAO JERONIMO</v>
      </c>
      <c r="O374" s="1"/>
      <c r="P374" s="1"/>
      <c r="Q374" s="1" t="s">
        <v>374</v>
      </c>
    </row>
    <row r="375" spans="1:17" x14ac:dyDescent="0.25">
      <c r="A375" s="2" t="str">
        <f ca="1">IFERROR(__xludf.DUMMYFUNCTION("""COMPUTED_VALUE"""),"REG DE INTEGRA  METROPOLITANA")</f>
        <v>REG DE INTEGRA  METROPOLITANA</v>
      </c>
      <c r="B375" s="1" t="str">
        <f ca="1">IFERROR(__xludf.DUMMYFUNCTION("""COMPUTED_VALUE"""),"DRE BELEM 8")</f>
        <v>DRE BELEM 8</v>
      </c>
      <c r="C375" s="2" t="str">
        <f ca="1">IFERROR(__xludf.DUMMYFUNCTION("""COMPUTED_VALUE"""),"DRE - ANANINDEUA / BELEM")</f>
        <v>DRE - ANANINDEUA / BELEM</v>
      </c>
      <c r="D375" s="2" t="str">
        <f ca="1">IFERROR(__xludf.DUMMYFUNCTION("""COMPUTED_VALUE"""),"Belem 8")</f>
        <v>Belem 8</v>
      </c>
      <c r="E375" s="2" t="str">
        <f ca="1">IFERROR(__xludf.DUMMYFUNCTION("""COMPUTED_VALUE"""),"DRE - ANANINDEUA / BELEMBelem 8")</f>
        <v>DRE - ANANINDEUA / BELEMBelem 8</v>
      </c>
      <c r="F375" s="1">
        <f ca="1">IFERROR(__xludf.DUMMYFUNCTION("""COMPUTED_VALUE"""),2)</f>
        <v>2</v>
      </c>
      <c r="G375" s="1" t="str">
        <f ca="1">IFERROR(__xludf.DUMMYFUNCTION("""COMPUTED_VALUE"""),"DRE BELEM 9")</f>
        <v>DRE BELEM 9</v>
      </c>
      <c r="H375" s="1" t="str">
        <f ca="1">IFERROR(__xludf.DUMMYFUNCTION("""COMPUTED_VALUE"""),"19A URE - BELEM")</f>
        <v>19A URE - BELEM</v>
      </c>
      <c r="I375" s="2" t="str">
        <f ca="1">IFERROR(__xludf.DUMMYFUNCTION("""COMPUTED_VALUE"""),"Unidade 9")</f>
        <v>Unidade 9</v>
      </c>
      <c r="J375" s="1" t="str">
        <f ca="1">IFERROR(__xludf.DUMMYFUNCTION("""COMPUTED_VALUE"""),"BELEM")</f>
        <v>BELEM</v>
      </c>
      <c r="K375" s="1">
        <f ca="1">IFERROR(__xludf.DUMMYFUNCTION("""COMPUTED_VALUE"""),15039528)</f>
        <v>15039528</v>
      </c>
      <c r="L375" s="2" t="str">
        <f ca="1">IFERROR(__xludf.DUMMYFUNCTION("""COMPUTED_VALUE"""),"001920902310000")</f>
        <v>001920902310000</v>
      </c>
      <c r="M375" s="2" t="str">
        <f ca="1">IFERROR(__xludf.DUMMYFUNCTION("""COMPUTED_VALUE"""),"1920902310000")</f>
        <v>1920902310000</v>
      </c>
      <c r="N375" s="1" t="str">
        <f ca="1">IFERROR(__xludf.DUMMYFUNCTION("""COMPUTED_VALUE"""),"EEEFM ALDEBARO KLAUTAU")</f>
        <v>EEEFM ALDEBARO KLAUTAU</v>
      </c>
      <c r="O375" s="1"/>
      <c r="P375" s="1"/>
      <c r="Q375" s="1" t="s">
        <v>374</v>
      </c>
    </row>
    <row r="376" spans="1:17" x14ac:dyDescent="0.25">
      <c r="A376" s="2" t="str">
        <f ca="1">IFERROR(__xludf.DUMMYFUNCTION("""COMPUTED_VALUE"""),"REG DE INTEGRA  METROPOLITANA")</f>
        <v>REG DE INTEGRA  METROPOLITANA</v>
      </c>
      <c r="B376" s="1" t="str">
        <f ca="1">IFERROR(__xludf.DUMMYFUNCTION("""COMPUTED_VALUE"""),"DRE BELEM 8")</f>
        <v>DRE BELEM 8</v>
      </c>
      <c r="C376" s="2" t="str">
        <f ca="1">IFERROR(__xludf.DUMMYFUNCTION("""COMPUTED_VALUE"""),"DRE - ANANINDEUA / BELEM")</f>
        <v>DRE - ANANINDEUA / BELEM</v>
      </c>
      <c r="D376" s="2" t="str">
        <f ca="1">IFERROR(__xludf.DUMMYFUNCTION("""COMPUTED_VALUE"""),"Belem 8")</f>
        <v>Belem 8</v>
      </c>
      <c r="E376" s="2" t="str">
        <f ca="1">IFERROR(__xludf.DUMMYFUNCTION("""COMPUTED_VALUE"""),"DRE - ANANINDEUA / BELEMBelem 8")</f>
        <v>DRE - ANANINDEUA / BELEMBelem 8</v>
      </c>
      <c r="F376" s="1">
        <f ca="1">IFERROR(__xludf.DUMMYFUNCTION("""COMPUTED_VALUE"""),2)</f>
        <v>2</v>
      </c>
      <c r="G376" s="1" t="str">
        <f ca="1">IFERROR(__xludf.DUMMYFUNCTION("""COMPUTED_VALUE"""),"DRE BELEM 9")</f>
        <v>DRE BELEM 9</v>
      </c>
      <c r="H376" s="1" t="str">
        <f ca="1">IFERROR(__xludf.DUMMYFUNCTION("""COMPUTED_VALUE"""),"19A URE - BELEM")</f>
        <v>19A URE - BELEM</v>
      </c>
      <c r="I376" s="2" t="str">
        <f ca="1">IFERROR(__xludf.DUMMYFUNCTION("""COMPUTED_VALUE"""),"Unidade 9")</f>
        <v>Unidade 9</v>
      </c>
      <c r="J376" s="1" t="str">
        <f ca="1">IFERROR(__xludf.DUMMYFUNCTION("""COMPUTED_VALUE"""),"BELEM")</f>
        <v>BELEM</v>
      </c>
      <c r="K376" s="1">
        <f ca="1">IFERROR(__xludf.DUMMYFUNCTION("""COMPUTED_VALUE"""),15042570)</f>
        <v>15042570</v>
      </c>
      <c r="L376" s="2" t="str">
        <f ca="1">IFERROR(__xludf.DUMMYFUNCTION("""COMPUTED_VALUE"""),"001920931150000")</f>
        <v>001920931150000</v>
      </c>
      <c r="M376" s="2" t="str">
        <f ca="1">IFERROR(__xludf.DUMMYFUNCTION("""COMPUTED_VALUE"""),"1920931150000")</f>
        <v>1920931150000</v>
      </c>
      <c r="N376" s="1" t="str">
        <f ca="1">IFERROR(__xludf.DUMMYFUNCTION("""COMPUTED_VALUE"""),"EEEFM CIDADE DE EMAUS")</f>
        <v>EEEFM CIDADE DE EMAUS</v>
      </c>
      <c r="O376" s="1"/>
      <c r="P376" s="1"/>
      <c r="Q376" s="1" t="s">
        <v>374</v>
      </c>
    </row>
    <row r="377" spans="1:17" x14ac:dyDescent="0.25">
      <c r="A377" s="2" t="str">
        <f ca="1">IFERROR(__xludf.DUMMYFUNCTION("""COMPUTED_VALUE"""),"REG DE INTEGRA  METROPOLITANA")</f>
        <v>REG DE INTEGRA  METROPOLITANA</v>
      </c>
      <c r="B377" s="1" t="str">
        <f ca="1">IFERROR(__xludf.DUMMYFUNCTION("""COMPUTED_VALUE"""),"DRE BELEM 8")</f>
        <v>DRE BELEM 8</v>
      </c>
      <c r="C377" s="2" t="str">
        <f ca="1">IFERROR(__xludf.DUMMYFUNCTION("""COMPUTED_VALUE"""),"DRE - ANANINDEUA / BELEM")</f>
        <v>DRE - ANANINDEUA / BELEM</v>
      </c>
      <c r="D377" s="2" t="str">
        <f ca="1">IFERROR(__xludf.DUMMYFUNCTION("""COMPUTED_VALUE"""),"Belem 8")</f>
        <v>Belem 8</v>
      </c>
      <c r="E377" s="2" t="str">
        <f ca="1">IFERROR(__xludf.DUMMYFUNCTION("""COMPUTED_VALUE"""),"DRE - ANANINDEUA / BELEMBelem 8")</f>
        <v>DRE - ANANINDEUA / BELEMBelem 8</v>
      </c>
      <c r="F377" s="1">
        <f ca="1">IFERROR(__xludf.DUMMYFUNCTION("""COMPUTED_VALUE"""),2)</f>
        <v>2</v>
      </c>
      <c r="G377" s="1" t="str">
        <f ca="1">IFERROR(__xludf.DUMMYFUNCTION("""COMPUTED_VALUE"""),"DRE BELEM 9")</f>
        <v>DRE BELEM 9</v>
      </c>
      <c r="H377" s="1" t="str">
        <f ca="1">IFERROR(__xludf.DUMMYFUNCTION("""COMPUTED_VALUE"""),"19A URE - BELEM")</f>
        <v>19A URE - BELEM</v>
      </c>
      <c r="I377" s="2" t="str">
        <f ca="1">IFERROR(__xludf.DUMMYFUNCTION("""COMPUTED_VALUE"""),"Unidade 9")</f>
        <v>Unidade 9</v>
      </c>
      <c r="J377" s="1" t="str">
        <f ca="1">IFERROR(__xludf.DUMMYFUNCTION("""COMPUTED_VALUE"""),"BELEM")</f>
        <v>BELEM</v>
      </c>
      <c r="K377" s="1">
        <f ca="1">IFERROR(__xludf.DUMMYFUNCTION("""COMPUTED_VALUE"""),15586227)</f>
        <v>15586227</v>
      </c>
      <c r="L377" s="2" t="str">
        <f ca="1">IFERROR(__xludf.DUMMYFUNCTION("""COMPUTED_VALUE"""),"001920937050000")</f>
        <v>001920937050000</v>
      </c>
      <c r="M377" s="2" t="str">
        <f ca="1">IFERROR(__xludf.DUMMYFUNCTION("""COMPUTED_VALUE"""),"1920937050000")</f>
        <v>1920937050000</v>
      </c>
      <c r="N377" s="1" t="str">
        <f ca="1">IFERROR(__xludf.DUMMYFUNCTION("""COMPUTED_VALUE"""),"EEEFM DR JOSE MARCIO AYRES")</f>
        <v>EEEFM DR JOSE MARCIO AYRES</v>
      </c>
      <c r="O377" s="1"/>
      <c r="P377" s="1"/>
      <c r="Q377" s="1" t="s">
        <v>374</v>
      </c>
    </row>
    <row r="378" spans="1:17" x14ac:dyDescent="0.25">
      <c r="A378" s="2" t="str">
        <f ca="1">IFERROR(__xludf.DUMMYFUNCTION("""COMPUTED_VALUE"""),"REG DE INTEGRA  METROPOLITANA")</f>
        <v>REG DE INTEGRA  METROPOLITANA</v>
      </c>
      <c r="B378" s="1" t="str">
        <f ca="1">IFERROR(__xludf.DUMMYFUNCTION("""COMPUTED_VALUE"""),"DRE BELEM 8")</f>
        <v>DRE BELEM 8</v>
      </c>
      <c r="C378" s="2" t="str">
        <f ca="1">IFERROR(__xludf.DUMMYFUNCTION("""COMPUTED_VALUE"""),"DRE - ANANINDEUA / BELEM")</f>
        <v>DRE - ANANINDEUA / BELEM</v>
      </c>
      <c r="D378" s="2" t="str">
        <f ca="1">IFERROR(__xludf.DUMMYFUNCTION("""COMPUTED_VALUE"""),"Belem 8")</f>
        <v>Belem 8</v>
      </c>
      <c r="E378" s="2" t="str">
        <f ca="1">IFERROR(__xludf.DUMMYFUNCTION("""COMPUTED_VALUE"""),"DRE - ANANINDEUA / BELEMBelem 8")</f>
        <v>DRE - ANANINDEUA / BELEMBelem 8</v>
      </c>
      <c r="F378" s="1">
        <f ca="1">IFERROR(__xludf.DUMMYFUNCTION("""COMPUTED_VALUE"""),2)</f>
        <v>2</v>
      </c>
      <c r="G378" s="1" t="str">
        <f ca="1">IFERROR(__xludf.DUMMYFUNCTION("""COMPUTED_VALUE"""),"DRE BELEM 9")</f>
        <v>DRE BELEM 9</v>
      </c>
      <c r="H378" s="1" t="str">
        <f ca="1">IFERROR(__xludf.DUMMYFUNCTION("""COMPUTED_VALUE"""),"19A URE - BELEM")</f>
        <v>19A URE - BELEM</v>
      </c>
      <c r="I378" s="2" t="str">
        <f ca="1">IFERROR(__xludf.DUMMYFUNCTION("""COMPUTED_VALUE"""),"Unidade 9")</f>
        <v>Unidade 9</v>
      </c>
      <c r="J378" s="1" t="str">
        <f ca="1">IFERROR(__xludf.DUMMYFUNCTION("""COMPUTED_VALUE"""),"BELEM")</f>
        <v>BELEM</v>
      </c>
      <c r="K378" s="1">
        <f ca="1">IFERROR(__xludf.DUMMYFUNCTION("""COMPUTED_VALUE"""),15042626)</f>
        <v>15042626</v>
      </c>
      <c r="L378" s="2" t="str">
        <f ca="1">IFERROR(__xludf.DUMMYFUNCTION("""COMPUTED_VALUE"""),"001920930850000")</f>
        <v>001920930850000</v>
      </c>
      <c r="M378" s="2" t="str">
        <f ca="1">IFERROR(__xludf.DUMMYFUNCTION("""COMPUTED_VALUE"""),"1920930850000")</f>
        <v>1920930850000</v>
      </c>
      <c r="N378" s="1" t="str">
        <f ca="1">IFERROR(__xludf.DUMMYFUNCTION("""COMPUTED_VALUE"""),"EEEFM NOSSA SENHORA DO CARMO")</f>
        <v>EEEFM NOSSA SENHORA DO CARMO</v>
      </c>
      <c r="O378" s="1"/>
      <c r="P378" s="1"/>
      <c r="Q378" s="1" t="s">
        <v>374</v>
      </c>
    </row>
    <row r="379" spans="1:17" x14ac:dyDescent="0.25">
      <c r="A379" s="2" t="str">
        <f ca="1">IFERROR(__xludf.DUMMYFUNCTION("""COMPUTED_VALUE"""),"REG DE INTEGRA  METROPOLITANA")</f>
        <v>REG DE INTEGRA  METROPOLITANA</v>
      </c>
      <c r="B379" s="1" t="str">
        <f ca="1">IFERROR(__xludf.DUMMYFUNCTION("""COMPUTED_VALUE"""),"DRE BELEM 8")</f>
        <v>DRE BELEM 8</v>
      </c>
      <c r="C379" s="2" t="str">
        <f ca="1">IFERROR(__xludf.DUMMYFUNCTION("""COMPUTED_VALUE"""),"DRE - ANANINDEUA / BELEM")</f>
        <v>DRE - ANANINDEUA / BELEM</v>
      </c>
      <c r="D379" s="2" t="str">
        <f ca="1">IFERROR(__xludf.DUMMYFUNCTION("""COMPUTED_VALUE"""),"Belem 8")</f>
        <v>Belem 8</v>
      </c>
      <c r="E379" s="2" t="str">
        <f ca="1">IFERROR(__xludf.DUMMYFUNCTION("""COMPUTED_VALUE"""),"DRE - ANANINDEUA / BELEMBelem 8")</f>
        <v>DRE - ANANINDEUA / BELEMBelem 8</v>
      </c>
      <c r="F379" s="1">
        <f ca="1">IFERROR(__xludf.DUMMYFUNCTION("""COMPUTED_VALUE"""),2)</f>
        <v>2</v>
      </c>
      <c r="G379" s="1" t="str">
        <f ca="1">IFERROR(__xludf.DUMMYFUNCTION("""COMPUTED_VALUE"""),"DRE BELEM 9")</f>
        <v>DRE BELEM 9</v>
      </c>
      <c r="H379" s="1" t="str">
        <f ca="1">IFERROR(__xludf.DUMMYFUNCTION("""COMPUTED_VALUE"""),"19A URE - BELEM")</f>
        <v>19A URE - BELEM</v>
      </c>
      <c r="I379" s="2" t="str">
        <f ca="1">IFERROR(__xludf.DUMMYFUNCTION("""COMPUTED_VALUE"""),"Unidade 9")</f>
        <v>Unidade 9</v>
      </c>
      <c r="J379" s="1" t="str">
        <f ca="1">IFERROR(__xludf.DUMMYFUNCTION("""COMPUTED_VALUE"""),"BELEM")</f>
        <v>BELEM</v>
      </c>
      <c r="K379" s="1">
        <f ca="1">IFERROR(__xludf.DUMMYFUNCTION("""COMPUTED_VALUE"""),15042529)</f>
        <v>15042529</v>
      </c>
      <c r="L379" s="2" t="str">
        <f ca="1">IFERROR(__xludf.DUMMYFUNCTION("""COMPUTED_VALUE"""),"001920937090000")</f>
        <v>001920937090000</v>
      </c>
      <c r="M379" s="2" t="str">
        <f ca="1">IFERROR(__xludf.DUMMYFUNCTION("""COMPUTED_VALUE"""),"1920937090000")</f>
        <v>1920937090000</v>
      </c>
      <c r="N379" s="1" t="str">
        <f ca="1">IFERROR(__xludf.DUMMYFUNCTION("""COMPUTED_VALUE"""),"EEEFM PADRE FRANCISCO BERTON")</f>
        <v>EEEFM PADRE FRANCISCO BERTON</v>
      </c>
      <c r="O379" s="1"/>
      <c r="P379" s="1"/>
      <c r="Q379" s="1" t="s">
        <v>374</v>
      </c>
    </row>
    <row r="380" spans="1:17" x14ac:dyDescent="0.25">
      <c r="A380" s="2" t="str">
        <f ca="1">IFERROR(__xludf.DUMMYFUNCTION("""COMPUTED_VALUE"""),"REG DE INTEGRA  METROPOLITANA")</f>
        <v>REG DE INTEGRA  METROPOLITANA</v>
      </c>
      <c r="B380" s="1" t="str">
        <f ca="1">IFERROR(__xludf.DUMMYFUNCTION("""COMPUTED_VALUE"""),"DRE BELEM 8")</f>
        <v>DRE BELEM 8</v>
      </c>
      <c r="C380" s="2" t="str">
        <f ca="1">IFERROR(__xludf.DUMMYFUNCTION("""COMPUTED_VALUE"""),"DRE - ANANINDEUA / BELEM")</f>
        <v>DRE - ANANINDEUA / BELEM</v>
      </c>
      <c r="D380" s="2" t="str">
        <f ca="1">IFERROR(__xludf.DUMMYFUNCTION("""COMPUTED_VALUE"""),"Belem 8")</f>
        <v>Belem 8</v>
      </c>
      <c r="E380" s="2" t="str">
        <f ca="1">IFERROR(__xludf.DUMMYFUNCTION("""COMPUTED_VALUE"""),"DRE - ANANINDEUA / BELEMBelem 8")</f>
        <v>DRE - ANANINDEUA / BELEMBelem 8</v>
      </c>
      <c r="F380" s="1">
        <f ca="1">IFERROR(__xludf.DUMMYFUNCTION("""COMPUTED_VALUE"""),2)</f>
        <v>2</v>
      </c>
      <c r="G380" s="1" t="str">
        <f ca="1">IFERROR(__xludf.DUMMYFUNCTION("""COMPUTED_VALUE"""),"DRE BELEM 9")</f>
        <v>DRE BELEM 9</v>
      </c>
      <c r="H380" s="1" t="str">
        <f ca="1">IFERROR(__xludf.DUMMYFUNCTION("""COMPUTED_VALUE"""),"19A URE - BELEM")</f>
        <v>19A URE - BELEM</v>
      </c>
      <c r="I380" s="2" t="str">
        <f ca="1">IFERROR(__xludf.DUMMYFUNCTION("""COMPUTED_VALUE"""),"Unidade 9")</f>
        <v>Unidade 9</v>
      </c>
      <c r="J380" s="1" t="str">
        <f ca="1">IFERROR(__xludf.DUMMYFUNCTION("""COMPUTED_VALUE"""),"BELEM")</f>
        <v>BELEM</v>
      </c>
      <c r="K380" s="1">
        <f ca="1">IFERROR(__xludf.DUMMYFUNCTION("""COMPUTED_VALUE"""),15042944)</f>
        <v>15042944</v>
      </c>
      <c r="L380" s="2" t="str">
        <f ca="1">IFERROR(__xludf.DUMMYFUNCTION("""COMPUTED_VALUE"""),"001920901650000")</f>
        <v>001920901650000</v>
      </c>
      <c r="M380" s="2" t="str">
        <f ca="1">IFERROR(__xludf.DUMMYFUNCTION("""COMPUTED_VALUE"""),"1920901650000")</f>
        <v>1920901650000</v>
      </c>
      <c r="N380" s="1" t="str">
        <f ca="1">IFERROR(__xludf.DUMMYFUNCTION("""COMPUTED_VALUE"""),"EEEFM PROFA MARIA LUIZA DA COSTA REGO")</f>
        <v>EEEFM PROFA MARIA LUIZA DA COSTA REGO</v>
      </c>
      <c r="O380" s="1"/>
      <c r="P380" s="1"/>
      <c r="Q380" s="1" t="s">
        <v>374</v>
      </c>
    </row>
    <row r="381" spans="1:17" x14ac:dyDescent="0.25">
      <c r="A381" s="2" t="str">
        <f ca="1">IFERROR(__xludf.DUMMYFUNCTION("""COMPUTED_VALUE"""),"REG DE INTEGRA  METROPOLITANA")</f>
        <v>REG DE INTEGRA  METROPOLITANA</v>
      </c>
      <c r="B381" s="1" t="str">
        <f ca="1">IFERROR(__xludf.DUMMYFUNCTION("""COMPUTED_VALUE"""),"DRE BELEM 8")</f>
        <v>DRE BELEM 8</v>
      </c>
      <c r="C381" s="2" t="str">
        <f ca="1">IFERROR(__xludf.DUMMYFUNCTION("""COMPUTED_VALUE"""),"DRE - ANANINDEUA / BELEM")</f>
        <v>DRE - ANANINDEUA / BELEM</v>
      </c>
      <c r="D381" s="2" t="str">
        <f ca="1">IFERROR(__xludf.DUMMYFUNCTION("""COMPUTED_VALUE"""),"Belem 8")</f>
        <v>Belem 8</v>
      </c>
      <c r="E381" s="2" t="str">
        <f ca="1">IFERROR(__xludf.DUMMYFUNCTION("""COMPUTED_VALUE"""),"DRE - ANANINDEUA / BELEMBelem 8")</f>
        <v>DRE - ANANINDEUA / BELEMBelem 8</v>
      </c>
      <c r="F381" s="1">
        <f ca="1">IFERROR(__xludf.DUMMYFUNCTION("""COMPUTED_VALUE"""),2)</f>
        <v>2</v>
      </c>
      <c r="G381" s="1" t="str">
        <f ca="1">IFERROR(__xludf.DUMMYFUNCTION("""COMPUTED_VALUE"""),"DRE BELEM 9")</f>
        <v>DRE BELEM 9</v>
      </c>
      <c r="H381" s="1" t="str">
        <f ca="1">IFERROR(__xludf.DUMMYFUNCTION("""COMPUTED_VALUE"""),"19A URE - BELEM")</f>
        <v>19A URE - BELEM</v>
      </c>
      <c r="I381" s="2" t="str">
        <f ca="1">IFERROR(__xludf.DUMMYFUNCTION("""COMPUTED_VALUE"""),"Unidade 9")</f>
        <v>Unidade 9</v>
      </c>
      <c r="J381" s="1" t="str">
        <f ca="1">IFERROR(__xludf.DUMMYFUNCTION("""COMPUTED_VALUE"""),"BELEM")</f>
        <v>BELEM</v>
      </c>
      <c r="K381" s="1">
        <f ca="1">IFERROR(__xludf.DUMMYFUNCTION("""COMPUTED_VALUE"""),15042804)</f>
        <v>15042804</v>
      </c>
      <c r="L381" s="2" t="str">
        <f ca="1">IFERROR(__xludf.DUMMYFUNCTION("""COMPUTED_VALUE"""),"001920902130000")</f>
        <v>001920902130000</v>
      </c>
      <c r="M381" s="2" t="str">
        <f ca="1">IFERROR(__xludf.DUMMYFUNCTION("""COMPUTED_VALUE"""),"1920902130000")</f>
        <v>1920902130000</v>
      </c>
      <c r="N381" s="1" t="str">
        <f ca="1">IFERROR(__xludf.DUMMYFUNCTION("""COMPUTED_VALUE"""),"EEEFM SUBOFICIAL EDVALDO BRANDAO DE JESUS")</f>
        <v>EEEFM SUBOFICIAL EDVALDO BRANDAO DE JESUS</v>
      </c>
      <c r="O381" s="1"/>
      <c r="P381" s="1"/>
      <c r="Q381" s="1" t="s">
        <v>374</v>
      </c>
    </row>
    <row r="382" spans="1:17" x14ac:dyDescent="0.25">
      <c r="A382" s="2" t="str">
        <f ca="1">IFERROR(__xludf.DUMMYFUNCTION("""COMPUTED_VALUE"""),"REG DE INTEGRA  METROPOLITANA")</f>
        <v>REG DE INTEGRA  METROPOLITANA</v>
      </c>
      <c r="B382" s="1" t="str">
        <f ca="1">IFERROR(__xludf.DUMMYFUNCTION("""COMPUTED_VALUE"""),"DRE BELEM 8")</f>
        <v>DRE BELEM 8</v>
      </c>
      <c r="C382" s="2" t="str">
        <f ca="1">IFERROR(__xludf.DUMMYFUNCTION("""COMPUTED_VALUE"""),"DRE - ANANINDEUA / BELEM")</f>
        <v>DRE - ANANINDEUA / BELEM</v>
      </c>
      <c r="D382" s="2" t="str">
        <f ca="1">IFERROR(__xludf.DUMMYFUNCTION("""COMPUTED_VALUE"""),"Belem 8")</f>
        <v>Belem 8</v>
      </c>
      <c r="E382" s="2" t="str">
        <f ca="1">IFERROR(__xludf.DUMMYFUNCTION("""COMPUTED_VALUE"""),"DRE - ANANINDEUA / BELEMBelem 8")</f>
        <v>DRE - ANANINDEUA / BELEMBelem 8</v>
      </c>
      <c r="F382" s="1">
        <f ca="1">IFERROR(__xludf.DUMMYFUNCTION("""COMPUTED_VALUE"""),2)</f>
        <v>2</v>
      </c>
      <c r="G382" s="1" t="str">
        <f ca="1">IFERROR(__xludf.DUMMYFUNCTION("""COMPUTED_VALUE"""),"DRE BELEM 9")</f>
        <v>DRE BELEM 9</v>
      </c>
      <c r="H382" s="1" t="str">
        <f ca="1">IFERROR(__xludf.DUMMYFUNCTION("""COMPUTED_VALUE"""),"19A URE - BELEM")</f>
        <v>19A URE - BELEM</v>
      </c>
      <c r="I382" s="2" t="str">
        <f ca="1">IFERROR(__xludf.DUMMYFUNCTION("""COMPUTED_VALUE"""),"Unidade 9")</f>
        <v>Unidade 9</v>
      </c>
      <c r="J382" s="1" t="str">
        <f ca="1">IFERROR(__xludf.DUMMYFUNCTION("""COMPUTED_VALUE"""),"BELEM")</f>
        <v>BELEM</v>
      </c>
      <c r="K382" s="1">
        <f ca="1">IFERROR(__xludf.DUMMYFUNCTION("""COMPUTED_VALUE"""),15517900)</f>
        <v>15517900</v>
      </c>
      <c r="L382" s="2" t="str">
        <f ca="1">IFERROR(__xludf.DUMMYFUNCTION("""COMPUTED_VALUE"""),"001920929500000")</f>
        <v>001920929500000</v>
      </c>
      <c r="M382" s="2" t="str">
        <f ca="1">IFERROR(__xludf.DUMMYFUNCTION("""COMPUTED_VALUE"""),"1920929500000")</f>
        <v>1920929500000</v>
      </c>
      <c r="N382" s="1" t="str">
        <f ca="1">IFERROR(__xludf.DUMMYFUNCTION("""COMPUTED_VALUE"""),"EEEFM WALDEMAR HENRIQUE - CAIC")</f>
        <v>EEEFM WALDEMAR HENRIQUE - CAIC</v>
      </c>
      <c r="O382" s="1"/>
      <c r="P382" s="1"/>
      <c r="Q382" s="1" t="s">
        <v>374</v>
      </c>
    </row>
    <row r="383" spans="1:17" x14ac:dyDescent="0.25">
      <c r="A383" s="2" t="str">
        <f ca="1">IFERROR(__xludf.DUMMYFUNCTION("""COMPUTED_VALUE"""),"REG DE INTEGRA  METROPOLITANA")</f>
        <v>REG DE INTEGRA  METROPOLITANA</v>
      </c>
      <c r="B383" s="1" t="str">
        <f ca="1">IFERROR(__xludf.DUMMYFUNCTION("""COMPUTED_VALUE"""),"DRE BELEM 8")</f>
        <v>DRE BELEM 8</v>
      </c>
      <c r="C383" s="2" t="str">
        <f ca="1">IFERROR(__xludf.DUMMYFUNCTION("""COMPUTED_VALUE"""),"DRE - ANANINDEUA / BELEM")</f>
        <v>DRE - ANANINDEUA / BELEM</v>
      </c>
      <c r="D383" s="2" t="str">
        <f ca="1">IFERROR(__xludf.DUMMYFUNCTION("""COMPUTED_VALUE"""),"Belem 8")</f>
        <v>Belem 8</v>
      </c>
      <c r="E383" s="2" t="str">
        <f ca="1">IFERROR(__xludf.DUMMYFUNCTION("""COMPUTED_VALUE"""),"DRE - ANANINDEUA / BELEMBelem 8")</f>
        <v>DRE - ANANINDEUA / BELEMBelem 8</v>
      </c>
      <c r="F383" s="1">
        <f ca="1">IFERROR(__xludf.DUMMYFUNCTION("""COMPUTED_VALUE"""),2)</f>
        <v>2</v>
      </c>
      <c r="G383" s="1" t="str">
        <f ca="1">IFERROR(__xludf.DUMMYFUNCTION("""COMPUTED_VALUE"""),"DRE BELEM 9")</f>
        <v>DRE BELEM 9</v>
      </c>
      <c r="H383" s="1" t="str">
        <f ca="1">IFERROR(__xludf.DUMMYFUNCTION("""COMPUTED_VALUE"""),"19A URE - BELEM")</f>
        <v>19A URE - BELEM</v>
      </c>
      <c r="I383" s="2" t="str">
        <f ca="1">IFERROR(__xludf.DUMMYFUNCTION("""COMPUTED_VALUE"""),"Unidade 9")</f>
        <v>Unidade 9</v>
      </c>
      <c r="J383" s="1" t="str">
        <f ca="1">IFERROR(__xludf.DUMMYFUNCTION("""COMPUTED_VALUE"""),"BELEM")</f>
        <v>BELEM</v>
      </c>
      <c r="K383" s="1">
        <f ca="1">IFERROR(__xludf.DUMMYFUNCTION("""COMPUTED_VALUE"""),15140628)</f>
        <v>15140628</v>
      </c>
      <c r="L383" s="2" t="str">
        <f ca="1">IFERROR(__xludf.DUMMYFUNCTION("""COMPUTED_VALUE"""),"001920928750000")</f>
        <v>001920928750000</v>
      </c>
      <c r="M383" s="2" t="str">
        <f ca="1">IFERROR(__xludf.DUMMYFUNCTION("""COMPUTED_VALUE"""),"1920928750000")</f>
        <v>1920928750000</v>
      </c>
      <c r="N383" s="1" t="str">
        <f ca="1">IFERROR(__xludf.DUMMYFUNCTION("""COMPUTED_VALUE"""),"EEEFM WALDOMIRO RODRIGUES OLIVEIRA")</f>
        <v>EEEFM WALDOMIRO RODRIGUES OLIVEIRA</v>
      </c>
      <c r="O383" s="1"/>
      <c r="P383" s="1"/>
      <c r="Q383" s="1" t="s">
        <v>374</v>
      </c>
    </row>
    <row r="384" spans="1:17" x14ac:dyDescent="0.25">
      <c r="A384" s="2" t="str">
        <f ca="1">IFERROR(__xludf.DUMMYFUNCTION("""COMPUTED_VALUE"""),"REG DE INTEGRA  METROPOLITANA")</f>
        <v>REG DE INTEGRA  METROPOLITANA</v>
      </c>
      <c r="B384" s="1" t="str">
        <f ca="1">IFERROR(__xludf.DUMMYFUNCTION("""COMPUTED_VALUE"""),"DRE BELEM 8")</f>
        <v>DRE BELEM 8</v>
      </c>
      <c r="C384" s="2" t="str">
        <f ca="1">IFERROR(__xludf.DUMMYFUNCTION("""COMPUTED_VALUE"""),"DRE - ANANINDEUA / BELEM")</f>
        <v>DRE - ANANINDEUA / BELEM</v>
      </c>
      <c r="D384" s="2" t="str">
        <f ca="1">IFERROR(__xludf.DUMMYFUNCTION("""COMPUTED_VALUE"""),"Belem 8")</f>
        <v>Belem 8</v>
      </c>
      <c r="E384" s="2" t="str">
        <f ca="1">IFERROR(__xludf.DUMMYFUNCTION("""COMPUTED_VALUE"""),"DRE - ANANINDEUA / BELEMBelem 8")</f>
        <v>DRE - ANANINDEUA / BELEMBelem 8</v>
      </c>
      <c r="F384" s="1">
        <f ca="1">IFERROR(__xludf.DUMMYFUNCTION("""COMPUTED_VALUE"""),2)</f>
        <v>2</v>
      </c>
      <c r="G384" s="1" t="str">
        <f ca="1">IFERROR(__xludf.DUMMYFUNCTION("""COMPUTED_VALUE"""),"DRE BELEM 9")</f>
        <v>DRE BELEM 9</v>
      </c>
      <c r="H384" s="1" t="str">
        <f ca="1">IFERROR(__xludf.DUMMYFUNCTION("""COMPUTED_VALUE"""),"19A URE - BELEM")</f>
        <v>19A URE - BELEM</v>
      </c>
      <c r="I384" s="2" t="str">
        <f ca="1">IFERROR(__xludf.DUMMYFUNCTION("""COMPUTED_VALUE"""),"Unidade 9")</f>
        <v>Unidade 9</v>
      </c>
      <c r="J384" s="1" t="str">
        <f ca="1">IFERROR(__xludf.DUMMYFUNCTION("""COMPUTED_VALUE"""),"BELEM")</f>
        <v>BELEM</v>
      </c>
      <c r="K384" s="1">
        <f ca="1">IFERROR(__xludf.DUMMYFUNCTION("""COMPUTED_VALUE"""),15574156)</f>
        <v>15574156</v>
      </c>
      <c r="L384" s="2" t="str">
        <f ca="1">IFERROR(__xludf.DUMMYFUNCTION("""COMPUTED_VALUE"""),"001920930130000")</f>
        <v>001920930130000</v>
      </c>
      <c r="M384" s="2" t="str">
        <f ca="1">IFERROR(__xludf.DUMMYFUNCTION("""COMPUTED_VALUE"""),"1920930130000")</f>
        <v>1920930130000</v>
      </c>
      <c r="N384" s="1" t="str">
        <f ca="1">IFERROR(__xludf.DUMMYFUNCTION("""COMPUTED_VALUE"""),"EEEFM. NOSSA SENHORA DE GUADALUPE")</f>
        <v>EEEFM. NOSSA SENHORA DE GUADALUPE</v>
      </c>
      <c r="O384" s="1"/>
      <c r="P384" s="1"/>
      <c r="Q384" s="1" t="s">
        <v>374</v>
      </c>
    </row>
    <row r="385" spans="1:17" x14ac:dyDescent="0.25">
      <c r="A385" s="2" t="str">
        <f ca="1">IFERROR(__xludf.DUMMYFUNCTION("""COMPUTED_VALUE"""),"REG DE INTEGRA  METROPOLITANA")</f>
        <v>REG DE INTEGRA  METROPOLITANA</v>
      </c>
      <c r="B385" s="1" t="str">
        <f ca="1">IFERROR(__xludf.DUMMYFUNCTION("""COMPUTED_VALUE"""),"DRE BELEM 9")</f>
        <v>DRE BELEM 9</v>
      </c>
      <c r="C385" s="2" t="str">
        <f ca="1">IFERROR(__xludf.DUMMYFUNCTION("""COMPUTED_VALUE"""),"DRE - ANANINDEUA / BELEM")</f>
        <v>DRE - ANANINDEUA / BELEM</v>
      </c>
      <c r="D385" s="2" t="str">
        <f ca="1">IFERROR(__xludf.DUMMYFUNCTION("""COMPUTED_VALUE"""),"Belem 9")</f>
        <v>Belem 9</v>
      </c>
      <c r="E385" s="2" t="str">
        <f ca="1">IFERROR(__xludf.DUMMYFUNCTION("""COMPUTED_VALUE"""),"DRE - ANANINDEUA / BELEMBelem 9")</f>
        <v>DRE - ANANINDEUA / BELEMBelem 9</v>
      </c>
      <c r="F385" s="1">
        <f ca="1">IFERROR(__xludf.DUMMYFUNCTION("""COMPUTED_VALUE"""),2)</f>
        <v>2</v>
      </c>
      <c r="G385" s="1" t="str">
        <f ca="1">IFERROR(__xludf.DUMMYFUNCTION("""COMPUTED_VALUE"""),"DRE BELEM 10")</f>
        <v>DRE BELEM 10</v>
      </c>
      <c r="H385" s="1" t="str">
        <f ca="1">IFERROR(__xludf.DUMMYFUNCTION("""COMPUTED_VALUE"""),"19A URE - BELEM")</f>
        <v>19A URE - BELEM</v>
      </c>
      <c r="I385" s="2" t="str">
        <f ca="1">IFERROR(__xludf.DUMMYFUNCTION("""COMPUTED_VALUE"""),"Unidade 10")</f>
        <v>Unidade 10</v>
      </c>
      <c r="J385" s="1" t="str">
        <f ca="1">IFERROR(__xludf.DUMMYFUNCTION("""COMPUTED_VALUE"""),"BELEM")</f>
        <v>BELEM</v>
      </c>
      <c r="K385" s="1">
        <f ca="1">IFERROR(__xludf.DUMMYFUNCTION("""COMPUTED_VALUE"""),15035620)</f>
        <v>15035620</v>
      </c>
      <c r="L385" s="2" t="str">
        <f ca="1">IFERROR(__xludf.DUMMYFUNCTION("""COMPUTED_VALUE"""),"001920931720000")</f>
        <v>001920931720000</v>
      </c>
      <c r="M385" s="2" t="str">
        <f ca="1">IFERROR(__xludf.DUMMYFUNCTION("""COMPUTED_VALUE"""),"1920931720000")</f>
        <v>1920931720000</v>
      </c>
      <c r="N385" s="1" t="str">
        <f ca="1">IFERROR(__xludf.DUMMYFUNCTION("""COMPUTED_VALUE"""),"EEEF CARLOS DRUMMOND DE ANDRADE")</f>
        <v>EEEF CARLOS DRUMMOND DE ANDRADE</v>
      </c>
      <c r="O385" s="1"/>
      <c r="P385" s="1"/>
      <c r="Q385" s="1" t="s">
        <v>397</v>
      </c>
    </row>
    <row r="386" spans="1:17" x14ac:dyDescent="0.25">
      <c r="A386" s="2" t="str">
        <f ca="1">IFERROR(__xludf.DUMMYFUNCTION("""COMPUTED_VALUE"""),"REG DE INTEGRA  METROPOLITANA")</f>
        <v>REG DE INTEGRA  METROPOLITANA</v>
      </c>
      <c r="B386" s="1" t="str">
        <f ca="1">IFERROR(__xludf.DUMMYFUNCTION("""COMPUTED_VALUE"""),"DRE BELEM 9")</f>
        <v>DRE BELEM 9</v>
      </c>
      <c r="C386" s="2" t="str">
        <f ca="1">IFERROR(__xludf.DUMMYFUNCTION("""COMPUTED_VALUE"""),"DRE - ANANINDEUA / BELEM")</f>
        <v>DRE - ANANINDEUA / BELEM</v>
      </c>
      <c r="D386" s="2" t="str">
        <f ca="1">IFERROR(__xludf.DUMMYFUNCTION("""COMPUTED_VALUE"""),"Belem 9")</f>
        <v>Belem 9</v>
      </c>
      <c r="E386" s="2" t="str">
        <f ca="1">IFERROR(__xludf.DUMMYFUNCTION("""COMPUTED_VALUE"""),"DRE - ANANINDEUA / BELEMBelem 9")</f>
        <v>DRE - ANANINDEUA / BELEMBelem 9</v>
      </c>
      <c r="F386" s="1">
        <f ca="1">IFERROR(__xludf.DUMMYFUNCTION("""COMPUTED_VALUE"""),2)</f>
        <v>2</v>
      </c>
      <c r="G386" s="1" t="str">
        <f ca="1">IFERROR(__xludf.DUMMYFUNCTION("""COMPUTED_VALUE"""),"DRE BELEM 10")</f>
        <v>DRE BELEM 10</v>
      </c>
      <c r="H386" s="1" t="str">
        <f ca="1">IFERROR(__xludf.DUMMYFUNCTION("""COMPUTED_VALUE"""),"19A URE - BELEM")</f>
        <v>19A URE - BELEM</v>
      </c>
      <c r="I386" s="2" t="str">
        <f ca="1">IFERROR(__xludf.DUMMYFUNCTION("""COMPUTED_VALUE"""),"Unidade 10")</f>
        <v>Unidade 10</v>
      </c>
      <c r="J386" s="1" t="str">
        <f ca="1">IFERROR(__xludf.DUMMYFUNCTION("""COMPUTED_VALUE"""),"BELEM")</f>
        <v>BELEM</v>
      </c>
      <c r="K386" s="1">
        <f ca="1">IFERROR(__xludf.DUMMYFUNCTION("""COMPUTED_VALUE"""),15042472)</f>
        <v>15042472</v>
      </c>
      <c r="L386" s="2" t="str">
        <f ca="1">IFERROR(__xludf.DUMMYFUNCTION("""COMPUTED_VALUE"""),"001920932450000")</f>
        <v>001920932450000</v>
      </c>
      <c r="M386" s="2" t="str">
        <f ca="1">IFERROR(__xludf.DUMMYFUNCTION("""COMPUTED_VALUE"""),"1920932450000")</f>
        <v>1920932450000</v>
      </c>
      <c r="N386" s="1" t="str">
        <f ca="1">IFERROR(__xludf.DUMMYFUNCTION("""COMPUTED_VALUE"""),"EEEF CLUBE MAES SANTA RITA DE CASSIA")</f>
        <v>EEEF CLUBE MAES SANTA RITA DE CASSIA</v>
      </c>
      <c r="O386" s="1"/>
      <c r="P386" s="1"/>
      <c r="Q386" s="1" t="s">
        <v>397</v>
      </c>
    </row>
    <row r="387" spans="1:17" x14ac:dyDescent="0.25">
      <c r="A387" s="2" t="str">
        <f ca="1">IFERROR(__xludf.DUMMYFUNCTION("""COMPUTED_VALUE"""),"REG DE INTEGRA  METROPOLITANA")</f>
        <v>REG DE INTEGRA  METROPOLITANA</v>
      </c>
      <c r="B387" s="1" t="str">
        <f ca="1">IFERROR(__xludf.DUMMYFUNCTION("""COMPUTED_VALUE"""),"DRE BELEM 9")</f>
        <v>DRE BELEM 9</v>
      </c>
      <c r="C387" s="2" t="str">
        <f ca="1">IFERROR(__xludf.DUMMYFUNCTION("""COMPUTED_VALUE"""),"DRE - ANANINDEUA / BELEM")</f>
        <v>DRE - ANANINDEUA / BELEM</v>
      </c>
      <c r="D387" s="2" t="str">
        <f ca="1">IFERROR(__xludf.DUMMYFUNCTION("""COMPUTED_VALUE"""),"Belem 9")</f>
        <v>Belem 9</v>
      </c>
      <c r="E387" s="2" t="str">
        <f ca="1">IFERROR(__xludf.DUMMYFUNCTION("""COMPUTED_VALUE"""),"DRE - ANANINDEUA / BELEMBelem 9")</f>
        <v>DRE - ANANINDEUA / BELEMBelem 9</v>
      </c>
      <c r="F387" s="1">
        <f ca="1">IFERROR(__xludf.DUMMYFUNCTION("""COMPUTED_VALUE"""),2)</f>
        <v>2</v>
      </c>
      <c r="G387" s="1" t="str">
        <f ca="1">IFERROR(__xludf.DUMMYFUNCTION("""COMPUTED_VALUE"""),"DRE BELEM 10")</f>
        <v>DRE BELEM 10</v>
      </c>
      <c r="H387" s="1" t="str">
        <f ca="1">IFERROR(__xludf.DUMMYFUNCTION("""COMPUTED_VALUE"""),"19A URE - BELEM")</f>
        <v>19A URE - BELEM</v>
      </c>
      <c r="I387" s="2" t="str">
        <f ca="1">IFERROR(__xludf.DUMMYFUNCTION("""COMPUTED_VALUE"""),"Unidade 10")</f>
        <v>Unidade 10</v>
      </c>
      <c r="J387" s="1" t="str">
        <f ca="1">IFERROR(__xludf.DUMMYFUNCTION("""COMPUTED_VALUE"""),"BELEM")</f>
        <v>BELEM</v>
      </c>
      <c r="K387" s="1">
        <f ca="1">IFERROR(__xludf.DUMMYFUNCTION("""COMPUTED_VALUE"""),15537617)</f>
        <v>15537617</v>
      </c>
      <c r="L387" s="2" t="str">
        <f ca="1">IFERROR(__xludf.DUMMYFUNCTION("""COMPUTED_VALUE"""),"001920934620000")</f>
        <v>001920934620000</v>
      </c>
      <c r="M387" s="2" t="str">
        <f ca="1">IFERROR(__xludf.DUMMYFUNCTION("""COMPUTED_VALUE"""),"1920934620000")</f>
        <v>1920934620000</v>
      </c>
      <c r="N387" s="1" t="str">
        <f ca="1">IFERROR(__xludf.DUMMYFUNCTION("""COMPUTED_VALUE"""),"EEEF MARIA ESTELITA BARBOSA DA SILVA")</f>
        <v>EEEF MARIA ESTELITA BARBOSA DA SILVA</v>
      </c>
      <c r="O387" s="1"/>
      <c r="P387" s="1"/>
      <c r="Q387" s="1" t="s">
        <v>397</v>
      </c>
    </row>
    <row r="388" spans="1:17" x14ac:dyDescent="0.25">
      <c r="A388" s="2" t="str">
        <f ca="1">IFERROR(__xludf.DUMMYFUNCTION("""COMPUTED_VALUE"""),"REG DE INTEGRA  METROPOLITANA")</f>
        <v>REG DE INTEGRA  METROPOLITANA</v>
      </c>
      <c r="B388" s="1" t="str">
        <f ca="1">IFERROR(__xludf.DUMMYFUNCTION("""COMPUTED_VALUE"""),"DRE BELEM 9")</f>
        <v>DRE BELEM 9</v>
      </c>
      <c r="C388" s="2" t="str">
        <f ca="1">IFERROR(__xludf.DUMMYFUNCTION("""COMPUTED_VALUE"""),"DRE - ANANINDEUA / BELEM")</f>
        <v>DRE - ANANINDEUA / BELEM</v>
      </c>
      <c r="D388" s="2" t="str">
        <f ca="1">IFERROR(__xludf.DUMMYFUNCTION("""COMPUTED_VALUE"""),"Belem 9")</f>
        <v>Belem 9</v>
      </c>
      <c r="E388" s="2" t="str">
        <f ca="1">IFERROR(__xludf.DUMMYFUNCTION("""COMPUTED_VALUE"""),"DRE - ANANINDEUA / BELEMBelem 9")</f>
        <v>DRE - ANANINDEUA / BELEMBelem 9</v>
      </c>
      <c r="F388" s="1">
        <f ca="1">IFERROR(__xludf.DUMMYFUNCTION("""COMPUTED_VALUE"""),2)</f>
        <v>2</v>
      </c>
      <c r="G388" s="1" t="str">
        <f ca="1">IFERROR(__xludf.DUMMYFUNCTION("""COMPUTED_VALUE"""),"DRE BELEM 10")</f>
        <v>DRE BELEM 10</v>
      </c>
      <c r="H388" s="1" t="str">
        <f ca="1">IFERROR(__xludf.DUMMYFUNCTION("""COMPUTED_VALUE"""),"19A URE - BELEM")</f>
        <v>19A URE - BELEM</v>
      </c>
      <c r="I388" s="2" t="str">
        <f ca="1">IFERROR(__xludf.DUMMYFUNCTION("""COMPUTED_VALUE"""),"Unidade 10")</f>
        <v>Unidade 10</v>
      </c>
      <c r="J388" s="1" t="str">
        <f ca="1">IFERROR(__xludf.DUMMYFUNCTION("""COMPUTED_VALUE"""),"BELEM")</f>
        <v>BELEM</v>
      </c>
      <c r="K388" s="1">
        <f ca="1">IFERROR(__xludf.DUMMYFUNCTION("""COMPUTED_VALUE"""),15043193)</f>
        <v>15043193</v>
      </c>
      <c r="L388" s="2" t="str">
        <f ca="1">IFERROR(__xludf.DUMMYFUNCTION("""COMPUTED_VALUE"""),"001920932160000")</f>
        <v>001920932160000</v>
      </c>
      <c r="M388" s="2" t="str">
        <f ca="1">IFERROR(__xludf.DUMMYFUNCTION("""COMPUTED_VALUE"""),"1920932160000")</f>
        <v>1920932160000</v>
      </c>
      <c r="N388" s="1" t="str">
        <f ca="1">IFERROR(__xludf.DUMMYFUNCTION("""COMPUTED_VALUE"""),"EEEF PADRE JOSE GRISMONT")</f>
        <v>EEEF PADRE JOSE GRISMONT</v>
      </c>
      <c r="O388" s="1"/>
      <c r="P388" s="1"/>
      <c r="Q388" s="1" t="s">
        <v>397</v>
      </c>
    </row>
    <row r="389" spans="1:17" x14ac:dyDescent="0.25">
      <c r="A389" s="2" t="str">
        <f ca="1">IFERROR(__xludf.DUMMYFUNCTION("""COMPUTED_VALUE"""),"REG DE INTEGRA  METROPOLITANA")</f>
        <v>REG DE INTEGRA  METROPOLITANA</v>
      </c>
      <c r="B389" s="1" t="str">
        <f ca="1">IFERROR(__xludf.DUMMYFUNCTION("""COMPUTED_VALUE"""),"DRE BELEM 9")</f>
        <v>DRE BELEM 9</v>
      </c>
      <c r="C389" s="2" t="str">
        <f ca="1">IFERROR(__xludf.DUMMYFUNCTION("""COMPUTED_VALUE"""),"DRE - ANANINDEUA / BELEM")</f>
        <v>DRE - ANANINDEUA / BELEM</v>
      </c>
      <c r="D389" s="2" t="str">
        <f ca="1">IFERROR(__xludf.DUMMYFUNCTION("""COMPUTED_VALUE"""),"Belem 9")</f>
        <v>Belem 9</v>
      </c>
      <c r="E389" s="2" t="str">
        <f ca="1">IFERROR(__xludf.DUMMYFUNCTION("""COMPUTED_VALUE"""),"DRE - ANANINDEUA / BELEMBelem 9")</f>
        <v>DRE - ANANINDEUA / BELEMBelem 9</v>
      </c>
      <c r="F389" s="1">
        <f ca="1">IFERROR(__xludf.DUMMYFUNCTION("""COMPUTED_VALUE"""),2)</f>
        <v>2</v>
      </c>
      <c r="G389" s="1" t="str">
        <f ca="1">IFERROR(__xludf.DUMMYFUNCTION("""COMPUTED_VALUE"""),"DRE BELEM 10")</f>
        <v>DRE BELEM 10</v>
      </c>
      <c r="H389" s="1" t="str">
        <f ca="1">IFERROR(__xludf.DUMMYFUNCTION("""COMPUTED_VALUE"""),"19A URE - BELEM")</f>
        <v>19A URE - BELEM</v>
      </c>
      <c r="I389" s="2" t="str">
        <f ca="1">IFERROR(__xludf.DUMMYFUNCTION("""COMPUTED_VALUE"""),"Unidade 10")</f>
        <v>Unidade 10</v>
      </c>
      <c r="J389" s="1" t="str">
        <f ca="1">IFERROR(__xludf.DUMMYFUNCTION("""COMPUTED_VALUE"""),"BELEM")</f>
        <v>BELEM</v>
      </c>
      <c r="K389" s="1">
        <f ca="1">IFERROR(__xludf.DUMMYFUNCTION("""COMPUTED_VALUE"""),15140664)</f>
        <v>15140664</v>
      </c>
      <c r="L389" s="2" t="str">
        <f ca="1">IFERROR(__xludf.DUMMYFUNCTION("""COMPUTED_VALUE"""),"001920930490000")</f>
        <v>001920930490000</v>
      </c>
      <c r="M389" s="2" t="str">
        <f ca="1">IFERROR(__xludf.DUMMYFUNCTION("""COMPUTED_VALUE"""),"1920930490000")</f>
        <v>1920930490000</v>
      </c>
      <c r="N389" s="1" t="str">
        <f ca="1">IFERROR(__xludf.DUMMYFUNCTION("""COMPUTED_VALUE"""),"EEEF PANORAMA XXI")</f>
        <v>EEEF PANORAMA XXI</v>
      </c>
      <c r="O389" s="1"/>
      <c r="P389" s="1"/>
      <c r="Q389" s="1" t="s">
        <v>397</v>
      </c>
    </row>
    <row r="390" spans="1:17" x14ac:dyDescent="0.25">
      <c r="A390" s="2" t="str">
        <f ca="1">IFERROR(__xludf.DUMMYFUNCTION("""COMPUTED_VALUE"""),"REG DE INTEGRA  METROPOLITANA")</f>
        <v>REG DE INTEGRA  METROPOLITANA</v>
      </c>
      <c r="B390" s="1" t="str">
        <f ca="1">IFERROR(__xludf.DUMMYFUNCTION("""COMPUTED_VALUE"""),"DRE BELEM 9")</f>
        <v>DRE BELEM 9</v>
      </c>
      <c r="C390" s="2" t="str">
        <f ca="1">IFERROR(__xludf.DUMMYFUNCTION("""COMPUTED_VALUE"""),"DRE - ANANINDEUA / BELEM")</f>
        <v>DRE - ANANINDEUA / BELEM</v>
      </c>
      <c r="D390" s="2" t="str">
        <f ca="1">IFERROR(__xludf.DUMMYFUNCTION("""COMPUTED_VALUE"""),"Belem 9")</f>
        <v>Belem 9</v>
      </c>
      <c r="E390" s="2" t="str">
        <f ca="1">IFERROR(__xludf.DUMMYFUNCTION("""COMPUTED_VALUE"""),"DRE - ANANINDEUA / BELEMBelem 9")</f>
        <v>DRE - ANANINDEUA / BELEMBelem 9</v>
      </c>
      <c r="F390" s="1">
        <f ca="1">IFERROR(__xludf.DUMMYFUNCTION("""COMPUTED_VALUE"""),2)</f>
        <v>2</v>
      </c>
      <c r="G390" s="1" t="str">
        <f ca="1">IFERROR(__xludf.DUMMYFUNCTION("""COMPUTED_VALUE"""),"DRE BELEM 10")</f>
        <v>DRE BELEM 10</v>
      </c>
      <c r="H390" s="1" t="str">
        <f ca="1">IFERROR(__xludf.DUMMYFUNCTION("""COMPUTED_VALUE"""),"19A URE - BELEM")</f>
        <v>19A URE - BELEM</v>
      </c>
      <c r="I390" s="2" t="str">
        <f ca="1">IFERROR(__xludf.DUMMYFUNCTION("""COMPUTED_VALUE"""),"Unidade 10")</f>
        <v>Unidade 10</v>
      </c>
      <c r="J390" s="1" t="str">
        <f ca="1">IFERROR(__xludf.DUMMYFUNCTION("""COMPUTED_VALUE"""),"BELEM")</f>
        <v>BELEM</v>
      </c>
      <c r="K390" s="1">
        <f ca="1">IFERROR(__xludf.DUMMYFUNCTION("""COMPUTED_VALUE"""),15572102)</f>
        <v>15572102</v>
      </c>
      <c r="L390" s="2" t="str">
        <f ca="1">IFERROR(__xludf.DUMMYFUNCTION("""COMPUTED_VALUE"""),"001920929810000")</f>
        <v>001920929810000</v>
      </c>
      <c r="M390" s="2" t="str">
        <f ca="1">IFERROR(__xludf.DUMMYFUNCTION("""COMPUTED_VALUE"""),"1920929810000")</f>
        <v>1920929810000</v>
      </c>
      <c r="N390" s="1" t="str">
        <f ca="1">IFERROR(__xludf.DUMMYFUNCTION("""COMPUTED_VALUE"""),"EEEF PARACURI II")</f>
        <v>EEEF PARACURI II</v>
      </c>
      <c r="O390" s="1"/>
      <c r="P390" s="1"/>
      <c r="Q390" s="1" t="s">
        <v>397</v>
      </c>
    </row>
    <row r="391" spans="1:17" x14ac:dyDescent="0.25">
      <c r="A391" s="2" t="str">
        <f ca="1">IFERROR(__xludf.DUMMYFUNCTION("""COMPUTED_VALUE"""),"REG DE INTEGRA  METROPOLITANA")</f>
        <v>REG DE INTEGRA  METROPOLITANA</v>
      </c>
      <c r="B391" s="1" t="str">
        <f ca="1">IFERROR(__xludf.DUMMYFUNCTION("""COMPUTED_VALUE"""),"DRE BELEM 9")</f>
        <v>DRE BELEM 9</v>
      </c>
      <c r="C391" s="2" t="str">
        <f ca="1">IFERROR(__xludf.DUMMYFUNCTION("""COMPUTED_VALUE"""),"DRE - ANANINDEUA / BELEM")</f>
        <v>DRE - ANANINDEUA / BELEM</v>
      </c>
      <c r="D391" s="2" t="str">
        <f ca="1">IFERROR(__xludf.DUMMYFUNCTION("""COMPUTED_VALUE"""),"Belem 9")</f>
        <v>Belem 9</v>
      </c>
      <c r="E391" s="2" t="str">
        <f ca="1">IFERROR(__xludf.DUMMYFUNCTION("""COMPUTED_VALUE"""),"DRE - ANANINDEUA / BELEMBelem 9")</f>
        <v>DRE - ANANINDEUA / BELEMBelem 9</v>
      </c>
      <c r="F391" s="1">
        <f ca="1">IFERROR(__xludf.DUMMYFUNCTION("""COMPUTED_VALUE"""),2)</f>
        <v>2</v>
      </c>
      <c r="G391" s="1" t="str">
        <f ca="1">IFERROR(__xludf.DUMMYFUNCTION("""COMPUTED_VALUE"""),"DRE BELEM 10")</f>
        <v>DRE BELEM 10</v>
      </c>
      <c r="H391" s="1" t="str">
        <f ca="1">IFERROR(__xludf.DUMMYFUNCTION("""COMPUTED_VALUE"""),"19A URE - BELEM")</f>
        <v>19A URE - BELEM</v>
      </c>
      <c r="I391" s="2" t="str">
        <f ca="1">IFERROR(__xludf.DUMMYFUNCTION("""COMPUTED_VALUE"""),"Unidade 10")</f>
        <v>Unidade 10</v>
      </c>
      <c r="J391" s="1" t="str">
        <f ca="1">IFERROR(__xludf.DUMMYFUNCTION("""COMPUTED_VALUE"""),"BELEM")</f>
        <v>BELEM</v>
      </c>
      <c r="K391" s="1">
        <f ca="1">IFERROR(__xludf.DUMMYFUNCTION("""COMPUTED_VALUE"""),15034682)</f>
        <v>15034682</v>
      </c>
      <c r="L391" s="2" t="str">
        <f ca="1">IFERROR(__xludf.DUMMYFUNCTION("""COMPUTED_VALUE"""),"001920902460000")</f>
        <v>001920902460000</v>
      </c>
      <c r="M391" s="2" t="str">
        <f ca="1">IFERROR(__xludf.DUMMYFUNCTION("""COMPUTED_VALUE"""),"1920902460000")</f>
        <v>1920902460000</v>
      </c>
      <c r="N391" s="1" t="str">
        <f ca="1">IFERROR(__xludf.DUMMYFUNCTION("""COMPUTED_VALUE"""),"EEEF PEDRO CARNEIRO")</f>
        <v>EEEF PEDRO CARNEIRO</v>
      </c>
      <c r="O391" s="1"/>
      <c r="P391" s="1"/>
      <c r="Q391" s="1" t="s">
        <v>397</v>
      </c>
    </row>
    <row r="392" spans="1:17" x14ac:dyDescent="0.25">
      <c r="A392" s="2" t="str">
        <f ca="1">IFERROR(__xludf.DUMMYFUNCTION("""COMPUTED_VALUE"""),"REG DE INTEGRA  METROPOLITANA")</f>
        <v>REG DE INTEGRA  METROPOLITANA</v>
      </c>
      <c r="B392" s="1" t="str">
        <f ca="1">IFERROR(__xludf.DUMMYFUNCTION("""COMPUTED_VALUE"""),"DRE BELEM 9")</f>
        <v>DRE BELEM 9</v>
      </c>
      <c r="C392" s="2" t="str">
        <f ca="1">IFERROR(__xludf.DUMMYFUNCTION("""COMPUTED_VALUE"""),"DRE - ANANINDEUA / BELEM")</f>
        <v>DRE - ANANINDEUA / BELEM</v>
      </c>
      <c r="D392" s="2" t="str">
        <f ca="1">IFERROR(__xludf.DUMMYFUNCTION("""COMPUTED_VALUE"""),"Belem 9")</f>
        <v>Belem 9</v>
      </c>
      <c r="E392" s="2" t="str">
        <f ca="1">IFERROR(__xludf.DUMMYFUNCTION("""COMPUTED_VALUE"""),"DRE - ANANINDEUA / BELEMBelem 9")</f>
        <v>DRE - ANANINDEUA / BELEMBelem 9</v>
      </c>
      <c r="F392" s="1">
        <f ca="1">IFERROR(__xludf.DUMMYFUNCTION("""COMPUTED_VALUE"""),2)</f>
        <v>2</v>
      </c>
      <c r="G392" s="1" t="str">
        <f ca="1">IFERROR(__xludf.DUMMYFUNCTION("""COMPUTED_VALUE"""),"DRE BELEM 10")</f>
        <v>DRE BELEM 10</v>
      </c>
      <c r="H392" s="1" t="str">
        <f ca="1">IFERROR(__xludf.DUMMYFUNCTION("""COMPUTED_VALUE"""),"19A URE - BELEM")</f>
        <v>19A URE - BELEM</v>
      </c>
      <c r="I392" s="2" t="str">
        <f ca="1">IFERROR(__xludf.DUMMYFUNCTION("""COMPUTED_VALUE"""),"Unidade 10")</f>
        <v>Unidade 10</v>
      </c>
      <c r="J392" s="1" t="str">
        <f ca="1">IFERROR(__xludf.DUMMYFUNCTION("""COMPUTED_VALUE"""),"BELEM")</f>
        <v>BELEM</v>
      </c>
      <c r="K392" s="1">
        <f ca="1">IFERROR(__xludf.DUMMYFUNCTION("""COMPUTED_VALUE"""),15139581)</f>
        <v>15139581</v>
      </c>
      <c r="L392" s="2" t="str">
        <f ca="1">IFERROR(__xludf.DUMMYFUNCTION("""COMPUTED_VALUE"""),"001920937500000")</f>
        <v>001920937500000</v>
      </c>
      <c r="M392" s="2" t="str">
        <f ca="1">IFERROR(__xludf.DUMMYFUNCTION("""COMPUTED_VALUE"""),"1920937500000")</f>
        <v>1920937500000</v>
      </c>
      <c r="N392" s="1" t="str">
        <f ca="1">IFERROR(__xludf.DUMMYFUNCTION("""COMPUTED_VALUE"""),"EEEF PROF LENIRA TEIXEIRA MOURA")</f>
        <v>EEEF PROF LENIRA TEIXEIRA MOURA</v>
      </c>
      <c r="O392" s="1"/>
      <c r="P392" s="1"/>
      <c r="Q392" s="1" t="s">
        <v>397</v>
      </c>
    </row>
    <row r="393" spans="1:17" x14ac:dyDescent="0.25">
      <c r="A393" s="2" t="str">
        <f ca="1">IFERROR(__xludf.DUMMYFUNCTION("""COMPUTED_VALUE"""),"REG DE INTEGRA  METROPOLITANA")</f>
        <v>REG DE INTEGRA  METROPOLITANA</v>
      </c>
      <c r="B393" s="1" t="str">
        <f ca="1">IFERROR(__xludf.DUMMYFUNCTION("""COMPUTED_VALUE"""),"DRE BELEM 9")</f>
        <v>DRE BELEM 9</v>
      </c>
      <c r="C393" s="2" t="str">
        <f ca="1">IFERROR(__xludf.DUMMYFUNCTION("""COMPUTED_VALUE"""),"DRE - ANANINDEUA / BELEM")</f>
        <v>DRE - ANANINDEUA / BELEM</v>
      </c>
      <c r="D393" s="2" t="str">
        <f ca="1">IFERROR(__xludf.DUMMYFUNCTION("""COMPUTED_VALUE"""),"Belem 9")</f>
        <v>Belem 9</v>
      </c>
      <c r="E393" s="2" t="str">
        <f ca="1">IFERROR(__xludf.DUMMYFUNCTION("""COMPUTED_VALUE"""),"DRE - ANANINDEUA / BELEMBelem 9")</f>
        <v>DRE - ANANINDEUA / BELEMBelem 9</v>
      </c>
      <c r="F393" s="1">
        <f ca="1">IFERROR(__xludf.DUMMYFUNCTION("""COMPUTED_VALUE"""),2)</f>
        <v>2</v>
      </c>
      <c r="G393" s="1" t="str">
        <f ca="1">IFERROR(__xludf.DUMMYFUNCTION("""COMPUTED_VALUE"""),"DRE BELEM 10")</f>
        <v>DRE BELEM 10</v>
      </c>
      <c r="H393" s="1" t="str">
        <f ca="1">IFERROR(__xludf.DUMMYFUNCTION("""COMPUTED_VALUE"""),"19A URE - BELEM")</f>
        <v>19A URE - BELEM</v>
      </c>
      <c r="I393" s="2" t="str">
        <f ca="1">IFERROR(__xludf.DUMMYFUNCTION("""COMPUTED_VALUE"""),"Unidade 10")</f>
        <v>Unidade 10</v>
      </c>
      <c r="J393" s="1" t="str">
        <f ca="1">IFERROR(__xludf.DUMMYFUNCTION("""COMPUTED_VALUE"""),"BELEM")</f>
        <v>BELEM</v>
      </c>
      <c r="K393" s="1">
        <f ca="1">IFERROR(__xludf.DUMMYFUNCTION("""COMPUTED_VALUE"""),15152448)</f>
        <v>15152448</v>
      </c>
      <c r="L393" s="2" t="str">
        <f ca="1">IFERROR(__xludf.DUMMYFUNCTION("""COMPUTED_VALUE"""),"001920930460000")</f>
        <v>001920930460000</v>
      </c>
      <c r="M393" s="2" t="str">
        <f ca="1">IFERROR(__xludf.DUMMYFUNCTION("""COMPUTED_VALUE"""),"1920930460000")</f>
        <v>1920930460000</v>
      </c>
      <c r="N393" s="1" t="str">
        <f ca="1">IFERROR(__xludf.DUMMYFUNCTION("""COMPUTED_VALUE"""),"EEEF RAINHA DOS CORACOES")</f>
        <v>EEEF RAINHA DOS CORACOES</v>
      </c>
      <c r="O393" s="1"/>
      <c r="P393" s="1"/>
      <c r="Q393" s="1" t="s">
        <v>397</v>
      </c>
    </row>
    <row r="394" spans="1:17" x14ac:dyDescent="0.25">
      <c r="A394" s="2" t="str">
        <f ca="1">IFERROR(__xludf.DUMMYFUNCTION("""COMPUTED_VALUE"""),"REG DE INTEGRA  METROPOLITANA")</f>
        <v>REG DE INTEGRA  METROPOLITANA</v>
      </c>
      <c r="B394" s="1" t="str">
        <f ca="1">IFERROR(__xludf.DUMMYFUNCTION("""COMPUTED_VALUE"""),"DRE BELEM 9")</f>
        <v>DRE BELEM 9</v>
      </c>
      <c r="C394" s="2" t="str">
        <f ca="1">IFERROR(__xludf.DUMMYFUNCTION("""COMPUTED_VALUE"""),"DRE - ANANINDEUA / BELEM")</f>
        <v>DRE - ANANINDEUA / BELEM</v>
      </c>
      <c r="D394" s="2" t="str">
        <f ca="1">IFERROR(__xludf.DUMMYFUNCTION("""COMPUTED_VALUE"""),"Belem 9")</f>
        <v>Belem 9</v>
      </c>
      <c r="E394" s="2" t="str">
        <f ca="1">IFERROR(__xludf.DUMMYFUNCTION("""COMPUTED_VALUE"""),"DRE - ANANINDEUA / BELEMBelem 9")</f>
        <v>DRE - ANANINDEUA / BELEMBelem 9</v>
      </c>
      <c r="F394" s="1">
        <f ca="1">IFERROR(__xludf.DUMMYFUNCTION("""COMPUTED_VALUE"""),2)</f>
        <v>2</v>
      </c>
      <c r="G394" s="1" t="str">
        <f ca="1">IFERROR(__xludf.DUMMYFUNCTION("""COMPUTED_VALUE"""),"DRE BELEM 10")</f>
        <v>DRE BELEM 10</v>
      </c>
      <c r="H394" s="1" t="str">
        <f ca="1">IFERROR(__xludf.DUMMYFUNCTION("""COMPUTED_VALUE"""),"19A URE - BELEM")</f>
        <v>19A URE - BELEM</v>
      </c>
      <c r="I394" s="2" t="str">
        <f ca="1">IFERROR(__xludf.DUMMYFUNCTION("""COMPUTED_VALUE"""),"Unidade 10")</f>
        <v>Unidade 10</v>
      </c>
      <c r="J394" s="1" t="str">
        <f ca="1">IFERROR(__xludf.DUMMYFUNCTION("""COMPUTED_VALUE"""),"BELEM")</f>
        <v>BELEM</v>
      </c>
      <c r="K394" s="1">
        <f ca="1">IFERROR(__xludf.DUMMYFUNCTION("""COMPUTED_VALUE"""),15140657)</f>
        <v>15140657</v>
      </c>
      <c r="L394" s="2" t="str">
        <f ca="1">IFERROR(__xludf.DUMMYFUNCTION("""COMPUTED_VALUE"""),"001920928930000")</f>
        <v>001920928930000</v>
      </c>
      <c r="M394" s="2" t="str">
        <f ca="1">IFERROR(__xludf.DUMMYFUNCTION("""COMPUTED_VALUE"""),"1920928930000")</f>
        <v>1920928930000</v>
      </c>
      <c r="N394" s="1" t="str">
        <f ca="1">IFERROR(__xludf.DUMMYFUNCTION("""COMPUTED_VALUE"""),"EEEF SAO PEDRO")</f>
        <v>EEEF SAO PEDRO</v>
      </c>
      <c r="O394" s="1"/>
      <c r="P394" s="1"/>
      <c r="Q394" s="1" t="s">
        <v>397</v>
      </c>
    </row>
    <row r="395" spans="1:17" x14ac:dyDescent="0.25">
      <c r="A395" s="2" t="str">
        <f ca="1">IFERROR(__xludf.DUMMYFUNCTION("""COMPUTED_VALUE"""),"REG DE INTEGRA  METROPOLITANA")</f>
        <v>REG DE INTEGRA  METROPOLITANA</v>
      </c>
      <c r="B395" s="1" t="str">
        <f ca="1">IFERROR(__xludf.DUMMYFUNCTION("""COMPUTED_VALUE"""),"DRE BELEM 9")</f>
        <v>DRE BELEM 9</v>
      </c>
      <c r="C395" s="2" t="str">
        <f ca="1">IFERROR(__xludf.DUMMYFUNCTION("""COMPUTED_VALUE"""),"DRE - ANANINDEUA / BELEM")</f>
        <v>DRE - ANANINDEUA / BELEM</v>
      </c>
      <c r="D395" s="2" t="str">
        <f ca="1">IFERROR(__xludf.DUMMYFUNCTION("""COMPUTED_VALUE"""),"Belem 9")</f>
        <v>Belem 9</v>
      </c>
      <c r="E395" s="2" t="str">
        <f ca="1">IFERROR(__xludf.DUMMYFUNCTION("""COMPUTED_VALUE"""),"DRE - ANANINDEUA / BELEMBelem 9")</f>
        <v>DRE - ANANINDEUA / BELEMBelem 9</v>
      </c>
      <c r="F395" s="1">
        <f ca="1">IFERROR(__xludf.DUMMYFUNCTION("""COMPUTED_VALUE"""),2)</f>
        <v>2</v>
      </c>
      <c r="G395" s="1" t="str">
        <f ca="1">IFERROR(__xludf.DUMMYFUNCTION("""COMPUTED_VALUE"""),"DRE BELEM 10")</f>
        <v>DRE BELEM 10</v>
      </c>
      <c r="H395" s="1" t="str">
        <f ca="1">IFERROR(__xludf.DUMMYFUNCTION("""COMPUTED_VALUE"""),"19A URE - BELEM")</f>
        <v>19A URE - BELEM</v>
      </c>
      <c r="I395" s="2" t="str">
        <f ca="1">IFERROR(__xludf.DUMMYFUNCTION("""COMPUTED_VALUE"""),"Unidade 10")</f>
        <v>Unidade 10</v>
      </c>
      <c r="J395" s="1" t="str">
        <f ca="1">IFERROR(__xludf.DUMMYFUNCTION("""COMPUTED_VALUE"""),"BELEM")</f>
        <v>BELEM</v>
      </c>
      <c r="K395" s="1">
        <f ca="1">IFERROR(__xludf.DUMMYFUNCTION("""COMPUTED_VALUE"""),15042669)</f>
        <v>15042669</v>
      </c>
      <c r="L395" s="2" t="str">
        <f ca="1">IFERROR(__xludf.DUMMYFUNCTION("""COMPUTED_VALUE"""),"001920927850000")</f>
        <v>001920927850000</v>
      </c>
      <c r="M395" s="2" t="str">
        <f ca="1">IFERROR(__xludf.DUMMYFUNCTION("""COMPUTED_VALUE"""),"1920927850000")</f>
        <v>1920927850000</v>
      </c>
      <c r="N395" s="1" t="str">
        <f ca="1">IFERROR(__xludf.DUMMYFUNCTION("""COMPUTED_VALUE"""),"EEEF VEREADOR MANOEL MATOS COSTA")</f>
        <v>EEEF VEREADOR MANOEL MATOS COSTA</v>
      </c>
      <c r="O395" s="1"/>
      <c r="P395" s="1"/>
      <c r="Q395" s="1" t="s">
        <v>397</v>
      </c>
    </row>
    <row r="396" spans="1:17" x14ac:dyDescent="0.25">
      <c r="A396" s="2" t="str">
        <f ca="1">IFERROR(__xludf.DUMMYFUNCTION("""COMPUTED_VALUE"""),"REG DE INTEGRA  METROPOLITANA")</f>
        <v>REG DE INTEGRA  METROPOLITANA</v>
      </c>
      <c r="B396" s="1" t="str">
        <f ca="1">IFERROR(__xludf.DUMMYFUNCTION("""COMPUTED_VALUE"""),"DRE BELEM 9")</f>
        <v>DRE BELEM 9</v>
      </c>
      <c r="C396" s="2" t="str">
        <f ca="1">IFERROR(__xludf.DUMMYFUNCTION("""COMPUTED_VALUE"""),"DRE - ANANINDEUA / BELEM")</f>
        <v>DRE - ANANINDEUA / BELEM</v>
      </c>
      <c r="D396" s="2" t="str">
        <f ca="1">IFERROR(__xludf.DUMMYFUNCTION("""COMPUTED_VALUE"""),"Belem 9")</f>
        <v>Belem 9</v>
      </c>
      <c r="E396" s="2" t="str">
        <f ca="1">IFERROR(__xludf.DUMMYFUNCTION("""COMPUTED_VALUE"""),"DRE - ANANINDEUA / BELEMBelem 9")</f>
        <v>DRE - ANANINDEUA / BELEMBelem 9</v>
      </c>
      <c r="F396" s="1">
        <f ca="1">IFERROR(__xludf.DUMMYFUNCTION("""COMPUTED_VALUE"""),2)</f>
        <v>2</v>
      </c>
      <c r="G396" s="1" t="str">
        <f ca="1">IFERROR(__xludf.DUMMYFUNCTION("""COMPUTED_VALUE"""),"DRE BELEM 10")</f>
        <v>DRE BELEM 10</v>
      </c>
      <c r="H396" s="1" t="str">
        <f ca="1">IFERROR(__xludf.DUMMYFUNCTION("""COMPUTED_VALUE"""),"19A URE - BELEM")</f>
        <v>19A URE - BELEM</v>
      </c>
      <c r="I396" s="2" t="str">
        <f ca="1">IFERROR(__xludf.DUMMYFUNCTION("""COMPUTED_VALUE"""),"Unidade 10")</f>
        <v>Unidade 10</v>
      </c>
      <c r="J396" s="1" t="str">
        <f ca="1">IFERROR(__xludf.DUMMYFUNCTION("""COMPUTED_VALUE"""),"BELEM")</f>
        <v>BELEM</v>
      </c>
      <c r="K396" s="1">
        <f ca="1">IFERROR(__xludf.DUMMYFUNCTION("""COMPUTED_VALUE"""),15042839)</f>
        <v>15042839</v>
      </c>
      <c r="L396" s="2" t="str">
        <f ca="1">IFERROR(__xludf.DUMMYFUNCTION("""COMPUTED_VALUE"""),"001920901100000")</f>
        <v>001920901100000</v>
      </c>
      <c r="M396" s="2" t="str">
        <f ca="1">IFERROR(__xludf.DUMMYFUNCTION("""COMPUTED_VALUE"""),"1920901100000")</f>
        <v>1920901100000</v>
      </c>
      <c r="N396" s="1" t="str">
        <f ca="1">IFERROR(__xludf.DUMMYFUNCTION("""COMPUTED_VALUE"""),"EEEF XV DE NOVEMBRO")</f>
        <v>EEEF XV DE NOVEMBRO</v>
      </c>
      <c r="O396" s="1"/>
      <c r="P396" s="1"/>
      <c r="Q396" s="1" t="s">
        <v>397</v>
      </c>
    </row>
    <row r="397" spans="1:17" x14ac:dyDescent="0.25">
      <c r="A397" s="2" t="str">
        <f ca="1">IFERROR(__xludf.DUMMYFUNCTION("""COMPUTED_VALUE"""),"REG DE INTEGRA  METROPOLITANA")</f>
        <v>REG DE INTEGRA  METROPOLITANA</v>
      </c>
      <c r="B397" s="1" t="str">
        <f ca="1">IFERROR(__xludf.DUMMYFUNCTION("""COMPUTED_VALUE"""),"DRE BELEM 9")</f>
        <v>DRE BELEM 9</v>
      </c>
      <c r="C397" s="2" t="str">
        <f ca="1">IFERROR(__xludf.DUMMYFUNCTION("""COMPUTED_VALUE"""),"DRE - ANANINDEUA / BELEM")</f>
        <v>DRE - ANANINDEUA / BELEM</v>
      </c>
      <c r="D397" s="2" t="str">
        <f ca="1">IFERROR(__xludf.DUMMYFUNCTION("""COMPUTED_VALUE"""),"Belem 9")</f>
        <v>Belem 9</v>
      </c>
      <c r="E397" s="2" t="str">
        <f ca="1">IFERROR(__xludf.DUMMYFUNCTION("""COMPUTED_VALUE"""),"DRE - ANANINDEUA / BELEMBelem 9")</f>
        <v>DRE - ANANINDEUA / BELEMBelem 9</v>
      </c>
      <c r="F397" s="1">
        <f ca="1">IFERROR(__xludf.DUMMYFUNCTION("""COMPUTED_VALUE"""),2)</f>
        <v>2</v>
      </c>
      <c r="G397" s="1" t="str">
        <f ca="1">IFERROR(__xludf.DUMMYFUNCTION("""COMPUTED_VALUE"""),"DRE BELEM 10")</f>
        <v>DRE BELEM 10</v>
      </c>
      <c r="H397" s="1" t="str">
        <f ca="1">IFERROR(__xludf.DUMMYFUNCTION("""COMPUTED_VALUE"""),"19A URE - BELEM")</f>
        <v>19A URE - BELEM</v>
      </c>
      <c r="I397" s="2" t="str">
        <f ca="1">IFERROR(__xludf.DUMMYFUNCTION("""COMPUTED_VALUE"""),"Unidade 10")</f>
        <v>Unidade 10</v>
      </c>
      <c r="J397" s="1" t="str">
        <f ca="1">IFERROR(__xludf.DUMMYFUNCTION("""COMPUTED_VALUE"""),"BELEM")</f>
        <v>BELEM</v>
      </c>
      <c r="K397" s="1">
        <f ca="1">IFERROR(__xludf.DUMMYFUNCTION("""COMPUTED_VALUE"""),15148955)</f>
        <v>15148955</v>
      </c>
      <c r="L397" s="2" t="str">
        <f ca="1">IFERROR(__xludf.DUMMYFUNCTION("""COMPUTED_VALUE"""),"001920928670000")</f>
        <v>001920928670000</v>
      </c>
      <c r="M397" s="2" t="str">
        <f ca="1">IFERROR(__xludf.DUMMYFUNCTION("""COMPUTED_VALUE"""),"1920928670000")</f>
        <v>1920928670000</v>
      </c>
      <c r="N397" s="1" t="str">
        <f ca="1">IFERROR(__xludf.DUMMYFUNCTION("""COMPUTED_VALUE"""),"EEEFM FE EM DEUS")</f>
        <v>EEEFM FE EM DEUS</v>
      </c>
      <c r="O397" s="1"/>
      <c r="P397" s="1"/>
      <c r="Q397" s="1" t="s">
        <v>397</v>
      </c>
    </row>
    <row r="398" spans="1:17" x14ac:dyDescent="0.25">
      <c r="A398" s="2" t="str">
        <f ca="1">IFERROR(__xludf.DUMMYFUNCTION("""COMPUTED_VALUE"""),"REG DE INTEGRA  METROPOLITANA")</f>
        <v>REG DE INTEGRA  METROPOLITANA</v>
      </c>
      <c r="B398" s="1" t="str">
        <f ca="1">IFERROR(__xludf.DUMMYFUNCTION("""COMPUTED_VALUE"""),"DRE BELEM 9")</f>
        <v>DRE BELEM 9</v>
      </c>
      <c r="C398" s="2" t="str">
        <f ca="1">IFERROR(__xludf.DUMMYFUNCTION("""COMPUTED_VALUE"""),"DRE - ANANINDEUA / BELEM")</f>
        <v>DRE - ANANINDEUA / BELEM</v>
      </c>
      <c r="D398" s="2" t="str">
        <f ca="1">IFERROR(__xludf.DUMMYFUNCTION("""COMPUTED_VALUE"""),"Belem 9")</f>
        <v>Belem 9</v>
      </c>
      <c r="E398" s="2" t="str">
        <f ca="1">IFERROR(__xludf.DUMMYFUNCTION("""COMPUTED_VALUE"""),"DRE - ANANINDEUA / BELEMBelem 9")</f>
        <v>DRE - ANANINDEUA / BELEMBelem 9</v>
      </c>
      <c r="F398" s="1">
        <f ca="1">IFERROR(__xludf.DUMMYFUNCTION("""COMPUTED_VALUE"""),2)</f>
        <v>2</v>
      </c>
      <c r="G398" s="1" t="str">
        <f ca="1">IFERROR(__xludf.DUMMYFUNCTION("""COMPUTED_VALUE"""),"DRE BELEM 10")</f>
        <v>DRE BELEM 10</v>
      </c>
      <c r="H398" s="1" t="str">
        <f ca="1">IFERROR(__xludf.DUMMYFUNCTION("""COMPUTED_VALUE"""),"19A URE - BELEM")</f>
        <v>19A URE - BELEM</v>
      </c>
      <c r="I398" s="2" t="str">
        <f ca="1">IFERROR(__xludf.DUMMYFUNCTION("""COMPUTED_VALUE"""),"Unidade 10")</f>
        <v>Unidade 10</v>
      </c>
      <c r="J398" s="1" t="str">
        <f ca="1">IFERROR(__xludf.DUMMYFUNCTION("""COMPUTED_VALUE"""),"BELEM")</f>
        <v>BELEM</v>
      </c>
      <c r="K398" s="1">
        <f ca="1">IFERROR(__xludf.DUMMYFUNCTION("""COMPUTED_VALUE"""),15034739)</f>
        <v>15034739</v>
      </c>
      <c r="L398" s="2" t="str">
        <f ca="1">IFERROR(__xludf.DUMMYFUNCTION("""COMPUTED_VALUE"""),"001920902020000")</f>
        <v>001920902020000</v>
      </c>
      <c r="M398" s="2" t="str">
        <f ca="1">IFERROR(__xludf.DUMMYFUNCTION("""COMPUTED_VALUE"""),"1920902020000")</f>
        <v>1920902020000</v>
      </c>
      <c r="N398" s="1" t="str">
        <f ca="1">IFERROR(__xludf.DUMMYFUNCTION("""COMPUTED_VALUE"""),"EEEFM MARIA GABRIELA RAMOS DE OLIVEIRA")</f>
        <v>EEEFM MARIA GABRIELA RAMOS DE OLIVEIRA</v>
      </c>
      <c r="O398" s="1"/>
      <c r="P398" s="1"/>
      <c r="Q398" s="1" t="s">
        <v>397</v>
      </c>
    </row>
    <row r="399" spans="1:17" x14ac:dyDescent="0.25">
      <c r="A399" s="2" t="str">
        <f ca="1">IFERROR(__xludf.DUMMYFUNCTION("""COMPUTED_VALUE"""),"REG DE INTEGRA  METROPOLITANA")</f>
        <v>REG DE INTEGRA  METROPOLITANA</v>
      </c>
      <c r="B399" s="1" t="str">
        <f ca="1">IFERROR(__xludf.DUMMYFUNCTION("""COMPUTED_VALUE"""),"DRE BELEM 9")</f>
        <v>DRE BELEM 9</v>
      </c>
      <c r="C399" s="2" t="str">
        <f ca="1">IFERROR(__xludf.DUMMYFUNCTION("""COMPUTED_VALUE"""),"DRE - ANANINDEUA / BELEM")</f>
        <v>DRE - ANANINDEUA / BELEM</v>
      </c>
      <c r="D399" s="2" t="str">
        <f ca="1">IFERROR(__xludf.DUMMYFUNCTION("""COMPUTED_VALUE"""),"Belem 9")</f>
        <v>Belem 9</v>
      </c>
      <c r="E399" s="2" t="str">
        <f ca="1">IFERROR(__xludf.DUMMYFUNCTION("""COMPUTED_VALUE"""),"DRE - ANANINDEUA / BELEMBelem 9")</f>
        <v>DRE - ANANINDEUA / BELEMBelem 9</v>
      </c>
      <c r="F399" s="1">
        <f ca="1">IFERROR(__xludf.DUMMYFUNCTION("""COMPUTED_VALUE"""),2)</f>
        <v>2</v>
      </c>
      <c r="G399" s="1" t="str">
        <f ca="1">IFERROR(__xludf.DUMMYFUNCTION("""COMPUTED_VALUE"""),"DRE BELEM 10")</f>
        <v>DRE BELEM 10</v>
      </c>
      <c r="H399" s="1" t="str">
        <f ca="1">IFERROR(__xludf.DUMMYFUNCTION("""COMPUTED_VALUE"""),"19A URE - BELEM")</f>
        <v>19A URE - BELEM</v>
      </c>
      <c r="I399" s="2" t="str">
        <f ca="1">IFERROR(__xludf.DUMMYFUNCTION("""COMPUTED_VALUE"""),"Unidade 10")</f>
        <v>Unidade 10</v>
      </c>
      <c r="J399" s="1" t="str">
        <f ca="1">IFERROR(__xludf.DUMMYFUNCTION("""COMPUTED_VALUE"""),"BELEM")</f>
        <v>BELEM</v>
      </c>
      <c r="K399" s="1">
        <f ca="1">IFERROR(__xludf.DUMMYFUNCTION("""COMPUTED_VALUE"""),15042324)</f>
        <v>15042324</v>
      </c>
      <c r="L399" s="2" t="str">
        <f ca="1">IFERROR(__xludf.DUMMYFUNCTION("""COMPUTED_VALUE"""),"001920930220000")</f>
        <v>001920930220000</v>
      </c>
      <c r="M399" s="2" t="str">
        <f ca="1">IFERROR(__xludf.DUMMYFUNCTION("""COMPUTED_VALUE"""),"1920930220000")</f>
        <v>1920930220000</v>
      </c>
      <c r="N399" s="1" t="str">
        <f ca="1">IFERROR(__xludf.DUMMYFUNCTION("""COMPUTED_VALUE"""),"EEEFM PROF PALMIRA GABRIEL")</f>
        <v>EEEFM PROF PALMIRA GABRIEL</v>
      </c>
      <c r="O399" s="1"/>
      <c r="P399" s="1"/>
      <c r="Q399" s="1" t="s">
        <v>397</v>
      </c>
    </row>
    <row r="400" spans="1:17" x14ac:dyDescent="0.25">
      <c r="A400" s="2" t="str">
        <f ca="1">IFERROR(__xludf.DUMMYFUNCTION("""COMPUTED_VALUE"""),"REG DE INTEGRA  METROPOLITANA")</f>
        <v>REG DE INTEGRA  METROPOLITANA</v>
      </c>
      <c r="B400" s="1" t="str">
        <f ca="1">IFERROR(__xludf.DUMMYFUNCTION("""COMPUTED_VALUE"""),"DRE BELEM 9")</f>
        <v>DRE BELEM 9</v>
      </c>
      <c r="C400" s="2" t="str">
        <f ca="1">IFERROR(__xludf.DUMMYFUNCTION("""COMPUTED_VALUE"""),"DRE - ANANINDEUA / BELEM")</f>
        <v>DRE - ANANINDEUA / BELEM</v>
      </c>
      <c r="D400" s="2" t="str">
        <f ca="1">IFERROR(__xludf.DUMMYFUNCTION("""COMPUTED_VALUE"""),"Belem 9")</f>
        <v>Belem 9</v>
      </c>
      <c r="E400" s="2" t="str">
        <f ca="1">IFERROR(__xludf.DUMMYFUNCTION("""COMPUTED_VALUE"""),"DRE - ANANINDEUA / BELEMBelem 9")</f>
        <v>DRE - ANANINDEUA / BELEMBelem 9</v>
      </c>
      <c r="F400" s="1">
        <f ca="1">IFERROR(__xludf.DUMMYFUNCTION("""COMPUTED_VALUE"""),2)</f>
        <v>2</v>
      </c>
      <c r="G400" s="1" t="str">
        <f ca="1">IFERROR(__xludf.DUMMYFUNCTION("""COMPUTED_VALUE"""),"DRE BELEM 10")</f>
        <v>DRE BELEM 10</v>
      </c>
      <c r="H400" s="1" t="str">
        <f ca="1">IFERROR(__xludf.DUMMYFUNCTION("""COMPUTED_VALUE"""),"19A URE - BELEM")</f>
        <v>19A URE - BELEM</v>
      </c>
      <c r="I400" s="2" t="str">
        <f ca="1">IFERROR(__xludf.DUMMYFUNCTION("""COMPUTED_VALUE"""),"Unidade 10")</f>
        <v>Unidade 10</v>
      </c>
      <c r="J400" s="1" t="str">
        <f ca="1">IFERROR(__xludf.DUMMYFUNCTION("""COMPUTED_VALUE"""),"BELEM")</f>
        <v>BELEM</v>
      </c>
      <c r="K400" s="1">
        <f ca="1">IFERROR(__xludf.DUMMYFUNCTION("""COMPUTED_VALUE"""),15039803)</f>
        <v>15039803</v>
      </c>
      <c r="L400" s="2" t="str">
        <f ca="1">IFERROR(__xludf.DUMMYFUNCTION("""COMPUTED_VALUE"""),"001920902590000")</f>
        <v>001920902590000</v>
      </c>
      <c r="M400" s="2" t="str">
        <f ca="1">IFERROR(__xludf.DUMMYFUNCTION("""COMPUTED_VALUE"""),"1920902590000")</f>
        <v>1920902590000</v>
      </c>
      <c r="N400" s="1" t="str">
        <f ca="1">IFERROR(__xludf.DUMMYFUNCTION("""COMPUTED_VALUE"""),"EEEFM PROF SANTANA MARQUES")</f>
        <v>EEEFM PROF SANTANA MARQUES</v>
      </c>
      <c r="O400" s="1"/>
      <c r="P400" s="1"/>
      <c r="Q400" s="1" t="s">
        <v>397</v>
      </c>
    </row>
    <row r="401" spans="1:17" x14ac:dyDescent="0.25">
      <c r="A401" s="2" t="str">
        <f ca="1">IFERROR(__xludf.DUMMYFUNCTION("""COMPUTED_VALUE"""),"REG DE INTEGRA  METROPOLITANA")</f>
        <v>REG DE INTEGRA  METROPOLITANA</v>
      </c>
      <c r="B401" s="1" t="str">
        <f ca="1">IFERROR(__xludf.DUMMYFUNCTION("""COMPUTED_VALUE"""),"DRE BELEM 9")</f>
        <v>DRE BELEM 9</v>
      </c>
      <c r="C401" s="2" t="str">
        <f ca="1">IFERROR(__xludf.DUMMYFUNCTION("""COMPUTED_VALUE"""),"DRE - ANANINDEUA / BELEM")</f>
        <v>DRE - ANANINDEUA / BELEM</v>
      </c>
      <c r="D401" s="2" t="str">
        <f ca="1">IFERROR(__xludf.DUMMYFUNCTION("""COMPUTED_VALUE"""),"Belem 9")</f>
        <v>Belem 9</v>
      </c>
      <c r="E401" s="2" t="str">
        <f ca="1">IFERROR(__xludf.DUMMYFUNCTION("""COMPUTED_VALUE"""),"DRE - ANANINDEUA / BELEMBelem 9")</f>
        <v>DRE - ANANINDEUA / BELEMBelem 9</v>
      </c>
      <c r="F401" s="1">
        <f ca="1">IFERROR(__xludf.DUMMYFUNCTION("""COMPUTED_VALUE"""),2)</f>
        <v>2</v>
      </c>
      <c r="G401" s="1" t="str">
        <f ca="1">IFERROR(__xludf.DUMMYFUNCTION("""COMPUTED_VALUE"""),"DRE BELEM 10")</f>
        <v>DRE BELEM 10</v>
      </c>
      <c r="H401" s="1" t="str">
        <f ca="1">IFERROR(__xludf.DUMMYFUNCTION("""COMPUTED_VALUE"""),"19A URE - BELEM")</f>
        <v>19A URE - BELEM</v>
      </c>
      <c r="I401" s="2" t="str">
        <f ca="1">IFERROR(__xludf.DUMMYFUNCTION("""COMPUTED_VALUE"""),"Unidade 10")</f>
        <v>Unidade 10</v>
      </c>
      <c r="J401" s="1" t="str">
        <f ca="1">IFERROR(__xludf.DUMMYFUNCTION("""COMPUTED_VALUE"""),"BELEM")</f>
        <v>BELEM</v>
      </c>
      <c r="K401" s="1">
        <f ca="1">IFERROR(__xludf.DUMMYFUNCTION("""COMPUTED_VALUE"""),15042790)</f>
        <v>15042790</v>
      </c>
      <c r="L401" s="2" t="str">
        <f ca="1">IFERROR(__xludf.DUMMYFUNCTION("""COMPUTED_VALUE"""),"001920927040000")</f>
        <v>001920927040000</v>
      </c>
      <c r="M401" s="2" t="str">
        <f ca="1">IFERROR(__xludf.DUMMYFUNCTION("""COMPUTED_VALUE"""),"1920927040000")</f>
        <v>1920927040000</v>
      </c>
      <c r="N401" s="1" t="str">
        <f ca="1">IFERROR(__xludf.DUMMYFUNCTION("""COMPUTED_VALUE"""),"EEEFM PROFA ODETE MARVAO")</f>
        <v>EEEFM PROFA ODETE MARVAO</v>
      </c>
      <c r="O401" s="1"/>
      <c r="P401" s="1"/>
      <c r="Q401" s="1" t="s">
        <v>397</v>
      </c>
    </row>
    <row r="402" spans="1:17" x14ac:dyDescent="0.25">
      <c r="A402" s="2" t="str">
        <f ca="1">IFERROR(__xludf.DUMMYFUNCTION("""COMPUTED_VALUE"""),"REG DE INTEGRA  METROPOLITANA")</f>
        <v>REG DE INTEGRA  METROPOLITANA</v>
      </c>
      <c r="B402" s="1" t="str">
        <f ca="1">IFERROR(__xludf.DUMMYFUNCTION("""COMPUTED_VALUE"""),"DRE BELEM 9")</f>
        <v>DRE BELEM 9</v>
      </c>
      <c r="C402" s="2" t="str">
        <f ca="1">IFERROR(__xludf.DUMMYFUNCTION("""COMPUTED_VALUE"""),"DRE - ANANINDEUA / BELEM")</f>
        <v>DRE - ANANINDEUA / BELEM</v>
      </c>
      <c r="D402" s="2" t="str">
        <f ca="1">IFERROR(__xludf.DUMMYFUNCTION("""COMPUTED_VALUE"""),"Belem 9")</f>
        <v>Belem 9</v>
      </c>
      <c r="E402" s="2" t="str">
        <f ca="1">IFERROR(__xludf.DUMMYFUNCTION("""COMPUTED_VALUE"""),"DRE - ANANINDEUA / BELEMBelem 9")</f>
        <v>DRE - ANANINDEUA / BELEMBelem 9</v>
      </c>
      <c r="F402" s="1">
        <f ca="1">IFERROR(__xludf.DUMMYFUNCTION("""COMPUTED_VALUE"""),2)</f>
        <v>2</v>
      </c>
      <c r="G402" s="1" t="str">
        <f ca="1">IFERROR(__xludf.DUMMYFUNCTION("""COMPUTED_VALUE"""),"DRE BELEM 10")</f>
        <v>DRE BELEM 10</v>
      </c>
      <c r="H402" s="1" t="str">
        <f ca="1">IFERROR(__xludf.DUMMYFUNCTION("""COMPUTED_VALUE"""),"19A URE - BELEM")</f>
        <v>19A URE - BELEM</v>
      </c>
      <c r="I402" s="2" t="str">
        <f ca="1">IFERROR(__xludf.DUMMYFUNCTION("""COMPUTED_VALUE"""),"Unidade 10")</f>
        <v>Unidade 10</v>
      </c>
      <c r="J402" s="1" t="str">
        <f ca="1">IFERROR(__xludf.DUMMYFUNCTION("""COMPUTED_VALUE"""),"BELEM")</f>
        <v>BELEM</v>
      </c>
      <c r="K402" s="1">
        <f ca="1">IFERROR(__xludf.DUMMYFUNCTION("""COMPUTED_VALUE"""),15535347)</f>
        <v>15535347</v>
      </c>
      <c r="L402" s="2" t="str">
        <f ca="1">IFERROR(__xludf.DUMMYFUNCTION("""COMPUTED_VALUE"""),"001920902390000")</f>
        <v>001920902390000</v>
      </c>
      <c r="M402" s="2" t="str">
        <f ca="1">IFERROR(__xludf.DUMMYFUNCTION("""COMPUTED_VALUE"""),"1920902390000")</f>
        <v>1920902390000</v>
      </c>
      <c r="N402" s="1" t="str">
        <f ca="1">IFERROR(__xludf.DUMMYFUNCTION("""COMPUTED_VALUE"""),"EEEFM PROFA RUTH DOS SANTOS ALMEIDA")</f>
        <v>EEEFM PROFA RUTH DOS SANTOS ALMEIDA</v>
      </c>
      <c r="O402" s="1"/>
      <c r="P402" s="1"/>
      <c r="Q402" s="1" t="s">
        <v>397</v>
      </c>
    </row>
    <row r="403" spans="1:17" x14ac:dyDescent="0.25">
      <c r="A403" s="2" t="str">
        <f ca="1">IFERROR(__xludf.DUMMYFUNCTION("""COMPUTED_VALUE"""),"REG DE INTEGRA  METROPOLITANA")</f>
        <v>REG DE INTEGRA  METROPOLITANA</v>
      </c>
      <c r="B403" s="1" t="str">
        <f ca="1">IFERROR(__xludf.DUMMYFUNCTION("""COMPUTED_VALUE"""),"DRE BELEM 9")</f>
        <v>DRE BELEM 9</v>
      </c>
      <c r="C403" s="2" t="str">
        <f ca="1">IFERROR(__xludf.DUMMYFUNCTION("""COMPUTED_VALUE"""),"DRE - ANANINDEUA / BELEM")</f>
        <v>DRE - ANANINDEUA / BELEM</v>
      </c>
      <c r="D403" s="2" t="str">
        <f ca="1">IFERROR(__xludf.DUMMYFUNCTION("""COMPUTED_VALUE"""),"Belem 9")</f>
        <v>Belem 9</v>
      </c>
      <c r="E403" s="2" t="str">
        <f ca="1">IFERROR(__xludf.DUMMYFUNCTION("""COMPUTED_VALUE"""),"DRE - ANANINDEUA / BELEMBelem 9")</f>
        <v>DRE - ANANINDEUA / BELEMBelem 9</v>
      </c>
      <c r="F403" s="1">
        <f ca="1">IFERROR(__xludf.DUMMYFUNCTION("""COMPUTED_VALUE"""),2)</f>
        <v>2</v>
      </c>
      <c r="G403" s="1" t="str">
        <f ca="1">IFERROR(__xludf.DUMMYFUNCTION("""COMPUTED_VALUE"""),"DRE BELEM 10")</f>
        <v>DRE BELEM 10</v>
      </c>
      <c r="H403" s="1" t="str">
        <f ca="1">IFERROR(__xludf.DUMMYFUNCTION("""COMPUTED_VALUE"""),"19A URE - BELEM")</f>
        <v>19A URE - BELEM</v>
      </c>
      <c r="I403" s="2" t="str">
        <f ca="1">IFERROR(__xludf.DUMMYFUNCTION("""COMPUTED_VALUE"""),"Unidade 10")</f>
        <v>Unidade 10</v>
      </c>
      <c r="J403" s="1" t="str">
        <f ca="1">IFERROR(__xludf.DUMMYFUNCTION("""COMPUTED_VALUE"""),"BELEM")</f>
        <v>BELEM</v>
      </c>
      <c r="K403" s="1">
        <f ca="1">IFERROR(__xludf.DUMMYFUNCTION("""COMPUTED_VALUE"""),15042499)</f>
        <v>15042499</v>
      </c>
      <c r="L403" s="2" t="str">
        <f ca="1">IFERROR(__xludf.DUMMYFUNCTION("""COMPUTED_VALUE"""),"001920930080000")</f>
        <v>001920930080000</v>
      </c>
      <c r="M403" s="2" t="str">
        <f ca="1">IFERROR(__xludf.DUMMYFUNCTION("""COMPUTED_VALUE"""),"1920930080000")</f>
        <v>1920930080000</v>
      </c>
      <c r="N403" s="1" t="str">
        <f ca="1">IFERROR(__xludf.DUMMYFUNCTION("""COMPUTED_VALUE"""),"EEEFM TENONE")</f>
        <v>EEEFM TENONE</v>
      </c>
      <c r="O403" s="1"/>
      <c r="P403" s="1"/>
      <c r="Q403" s="1" t="s">
        <v>397</v>
      </c>
    </row>
    <row r="404" spans="1:17" x14ac:dyDescent="0.25">
      <c r="A404" s="2" t="str">
        <f ca="1">IFERROR(__xludf.DUMMYFUNCTION("""COMPUTED_VALUE"""),"REG DE INTEGRA  METROPOLITANA")</f>
        <v>REG DE INTEGRA  METROPOLITANA</v>
      </c>
      <c r="B404" s="1" t="str">
        <f ca="1">IFERROR(__xludf.DUMMYFUNCTION("""COMPUTED_VALUE"""),"DRE BELEM 9")</f>
        <v>DRE BELEM 9</v>
      </c>
      <c r="C404" s="2" t="str">
        <f ca="1">IFERROR(__xludf.DUMMYFUNCTION("""COMPUTED_VALUE"""),"DRE - ANANINDEUA / BELEM")</f>
        <v>DRE - ANANINDEUA / BELEM</v>
      </c>
      <c r="D404" s="2" t="str">
        <f ca="1">IFERROR(__xludf.DUMMYFUNCTION("""COMPUTED_VALUE"""),"Belem 9")</f>
        <v>Belem 9</v>
      </c>
      <c r="E404" s="2" t="str">
        <f ca="1">IFERROR(__xludf.DUMMYFUNCTION("""COMPUTED_VALUE"""),"DRE - ANANINDEUA / BELEMBelem 9")</f>
        <v>DRE - ANANINDEUA / BELEMBelem 9</v>
      </c>
      <c r="F404" s="1">
        <f ca="1">IFERROR(__xludf.DUMMYFUNCTION("""COMPUTED_VALUE"""),2)</f>
        <v>2</v>
      </c>
      <c r="G404" s="1" t="str">
        <f ca="1">IFERROR(__xludf.DUMMYFUNCTION("""COMPUTED_VALUE"""),"DRE BELEM 10")</f>
        <v>DRE BELEM 10</v>
      </c>
      <c r="H404" s="1" t="str">
        <f ca="1">IFERROR(__xludf.DUMMYFUNCTION("""COMPUTED_VALUE"""),"19A URE - BELEM")</f>
        <v>19A URE - BELEM</v>
      </c>
      <c r="I404" s="2" t="str">
        <f ca="1">IFERROR(__xludf.DUMMYFUNCTION("""COMPUTED_VALUE"""),"Unidade 10")</f>
        <v>Unidade 10</v>
      </c>
      <c r="J404" s="1" t="str">
        <f ca="1">IFERROR(__xludf.DUMMYFUNCTION("""COMPUTED_VALUE"""),"BELEM")</f>
        <v>BELEM</v>
      </c>
      <c r="K404" s="1">
        <f ca="1">IFERROR(__xludf.DUMMYFUNCTION("""COMPUTED_VALUE"""),15165930)</f>
        <v>15165930</v>
      </c>
      <c r="L404" s="2" t="str">
        <f ca="1">IFERROR(__xludf.DUMMYFUNCTION("""COMPUTED_VALUE"""),"001920937850000")</f>
        <v>001920937850000</v>
      </c>
      <c r="M404" s="2" t="str">
        <f ca="1">IFERROR(__xludf.DUMMYFUNCTION("""COMPUTED_VALUE"""),"1920937850000")</f>
        <v>1920937850000</v>
      </c>
      <c r="N404" s="1" t="str">
        <f ca="1">IFERROR(__xludf.DUMMYFUNCTION("""COMPUTED_VALUE"""),"EEEM MANOEL LEITE CARNEIRO")</f>
        <v>EEEM MANOEL LEITE CARNEIRO</v>
      </c>
      <c r="O404" s="1"/>
      <c r="P404" s="1"/>
      <c r="Q404" s="1" t="s">
        <v>397</v>
      </c>
    </row>
    <row r="405" spans="1:17" x14ac:dyDescent="0.25">
      <c r="A405" s="2" t="str">
        <f ca="1">IFERROR(__xludf.DUMMYFUNCTION("""COMPUTED_VALUE"""),"REG DE INTEGRA  METROPOLITANA")</f>
        <v>REG DE INTEGRA  METROPOLITANA</v>
      </c>
      <c r="B405" s="1" t="str">
        <f ca="1">IFERROR(__xludf.DUMMYFUNCTION("""COMPUTED_VALUE"""),"DRE BELEM 9")</f>
        <v>DRE BELEM 9</v>
      </c>
      <c r="C405" s="2" t="str">
        <f ca="1">IFERROR(__xludf.DUMMYFUNCTION("""COMPUTED_VALUE"""),"DRE - ANANINDEUA / BELEM")</f>
        <v>DRE - ANANINDEUA / BELEM</v>
      </c>
      <c r="D405" s="2" t="str">
        <f ca="1">IFERROR(__xludf.DUMMYFUNCTION("""COMPUTED_VALUE"""),"Belem 9")</f>
        <v>Belem 9</v>
      </c>
      <c r="E405" s="2" t="str">
        <f ca="1">IFERROR(__xludf.DUMMYFUNCTION("""COMPUTED_VALUE"""),"DRE - ANANINDEUA / BELEMBelem 9")</f>
        <v>DRE - ANANINDEUA / BELEMBelem 9</v>
      </c>
      <c r="F405" s="1">
        <f ca="1">IFERROR(__xludf.DUMMYFUNCTION("""COMPUTED_VALUE"""),2)</f>
        <v>2</v>
      </c>
      <c r="G405" s="1" t="str">
        <f ca="1">IFERROR(__xludf.DUMMYFUNCTION("""COMPUTED_VALUE"""),"DRE BELEM 10")</f>
        <v>DRE BELEM 10</v>
      </c>
      <c r="H405" s="1" t="str">
        <f ca="1">IFERROR(__xludf.DUMMYFUNCTION("""COMPUTED_VALUE"""),"19A URE - BELEM")</f>
        <v>19A URE - BELEM</v>
      </c>
      <c r="I405" s="2" t="str">
        <f ca="1">IFERROR(__xludf.DUMMYFUNCTION("""COMPUTED_VALUE"""),"Unidade 10")</f>
        <v>Unidade 10</v>
      </c>
      <c r="J405" s="1" t="str">
        <f ca="1">IFERROR(__xludf.DUMMYFUNCTION("""COMPUTED_VALUE"""),"BELEM")</f>
        <v>BELEM</v>
      </c>
      <c r="K405" s="1">
        <f ca="1">IFERROR(__xludf.DUMMYFUNCTION("""COMPUTED_VALUE"""),15212203)</f>
        <v>15212203</v>
      </c>
      <c r="L405" s="2" t="str">
        <f ca="1">IFERROR(__xludf.DUMMYFUNCTION("""COMPUTED_VALUE"""),"001920937290000")</f>
        <v>001920937290000</v>
      </c>
      <c r="M405" s="2" t="str">
        <f ca="1">IFERROR(__xludf.DUMMYFUNCTION("""COMPUTED_VALUE"""),"1920937290000")</f>
        <v>1920937290000</v>
      </c>
      <c r="N405" s="1" t="str">
        <f ca="1">IFERROR(__xludf.DUMMYFUNCTION("""COMPUTED_VALUE"""),"EEEM RAYMUNDO MARTINS VIANNA")</f>
        <v>EEEM RAYMUNDO MARTINS VIANNA</v>
      </c>
      <c r="O405" s="1"/>
      <c r="P405" s="1"/>
      <c r="Q405" s="1" t="s">
        <v>397</v>
      </c>
    </row>
    <row r="406" spans="1:17" x14ac:dyDescent="0.25">
      <c r="A406" s="2" t="str">
        <f ca="1">IFERROR(__xludf.DUMMYFUNCTION("""COMPUTED_VALUE"""),"REG DE INTEGRA  METROPOLITANA")</f>
        <v>REG DE INTEGRA  METROPOLITANA</v>
      </c>
      <c r="B406" s="1" t="str">
        <f ca="1">IFERROR(__xludf.DUMMYFUNCTION("""COMPUTED_VALUE"""),"DRE BELEM 10")</f>
        <v>DRE BELEM 10</v>
      </c>
      <c r="C406" s="2" t="str">
        <f ca="1">IFERROR(__xludf.DUMMYFUNCTION("""COMPUTED_VALUE"""),"DRE - ANANINDEUA / BELEM")</f>
        <v>DRE - ANANINDEUA / BELEM</v>
      </c>
      <c r="D406" s="2" t="str">
        <f ca="1">IFERROR(__xludf.DUMMYFUNCTION("""COMPUTED_VALUE"""),"Belem 10")</f>
        <v>Belem 10</v>
      </c>
      <c r="E406" s="2" t="str">
        <f ca="1">IFERROR(__xludf.DUMMYFUNCTION("""COMPUTED_VALUE"""),"DRE - ANANINDEUA / BELEMBelem 10")</f>
        <v>DRE - ANANINDEUA / BELEMBelem 10</v>
      </c>
      <c r="F406" s="1">
        <f ca="1">IFERROR(__xludf.DUMMYFUNCTION("""COMPUTED_VALUE"""),2)</f>
        <v>2</v>
      </c>
      <c r="G406" s="1" t="str">
        <f ca="1">IFERROR(__xludf.DUMMYFUNCTION("""COMPUTED_VALUE"""),"DRE BELEM 10")</f>
        <v>DRE BELEM 10</v>
      </c>
      <c r="H406" s="1" t="str">
        <f ca="1">IFERROR(__xludf.DUMMYFUNCTION("""COMPUTED_VALUE"""),"19A URE - BELEM")</f>
        <v>19A URE - BELEM</v>
      </c>
      <c r="I406" s="2" t="str">
        <f ca="1">IFERROR(__xludf.DUMMYFUNCTION("""COMPUTED_VALUE"""),"Unidade 10")</f>
        <v>Unidade 10</v>
      </c>
      <c r="J406" s="1" t="str">
        <f ca="1">IFERROR(__xludf.DUMMYFUNCTION("""COMPUTED_VALUE"""),"BELEM")</f>
        <v>BELEM</v>
      </c>
      <c r="K406" s="1"/>
      <c r="L406" s="2" t="str">
        <f ca="1">IFERROR(__xludf.DUMMYFUNCTION("""COMPUTED_VALUE"""),"001921065000000")</f>
        <v>001921065000000</v>
      </c>
      <c r="M406" s="2" t="str">
        <f ca="1">IFERROR(__xludf.DUMMYFUNCTION("""COMPUTED_VALUE"""),"1921065000000")</f>
        <v>1921065000000</v>
      </c>
      <c r="N406" s="1" t="str">
        <f ca="1">IFERROR(__xludf.DUMMYFUNCTION("""COMPUTED_VALUE"""),"EEEIB MESTRA IDALINA RODRIGUES PEREIRA")</f>
        <v>EEEIB MESTRA IDALINA RODRIGUES PEREIRA</v>
      </c>
      <c r="O406" s="1"/>
      <c r="P406" s="1"/>
      <c r="Q406" s="1" t="s">
        <v>218</v>
      </c>
    </row>
    <row r="407" spans="1:17" x14ac:dyDescent="0.25">
      <c r="A407" s="2" t="str">
        <f ca="1">IFERROR(__xludf.DUMMYFUNCTION("""COMPUTED_VALUE"""),"REG DE INTEGRA  METROPOLITANA")</f>
        <v>REG DE INTEGRA  METROPOLITANA</v>
      </c>
      <c r="B407" s="1" t="str">
        <f ca="1">IFERROR(__xludf.DUMMYFUNCTION("""COMPUTED_VALUE"""),"DRE BELEM 9")</f>
        <v>DRE BELEM 9</v>
      </c>
      <c r="C407" s="2" t="str">
        <f ca="1">IFERROR(__xludf.DUMMYFUNCTION("""COMPUTED_VALUE"""),"DRE - ANANINDEUA / BELEM")</f>
        <v>DRE - ANANINDEUA / BELEM</v>
      </c>
      <c r="D407" s="2" t="str">
        <f ca="1">IFERROR(__xludf.DUMMYFUNCTION("""COMPUTED_VALUE"""),"Belem 9")</f>
        <v>Belem 9</v>
      </c>
      <c r="E407" s="2" t="str">
        <f ca="1">IFERROR(__xludf.DUMMYFUNCTION("""COMPUTED_VALUE"""),"DRE - ANANINDEUA / BELEMBelem 9")</f>
        <v>DRE - ANANINDEUA / BELEMBelem 9</v>
      </c>
      <c r="F407" s="1">
        <f ca="1">IFERROR(__xludf.DUMMYFUNCTION("""COMPUTED_VALUE"""),2)</f>
        <v>2</v>
      </c>
      <c r="G407" s="1" t="str">
        <f ca="1">IFERROR(__xludf.DUMMYFUNCTION("""COMPUTED_VALUE"""),"DRE BELEM 10")</f>
        <v>DRE BELEM 10</v>
      </c>
      <c r="H407" s="1" t="str">
        <f ca="1">IFERROR(__xludf.DUMMYFUNCTION("""COMPUTED_VALUE"""),"19A URE - BELEM")</f>
        <v>19A URE - BELEM</v>
      </c>
      <c r="I407" s="2" t="str">
        <f ca="1">IFERROR(__xludf.DUMMYFUNCTION("""COMPUTED_VALUE"""),"Unidade 10")</f>
        <v>Unidade 10</v>
      </c>
      <c r="J407" s="1" t="str">
        <f ca="1">IFERROR(__xludf.DUMMYFUNCTION("""COMPUTED_VALUE"""),"BELEM")</f>
        <v>BELEM</v>
      </c>
      <c r="K407" s="1"/>
      <c r="L407" s="2" t="str">
        <f ca="1">IFERROR(__xludf.DUMMYFUNCTION("""COMPUTED_VALUE"""),"001920936200000")</f>
        <v>001920936200000</v>
      </c>
      <c r="M407" s="2" t="str">
        <f ca="1">IFERROR(__xludf.DUMMYFUNCTION("""COMPUTED_VALUE"""),"1920936200000")</f>
        <v>1920936200000</v>
      </c>
      <c r="N407" s="1" t="str">
        <f ca="1">IFERROR(__xludf.DUMMYFUNCTION("""COMPUTED_VALUE"""),"UNIDADE TECNICA DE EDUCACAO ESPECIAL")</f>
        <v>UNIDADE TECNICA DE EDUCACAO ESPECIAL</v>
      </c>
      <c r="O407" s="1"/>
      <c r="P407" s="1"/>
      <c r="Q407" s="1" t="s">
        <v>397</v>
      </c>
    </row>
    <row r="408" spans="1:17" x14ac:dyDescent="0.25">
      <c r="A408" s="2" t="str">
        <f ca="1">IFERROR(__xludf.DUMMYFUNCTION("""COMPUTED_VALUE"""),"REG DE INTEGRA  METROPOLITANA")</f>
        <v>REG DE INTEGRA  METROPOLITANA</v>
      </c>
      <c r="B408" s="1" t="str">
        <f ca="1">IFERROR(__xludf.DUMMYFUNCTION("""COMPUTED_VALUE"""),"DRE BENEVIDES")</f>
        <v>DRE BENEVIDES</v>
      </c>
      <c r="C408" s="2" t="str">
        <f ca="1">IFERROR(__xludf.DUMMYFUNCTION("""COMPUTED_VALUE"""),"DRE - BENEVIDES")</f>
        <v>DRE - BENEVIDES</v>
      </c>
      <c r="D408" s="1"/>
      <c r="E408" s="2" t="str">
        <f ca="1">IFERROR(__xludf.DUMMYFUNCTION("""COMPUTED_VALUE"""),"DRE - BENEVIDES")</f>
        <v>DRE - BENEVIDES</v>
      </c>
      <c r="F408" s="1">
        <f ca="1">IFERROR(__xludf.DUMMYFUNCTION("""COMPUTED_VALUE"""),2)</f>
        <v>2</v>
      </c>
      <c r="G408" s="1" t="str">
        <f ca="1">IFERROR(__xludf.DUMMYFUNCTION("""COMPUTED_VALUE"""),"DRE BENEVIDES")</f>
        <v>DRE BENEVIDES</v>
      </c>
      <c r="H408" s="1" t="str">
        <f ca="1">IFERROR(__xludf.DUMMYFUNCTION("""COMPUTED_VALUE"""),"19A URE - BELEM")</f>
        <v>19A URE - BELEM</v>
      </c>
      <c r="I408" s="2" t="str">
        <f ca="1">IFERROR(__xludf.DUMMYFUNCTION("""COMPUTED_VALUE"""),"NÃO ENCONTRADO (SERA EXTINTA)")</f>
        <v>NÃO ENCONTRADO (SERA EXTINTA)</v>
      </c>
      <c r="J408" s="1" t="str">
        <f ca="1">IFERROR(__xludf.DUMMYFUNCTION("""COMPUTED_VALUE"""),"BENEVIDES")</f>
        <v>BENEVIDES</v>
      </c>
      <c r="K408" s="1">
        <f ca="1">IFERROR(__xludf.DUMMYFUNCTION("""COMPUTED_VALUE"""),15043932)</f>
        <v>15043932</v>
      </c>
      <c r="L408" s="2" t="str">
        <f ca="1">IFERROR(__xludf.DUMMYFUNCTION("""COMPUTED_VALUE"""),"001920933420000")</f>
        <v>001920933420000</v>
      </c>
      <c r="M408" s="2" t="str">
        <f ca="1">IFERROR(__xludf.DUMMYFUNCTION("""COMPUTED_VALUE"""),"1920933420000")</f>
        <v>1920933420000</v>
      </c>
      <c r="N408" s="1" t="str">
        <f ca="1">IFERROR(__xludf.DUMMYFUNCTION("""COMPUTED_VALUE"""),"EEEF ALICE FANJAS")</f>
        <v>EEEF ALICE FANJAS</v>
      </c>
      <c r="O408" s="1"/>
      <c r="P408" s="1"/>
      <c r="Q408" s="1" t="s">
        <v>420</v>
      </c>
    </row>
    <row r="409" spans="1:17" x14ac:dyDescent="0.25">
      <c r="A409" s="2" t="str">
        <f ca="1">IFERROR(__xludf.DUMMYFUNCTION("""COMPUTED_VALUE"""),"REG DE INTEGRA  METROPOLITANA")</f>
        <v>REG DE INTEGRA  METROPOLITANA</v>
      </c>
      <c r="B409" s="1" t="str">
        <f ca="1">IFERROR(__xludf.DUMMYFUNCTION("""COMPUTED_VALUE"""),"DRE BENEVIDES")</f>
        <v>DRE BENEVIDES</v>
      </c>
      <c r="C409" s="2" t="str">
        <f ca="1">IFERROR(__xludf.DUMMYFUNCTION("""COMPUTED_VALUE"""),"DRE - BENEVIDES")</f>
        <v>DRE - BENEVIDES</v>
      </c>
      <c r="D409" s="1"/>
      <c r="E409" s="2" t="str">
        <f ca="1">IFERROR(__xludf.DUMMYFUNCTION("""COMPUTED_VALUE"""),"DRE - BENEVIDES")</f>
        <v>DRE - BENEVIDES</v>
      </c>
      <c r="F409" s="1">
        <f ca="1">IFERROR(__xludf.DUMMYFUNCTION("""COMPUTED_VALUE"""),2)</f>
        <v>2</v>
      </c>
      <c r="G409" s="1" t="str">
        <f ca="1">IFERROR(__xludf.DUMMYFUNCTION("""COMPUTED_VALUE"""),"DRE BENEVIDES")</f>
        <v>DRE BENEVIDES</v>
      </c>
      <c r="H409" s="1" t="str">
        <f ca="1">IFERROR(__xludf.DUMMYFUNCTION("""COMPUTED_VALUE"""),"19A URE - BELEM")</f>
        <v>19A URE - BELEM</v>
      </c>
      <c r="I409" s="2" t="str">
        <f ca="1">IFERROR(__xludf.DUMMYFUNCTION("""COMPUTED_VALUE"""),"Unidade 18")</f>
        <v>Unidade 18</v>
      </c>
      <c r="J409" s="1" t="str">
        <f ca="1">IFERROR(__xludf.DUMMYFUNCTION("""COMPUTED_VALUE"""),"BENEVIDES")</f>
        <v>BENEVIDES</v>
      </c>
      <c r="K409" s="1">
        <f ca="1">IFERROR(__xludf.DUMMYFUNCTION("""COMPUTED_VALUE"""),15043657)</f>
        <v>15043657</v>
      </c>
      <c r="L409" s="2" t="str">
        <f ca="1">IFERROR(__xludf.DUMMYFUNCTION("""COMPUTED_VALUE"""),"001920931390000")</f>
        <v>001920931390000</v>
      </c>
      <c r="M409" s="2" t="str">
        <f ca="1">IFERROR(__xludf.DUMMYFUNCTION("""COMPUTED_VALUE"""),"1920931390000")</f>
        <v>1920931390000</v>
      </c>
      <c r="N409" s="1" t="str">
        <f ca="1">IFERROR(__xludf.DUMMYFUNCTION("""COMPUTED_VALUE"""),"EEEF CENECISTA FRANCOIS PAUL BEGOT")</f>
        <v>EEEF CENECISTA FRANCOIS PAUL BEGOT</v>
      </c>
      <c r="O409" s="1"/>
      <c r="P409" s="1"/>
      <c r="Q409" s="1" t="s">
        <v>420</v>
      </c>
    </row>
    <row r="410" spans="1:17" x14ac:dyDescent="0.25">
      <c r="A410" s="2" t="str">
        <f ca="1">IFERROR(__xludf.DUMMYFUNCTION("""COMPUTED_VALUE"""),"REG DE INTEGRA  METROPOLITANA")</f>
        <v>REG DE INTEGRA  METROPOLITANA</v>
      </c>
      <c r="B410" s="1" t="str">
        <f ca="1">IFERROR(__xludf.DUMMYFUNCTION("""COMPUTED_VALUE"""),"DRE BENEVIDES")</f>
        <v>DRE BENEVIDES</v>
      </c>
      <c r="C410" s="2" t="str">
        <f ca="1">IFERROR(__xludf.DUMMYFUNCTION("""COMPUTED_VALUE"""),"DRE - BENEVIDES")</f>
        <v>DRE - BENEVIDES</v>
      </c>
      <c r="D410" s="1"/>
      <c r="E410" s="2" t="str">
        <f ca="1">IFERROR(__xludf.DUMMYFUNCTION("""COMPUTED_VALUE"""),"DRE - BENEVIDES")</f>
        <v>DRE - BENEVIDES</v>
      </c>
      <c r="F410" s="1">
        <f ca="1">IFERROR(__xludf.DUMMYFUNCTION("""COMPUTED_VALUE"""),2)</f>
        <v>2</v>
      </c>
      <c r="G410" s="1" t="str">
        <f ca="1">IFERROR(__xludf.DUMMYFUNCTION("""COMPUTED_VALUE"""),"DRE BENEVIDES")</f>
        <v>DRE BENEVIDES</v>
      </c>
      <c r="H410" s="1" t="str">
        <f ca="1">IFERROR(__xludf.DUMMYFUNCTION("""COMPUTED_VALUE"""),"19A URE - BELEM")</f>
        <v>19A URE - BELEM</v>
      </c>
      <c r="I410" s="2" t="str">
        <f ca="1">IFERROR(__xludf.DUMMYFUNCTION("""COMPUTED_VALUE"""),"Unidade 18")</f>
        <v>Unidade 18</v>
      </c>
      <c r="J410" s="1" t="str">
        <f ca="1">IFERROR(__xludf.DUMMYFUNCTION("""COMPUTED_VALUE"""),"BENEVIDES")</f>
        <v>BENEVIDES</v>
      </c>
      <c r="K410" s="1">
        <f ca="1">IFERROR(__xludf.DUMMYFUNCTION("""COMPUTED_VALUE"""),15043746)</f>
        <v>15043746</v>
      </c>
      <c r="L410" s="2" t="str">
        <f ca="1">IFERROR(__xludf.DUMMYFUNCTION("""COMPUTED_VALUE"""),"001920921840000")</f>
        <v>001920921840000</v>
      </c>
      <c r="M410" s="2" t="str">
        <f ca="1">IFERROR(__xludf.DUMMYFUNCTION("""COMPUTED_VALUE"""),"1920921840000")</f>
        <v>1920921840000</v>
      </c>
      <c r="N410" s="1" t="str">
        <f ca="1">IFERROR(__xludf.DUMMYFUNCTION("""COMPUTED_VALUE"""),"EEEF DA TERCEIRA TRAVESSA")</f>
        <v>EEEF DA TERCEIRA TRAVESSA</v>
      </c>
      <c r="O410" s="1"/>
      <c r="P410" s="1"/>
      <c r="Q410" s="1" t="s">
        <v>420</v>
      </c>
    </row>
    <row r="411" spans="1:17" x14ac:dyDescent="0.25">
      <c r="A411" s="2" t="str">
        <f ca="1">IFERROR(__xludf.DUMMYFUNCTION("""COMPUTED_VALUE"""),"REG DE INTEGRA  METROPOLITANA")</f>
        <v>REG DE INTEGRA  METROPOLITANA</v>
      </c>
      <c r="B411" s="1" t="str">
        <f ca="1">IFERROR(__xludf.DUMMYFUNCTION("""COMPUTED_VALUE"""),"DRE BENEVIDES")</f>
        <v>DRE BENEVIDES</v>
      </c>
      <c r="C411" s="2" t="str">
        <f ca="1">IFERROR(__xludf.DUMMYFUNCTION("""COMPUTED_VALUE"""),"DRE - BENEVIDES")</f>
        <v>DRE - BENEVIDES</v>
      </c>
      <c r="D411" s="1"/>
      <c r="E411" s="2" t="str">
        <f ca="1">IFERROR(__xludf.DUMMYFUNCTION("""COMPUTED_VALUE"""),"DRE - BENEVIDES")</f>
        <v>DRE - BENEVIDES</v>
      </c>
      <c r="F411" s="1">
        <f ca="1">IFERROR(__xludf.DUMMYFUNCTION("""COMPUTED_VALUE"""),2)</f>
        <v>2</v>
      </c>
      <c r="G411" s="1" t="str">
        <f ca="1">IFERROR(__xludf.DUMMYFUNCTION("""COMPUTED_VALUE"""),"DRE BENEVIDES")</f>
        <v>DRE BENEVIDES</v>
      </c>
      <c r="H411" s="1" t="str">
        <f ca="1">IFERROR(__xludf.DUMMYFUNCTION("""COMPUTED_VALUE"""),"19A URE - BELEM")</f>
        <v>19A URE - BELEM</v>
      </c>
      <c r="I411" s="2" t="str">
        <f ca="1">IFERROR(__xludf.DUMMYFUNCTION("""COMPUTED_VALUE"""),"Unidade 18")</f>
        <v>Unidade 18</v>
      </c>
      <c r="J411" s="1" t="str">
        <f ca="1">IFERROR(__xludf.DUMMYFUNCTION("""COMPUTED_VALUE"""),"BENEVIDES")</f>
        <v>BENEVIDES</v>
      </c>
      <c r="K411" s="1">
        <f ca="1">IFERROR(__xludf.DUMMYFUNCTION("""COMPUTED_VALUE"""),15043762)</f>
        <v>15043762</v>
      </c>
      <c r="L411" s="2" t="str">
        <f ca="1">IFERROR(__xludf.DUMMYFUNCTION("""COMPUTED_VALUE"""),"001920921830000")</f>
        <v>001920921830000</v>
      </c>
      <c r="M411" s="2" t="str">
        <f ca="1">IFERROR(__xludf.DUMMYFUNCTION("""COMPUTED_VALUE"""),"1920921830000")</f>
        <v>1920921830000</v>
      </c>
      <c r="N411" s="1" t="str">
        <f ca="1">IFERROR(__xludf.DUMMYFUNCTION("""COMPUTED_VALUE"""),"EEEF DE CANUTAMA")</f>
        <v>EEEF DE CANUTAMA</v>
      </c>
      <c r="O411" s="1"/>
      <c r="P411" s="1"/>
      <c r="Q411" s="1" t="s">
        <v>420</v>
      </c>
    </row>
    <row r="412" spans="1:17" x14ac:dyDescent="0.25">
      <c r="A412" s="2" t="str">
        <f ca="1">IFERROR(__xludf.DUMMYFUNCTION("""COMPUTED_VALUE"""),"REG DE INTEGRA  METROPOLITANA")</f>
        <v>REG DE INTEGRA  METROPOLITANA</v>
      </c>
      <c r="B412" s="1" t="str">
        <f ca="1">IFERROR(__xludf.DUMMYFUNCTION("""COMPUTED_VALUE"""),"DRE BENEVIDES")</f>
        <v>DRE BENEVIDES</v>
      </c>
      <c r="C412" s="2" t="str">
        <f ca="1">IFERROR(__xludf.DUMMYFUNCTION("""COMPUTED_VALUE"""),"DRE - BENEVIDES")</f>
        <v>DRE - BENEVIDES</v>
      </c>
      <c r="D412" s="1"/>
      <c r="E412" s="2" t="str">
        <f ca="1">IFERROR(__xludf.DUMMYFUNCTION("""COMPUTED_VALUE"""),"DRE - BENEVIDES")</f>
        <v>DRE - BENEVIDES</v>
      </c>
      <c r="F412" s="1">
        <f ca="1">IFERROR(__xludf.DUMMYFUNCTION("""COMPUTED_VALUE"""),2)</f>
        <v>2</v>
      </c>
      <c r="G412" s="1" t="str">
        <f ca="1">IFERROR(__xludf.DUMMYFUNCTION("""COMPUTED_VALUE"""),"DRE BENEVIDES")</f>
        <v>DRE BENEVIDES</v>
      </c>
      <c r="H412" s="1" t="str">
        <f ca="1">IFERROR(__xludf.DUMMYFUNCTION("""COMPUTED_VALUE"""),"19A URE - BELEM")</f>
        <v>19A URE - BELEM</v>
      </c>
      <c r="I412" s="2" t="str">
        <f ca="1">IFERROR(__xludf.DUMMYFUNCTION("""COMPUTED_VALUE"""),"Unidade 18")</f>
        <v>Unidade 18</v>
      </c>
      <c r="J412" s="1" t="str">
        <f ca="1">IFERROR(__xludf.DUMMYFUNCTION("""COMPUTED_VALUE"""),"BENEVIDES")</f>
        <v>BENEVIDES</v>
      </c>
      <c r="K412" s="1">
        <f ca="1">IFERROR(__xludf.DUMMYFUNCTION("""COMPUTED_VALUE"""),15043983)</f>
        <v>15043983</v>
      </c>
      <c r="L412" s="2" t="str">
        <f ca="1">IFERROR(__xludf.DUMMYFUNCTION("""COMPUTED_VALUE"""),"001920921770000")</f>
        <v>001920921770000</v>
      </c>
      <c r="M412" s="2" t="str">
        <f ca="1">IFERROR(__xludf.DUMMYFUNCTION("""COMPUTED_VALUE"""),"1920921770000")</f>
        <v>1920921770000</v>
      </c>
      <c r="N412" s="1" t="str">
        <f ca="1">IFERROR(__xludf.DUMMYFUNCTION("""COMPUTED_VALUE"""),"EEEF JOAO BATISTA DE MOURA CARVALHO")</f>
        <v>EEEF JOAO BATISTA DE MOURA CARVALHO</v>
      </c>
      <c r="O412" s="1"/>
      <c r="P412" s="1"/>
      <c r="Q412" s="1" t="s">
        <v>420</v>
      </c>
    </row>
    <row r="413" spans="1:17" x14ac:dyDescent="0.25">
      <c r="A413" s="2" t="str">
        <f ca="1">IFERROR(__xludf.DUMMYFUNCTION("""COMPUTED_VALUE"""),"REG DE INTEGRA  METROPOLITANA")</f>
        <v>REG DE INTEGRA  METROPOLITANA</v>
      </c>
      <c r="B413" s="1" t="str">
        <f ca="1">IFERROR(__xludf.DUMMYFUNCTION("""COMPUTED_VALUE"""),"DRE BENEVIDES")</f>
        <v>DRE BENEVIDES</v>
      </c>
      <c r="C413" s="2" t="str">
        <f ca="1">IFERROR(__xludf.DUMMYFUNCTION("""COMPUTED_VALUE"""),"DRE - BENEVIDES")</f>
        <v>DRE - BENEVIDES</v>
      </c>
      <c r="D413" s="1"/>
      <c r="E413" s="2" t="str">
        <f ca="1">IFERROR(__xludf.DUMMYFUNCTION("""COMPUTED_VALUE"""),"DRE - BENEVIDES")</f>
        <v>DRE - BENEVIDES</v>
      </c>
      <c r="F413" s="1">
        <f ca="1">IFERROR(__xludf.DUMMYFUNCTION("""COMPUTED_VALUE"""),2)</f>
        <v>2</v>
      </c>
      <c r="G413" s="1" t="str">
        <f ca="1">IFERROR(__xludf.DUMMYFUNCTION("""COMPUTED_VALUE"""),"DRE BENEVIDES")</f>
        <v>DRE BENEVIDES</v>
      </c>
      <c r="H413" s="1" t="str">
        <f ca="1">IFERROR(__xludf.DUMMYFUNCTION("""COMPUTED_VALUE"""),"19A URE - BELEM")</f>
        <v>19A URE - BELEM</v>
      </c>
      <c r="I413" s="2" t="str">
        <f ca="1">IFERROR(__xludf.DUMMYFUNCTION("""COMPUTED_VALUE"""),"Unidade 18")</f>
        <v>Unidade 18</v>
      </c>
      <c r="J413" s="1" t="str">
        <f ca="1">IFERROR(__xludf.DUMMYFUNCTION("""COMPUTED_VALUE"""),"BENEVIDES")</f>
        <v>BENEVIDES</v>
      </c>
      <c r="K413" s="1">
        <f ca="1">IFERROR(__xludf.DUMMYFUNCTION("""COMPUTED_VALUE"""),15043991)</f>
        <v>15043991</v>
      </c>
      <c r="L413" s="2" t="str">
        <f ca="1">IFERROR(__xludf.DUMMYFUNCTION("""COMPUTED_VALUE"""),"001920921800000")</f>
        <v>001920921800000</v>
      </c>
      <c r="M413" s="2" t="str">
        <f ca="1">IFERROR(__xludf.DUMMYFUNCTION("""COMPUTED_VALUE"""),"1920921800000")</f>
        <v>1920921800000</v>
      </c>
      <c r="N413" s="1" t="str">
        <f ca="1">IFERROR(__xludf.DUMMYFUNCTION("""COMPUTED_VALUE"""),"EEEF LEAO IRINEU HAUSSLER DELGADO")</f>
        <v>EEEF LEAO IRINEU HAUSSLER DELGADO</v>
      </c>
      <c r="O413" s="1"/>
      <c r="P413" s="1"/>
      <c r="Q413" s="1" t="s">
        <v>420</v>
      </c>
    </row>
    <row r="414" spans="1:17" x14ac:dyDescent="0.25">
      <c r="A414" s="2" t="str">
        <f ca="1">IFERROR(__xludf.DUMMYFUNCTION("""COMPUTED_VALUE"""),"REG DE INTEGRA  METROPOLITANA")</f>
        <v>REG DE INTEGRA  METROPOLITANA</v>
      </c>
      <c r="B414" s="1" t="str">
        <f ca="1">IFERROR(__xludf.DUMMYFUNCTION("""COMPUTED_VALUE"""),"DRE BENEVIDES")</f>
        <v>DRE BENEVIDES</v>
      </c>
      <c r="C414" s="2" t="str">
        <f ca="1">IFERROR(__xludf.DUMMYFUNCTION("""COMPUTED_VALUE"""),"DRE - BENEVIDES")</f>
        <v>DRE - BENEVIDES</v>
      </c>
      <c r="D414" s="1"/>
      <c r="E414" s="2" t="str">
        <f ca="1">IFERROR(__xludf.DUMMYFUNCTION("""COMPUTED_VALUE"""),"DRE - BENEVIDES")</f>
        <v>DRE - BENEVIDES</v>
      </c>
      <c r="F414" s="1">
        <f ca="1">IFERROR(__xludf.DUMMYFUNCTION("""COMPUTED_VALUE"""),2)</f>
        <v>2</v>
      </c>
      <c r="G414" s="1" t="str">
        <f ca="1">IFERROR(__xludf.DUMMYFUNCTION("""COMPUTED_VALUE"""),"DRE BENEVIDES")</f>
        <v>DRE BENEVIDES</v>
      </c>
      <c r="H414" s="1" t="str">
        <f ca="1">IFERROR(__xludf.DUMMYFUNCTION("""COMPUTED_VALUE"""),"19A URE - BELEM")</f>
        <v>19A URE - BELEM</v>
      </c>
      <c r="I414" s="2" t="str">
        <f ca="1">IFERROR(__xludf.DUMMYFUNCTION("""COMPUTED_VALUE"""),"Unidade 18")</f>
        <v>Unidade 18</v>
      </c>
      <c r="J414" s="1" t="str">
        <f ca="1">IFERROR(__xludf.DUMMYFUNCTION("""COMPUTED_VALUE"""),"BENEVIDES")</f>
        <v>BENEVIDES</v>
      </c>
      <c r="K414" s="1">
        <f ca="1">IFERROR(__xludf.DUMMYFUNCTION("""COMPUTED_VALUE"""),15170101)</f>
        <v>15170101</v>
      </c>
      <c r="L414" s="2" t="str">
        <f ca="1">IFERROR(__xludf.DUMMYFUNCTION("""COMPUTED_VALUE"""),"001920921800001")</f>
        <v>001920921800001</v>
      </c>
      <c r="M414" s="2" t="str">
        <f ca="1">IFERROR(__xludf.DUMMYFUNCTION("""COMPUTED_VALUE"""),"1920921800001")</f>
        <v>1920921800001</v>
      </c>
      <c r="N414" s="1" t="str">
        <f ca="1">IFERROR(__xludf.DUMMYFUNCTION("""COMPUTED_VALUE"""),"EEEF LEAO IRINEU HAUSSLER DELGADO   - ANEXO I")</f>
        <v>EEEF LEAO IRINEU HAUSSLER DELGADO   - ANEXO I</v>
      </c>
      <c r="O414" s="1"/>
      <c r="P414" s="1"/>
      <c r="Q414" s="1" t="s">
        <v>420</v>
      </c>
    </row>
    <row r="415" spans="1:17" x14ac:dyDescent="0.25">
      <c r="A415" s="2" t="str">
        <f ca="1">IFERROR(__xludf.DUMMYFUNCTION("""COMPUTED_VALUE"""),"REG DE INTEGRA  METROPOLITANA")</f>
        <v>REG DE INTEGRA  METROPOLITANA</v>
      </c>
      <c r="B415" s="1" t="str">
        <f ca="1">IFERROR(__xludf.DUMMYFUNCTION("""COMPUTED_VALUE"""),"DRE BENEVIDES")</f>
        <v>DRE BENEVIDES</v>
      </c>
      <c r="C415" s="2" t="str">
        <f ca="1">IFERROR(__xludf.DUMMYFUNCTION("""COMPUTED_VALUE"""),"DRE - BENEVIDES")</f>
        <v>DRE - BENEVIDES</v>
      </c>
      <c r="D415" s="1"/>
      <c r="E415" s="2" t="str">
        <f ca="1">IFERROR(__xludf.DUMMYFUNCTION("""COMPUTED_VALUE"""),"DRE - BENEVIDES")</f>
        <v>DRE - BENEVIDES</v>
      </c>
      <c r="F415" s="1">
        <f ca="1">IFERROR(__xludf.DUMMYFUNCTION("""COMPUTED_VALUE"""),2)</f>
        <v>2</v>
      </c>
      <c r="G415" s="1" t="str">
        <f ca="1">IFERROR(__xludf.DUMMYFUNCTION("""COMPUTED_VALUE"""),"DRE BENEVIDES")</f>
        <v>DRE BENEVIDES</v>
      </c>
      <c r="H415" s="1" t="str">
        <f ca="1">IFERROR(__xludf.DUMMYFUNCTION("""COMPUTED_VALUE"""),"19A URE - BELEM")</f>
        <v>19A URE - BELEM</v>
      </c>
      <c r="I415" s="2" t="str">
        <f ca="1">IFERROR(__xludf.DUMMYFUNCTION("""COMPUTED_VALUE"""),"Unidade 18")</f>
        <v>Unidade 18</v>
      </c>
      <c r="J415" s="1" t="str">
        <f ca="1">IFERROR(__xludf.DUMMYFUNCTION("""COMPUTED_VALUE"""),"BENEVIDES")</f>
        <v>BENEVIDES</v>
      </c>
      <c r="K415" s="1">
        <f ca="1">IFERROR(__xludf.DUMMYFUNCTION("""COMPUTED_VALUE"""),15523322)</f>
        <v>15523322</v>
      </c>
      <c r="L415" s="2" t="str">
        <f ca="1">IFERROR(__xludf.DUMMYFUNCTION("""COMPUTED_VALUE"""),"001920934380000")</f>
        <v>001920934380000</v>
      </c>
      <c r="M415" s="2" t="str">
        <f ca="1">IFERROR(__xludf.DUMMYFUNCTION("""COMPUTED_VALUE"""),"1920934380000")</f>
        <v>1920934380000</v>
      </c>
      <c r="N415" s="1" t="str">
        <f ca="1">IFERROR(__xludf.DUMMYFUNCTION("""COMPUTED_VALUE"""),"EEEF PADRE JOSIMO TAVARES")</f>
        <v>EEEF PADRE JOSIMO TAVARES</v>
      </c>
      <c r="O415" s="1"/>
      <c r="P415" s="1"/>
      <c r="Q415" s="1" t="s">
        <v>420</v>
      </c>
    </row>
    <row r="416" spans="1:17" x14ac:dyDescent="0.25">
      <c r="A416" s="2" t="str">
        <f ca="1">IFERROR(__xludf.DUMMYFUNCTION("""COMPUTED_VALUE"""),"REG DE INTEGRA  METROPOLITANA")</f>
        <v>REG DE INTEGRA  METROPOLITANA</v>
      </c>
      <c r="B416" s="1" t="str">
        <f ca="1">IFERROR(__xludf.DUMMYFUNCTION("""COMPUTED_VALUE"""),"DRE BENEVIDES")</f>
        <v>DRE BENEVIDES</v>
      </c>
      <c r="C416" s="2" t="str">
        <f ca="1">IFERROR(__xludf.DUMMYFUNCTION("""COMPUTED_VALUE"""),"DRE - BENEVIDES")</f>
        <v>DRE - BENEVIDES</v>
      </c>
      <c r="D416" s="1"/>
      <c r="E416" s="2" t="str">
        <f ca="1">IFERROR(__xludf.DUMMYFUNCTION("""COMPUTED_VALUE"""),"DRE - BENEVIDES")</f>
        <v>DRE - BENEVIDES</v>
      </c>
      <c r="F416" s="1">
        <f ca="1">IFERROR(__xludf.DUMMYFUNCTION("""COMPUTED_VALUE"""),2)</f>
        <v>2</v>
      </c>
      <c r="G416" s="1" t="str">
        <f ca="1">IFERROR(__xludf.DUMMYFUNCTION("""COMPUTED_VALUE"""),"DRE BENEVIDES")</f>
        <v>DRE BENEVIDES</v>
      </c>
      <c r="H416" s="1" t="str">
        <f ca="1">IFERROR(__xludf.DUMMYFUNCTION("""COMPUTED_VALUE"""),"19A URE - BELEM")</f>
        <v>19A URE - BELEM</v>
      </c>
      <c r="I416" s="2" t="str">
        <f ca="1">IFERROR(__xludf.DUMMYFUNCTION("""COMPUTED_VALUE"""),"NÃO ENCONTRADO (SERA EXTINTA)")</f>
        <v>NÃO ENCONTRADO (SERA EXTINTA)</v>
      </c>
      <c r="J416" s="1" t="str">
        <f ca="1">IFERROR(__xludf.DUMMYFUNCTION("""COMPUTED_VALUE"""),"BENEVIDES")</f>
        <v>BENEVIDES</v>
      </c>
      <c r="K416" s="1">
        <f ca="1">IFERROR(__xludf.DUMMYFUNCTION("""COMPUTED_VALUE"""),15043622)</f>
        <v>15043622</v>
      </c>
      <c r="L416" s="2" t="str">
        <f ca="1">IFERROR(__xludf.DUMMYFUNCTION("""COMPUTED_VALUE"""),"001920931840000")</f>
        <v>001920931840000</v>
      </c>
      <c r="M416" s="2" t="str">
        <f ca="1">IFERROR(__xludf.DUMMYFUNCTION("""COMPUTED_VALUE"""),"1920931840000")</f>
        <v>1920931840000</v>
      </c>
      <c r="N416" s="1" t="str">
        <f ca="1">IFERROR(__xludf.DUMMYFUNCTION("""COMPUTED_VALUE"""),"EEEF SANTA MARIA BERTILLA")</f>
        <v>EEEF SANTA MARIA BERTILLA</v>
      </c>
      <c r="O416" s="1"/>
      <c r="P416" s="1"/>
      <c r="Q416" s="1" t="s">
        <v>420</v>
      </c>
    </row>
    <row r="417" spans="1:17" x14ac:dyDescent="0.25">
      <c r="A417" s="2" t="str">
        <f ca="1">IFERROR(__xludf.DUMMYFUNCTION("""COMPUTED_VALUE"""),"REG DE INTEGRA  METROPOLITANA")</f>
        <v>REG DE INTEGRA  METROPOLITANA</v>
      </c>
      <c r="B417" s="1" t="str">
        <f ca="1">IFERROR(__xludf.DUMMYFUNCTION("""COMPUTED_VALUE"""),"DRE BENEVIDES")</f>
        <v>DRE BENEVIDES</v>
      </c>
      <c r="C417" s="2" t="str">
        <f ca="1">IFERROR(__xludf.DUMMYFUNCTION("""COMPUTED_VALUE"""),"DRE - BENEVIDES")</f>
        <v>DRE - BENEVIDES</v>
      </c>
      <c r="D417" s="1"/>
      <c r="E417" s="2" t="str">
        <f ca="1">IFERROR(__xludf.DUMMYFUNCTION("""COMPUTED_VALUE"""),"DRE - BENEVIDES")</f>
        <v>DRE - BENEVIDES</v>
      </c>
      <c r="F417" s="1">
        <f ca="1">IFERROR(__xludf.DUMMYFUNCTION("""COMPUTED_VALUE"""),2)</f>
        <v>2</v>
      </c>
      <c r="G417" s="1" t="str">
        <f ca="1">IFERROR(__xludf.DUMMYFUNCTION("""COMPUTED_VALUE"""),"DRE BENEVIDES")</f>
        <v>DRE BENEVIDES</v>
      </c>
      <c r="H417" s="1" t="str">
        <f ca="1">IFERROR(__xludf.DUMMYFUNCTION("""COMPUTED_VALUE"""),"19A URE - BELEM")</f>
        <v>19A URE - BELEM</v>
      </c>
      <c r="I417" s="2" t="str">
        <f ca="1">IFERROR(__xludf.DUMMYFUNCTION("""COMPUTED_VALUE"""),"Unidade 18")</f>
        <v>Unidade 18</v>
      </c>
      <c r="J417" s="1" t="str">
        <f ca="1">IFERROR(__xludf.DUMMYFUNCTION("""COMPUTED_VALUE"""),"BENEVIDES")</f>
        <v>BENEVIDES</v>
      </c>
      <c r="K417" s="1">
        <f ca="1">IFERROR(__xludf.DUMMYFUNCTION("""COMPUTED_VALUE"""),15044009)</f>
        <v>15044009</v>
      </c>
      <c r="L417" s="2" t="str">
        <f ca="1">IFERROR(__xludf.DUMMYFUNCTION("""COMPUTED_VALUE"""),"001920921820000")</f>
        <v>001920921820000</v>
      </c>
      <c r="M417" s="2" t="str">
        <f ca="1">IFERROR(__xludf.DUMMYFUNCTION("""COMPUTED_VALUE"""),"1920921820000")</f>
        <v>1920921820000</v>
      </c>
      <c r="N417" s="1" t="str">
        <f ca="1">IFERROR(__xludf.DUMMYFUNCTION("""COMPUTED_VALUE"""),"EEEFM DE MURININ")</f>
        <v>EEEFM DE MURININ</v>
      </c>
      <c r="O417" s="1"/>
      <c r="P417" s="1"/>
      <c r="Q417" s="1" t="s">
        <v>420</v>
      </c>
    </row>
    <row r="418" spans="1:17" x14ac:dyDescent="0.25">
      <c r="A418" s="2" t="str">
        <f ca="1">IFERROR(__xludf.DUMMYFUNCTION("""COMPUTED_VALUE"""),"REG DE INTEGRA  METROPOLITANA")</f>
        <v>REG DE INTEGRA  METROPOLITANA</v>
      </c>
      <c r="B418" s="1" t="str">
        <f ca="1">IFERROR(__xludf.DUMMYFUNCTION("""COMPUTED_VALUE"""),"DRE BENEVIDES")</f>
        <v>DRE BENEVIDES</v>
      </c>
      <c r="C418" s="2" t="str">
        <f ca="1">IFERROR(__xludf.DUMMYFUNCTION("""COMPUTED_VALUE"""),"DRE - BENEVIDES")</f>
        <v>DRE - BENEVIDES</v>
      </c>
      <c r="D418" s="1"/>
      <c r="E418" s="2" t="str">
        <f ca="1">IFERROR(__xludf.DUMMYFUNCTION("""COMPUTED_VALUE"""),"DRE - BENEVIDES")</f>
        <v>DRE - BENEVIDES</v>
      </c>
      <c r="F418" s="1">
        <f ca="1">IFERROR(__xludf.DUMMYFUNCTION("""COMPUTED_VALUE"""),2)</f>
        <v>2</v>
      </c>
      <c r="G418" s="1" t="str">
        <f ca="1">IFERROR(__xludf.DUMMYFUNCTION("""COMPUTED_VALUE"""),"DRE BENEVIDES")</f>
        <v>DRE BENEVIDES</v>
      </c>
      <c r="H418" s="1" t="str">
        <f ca="1">IFERROR(__xludf.DUMMYFUNCTION("""COMPUTED_VALUE"""),"19A URE - BELEM")</f>
        <v>19A URE - BELEM</v>
      </c>
      <c r="I418" s="2" t="str">
        <f ca="1">IFERROR(__xludf.DUMMYFUNCTION("""COMPUTED_VALUE"""),"Unidade 18")</f>
        <v>Unidade 18</v>
      </c>
      <c r="J418" s="1" t="str">
        <f ca="1">IFERROR(__xludf.DUMMYFUNCTION("""COMPUTED_VALUE"""),"BENEVIDES")</f>
        <v>BENEVIDES</v>
      </c>
      <c r="K418" s="1">
        <f ca="1">IFERROR(__xludf.DUMMYFUNCTION("""COMPUTED_VALUE"""),15043789)</f>
        <v>15043789</v>
      </c>
      <c r="L418" s="2" t="str">
        <f ca="1">IFERROR(__xludf.DUMMYFUNCTION("""COMPUTED_VALUE"""),"001920921780000")</f>
        <v>001920921780000</v>
      </c>
      <c r="M418" s="2" t="str">
        <f ca="1">IFERROR(__xludf.DUMMYFUNCTION("""COMPUTED_VALUE"""),"1920921780000")</f>
        <v>1920921780000</v>
      </c>
      <c r="N418" s="1" t="str">
        <f ca="1">IFERROR(__xludf.DUMMYFUNCTION("""COMPUTED_VALUE"""),"EEEFM DR OTAVIO MEIRA")</f>
        <v>EEEFM DR OTAVIO MEIRA</v>
      </c>
      <c r="O418" s="1"/>
      <c r="P418" s="1"/>
      <c r="Q418" s="1" t="s">
        <v>420</v>
      </c>
    </row>
    <row r="419" spans="1:17" x14ac:dyDescent="0.25">
      <c r="A419" s="2" t="str">
        <f ca="1">IFERROR(__xludf.DUMMYFUNCTION("""COMPUTED_VALUE"""),"REG DE INTEGRA  METROPOLITANA")</f>
        <v>REG DE INTEGRA  METROPOLITANA</v>
      </c>
      <c r="B419" s="1" t="str">
        <f ca="1">IFERROR(__xludf.DUMMYFUNCTION("""COMPUTED_VALUE"""),"DRE BENEVIDES")</f>
        <v>DRE BENEVIDES</v>
      </c>
      <c r="C419" s="2" t="str">
        <f ca="1">IFERROR(__xludf.DUMMYFUNCTION("""COMPUTED_VALUE"""),"DRE - BENEVIDES")</f>
        <v>DRE - BENEVIDES</v>
      </c>
      <c r="D419" s="1"/>
      <c r="E419" s="2" t="str">
        <f ca="1">IFERROR(__xludf.DUMMYFUNCTION("""COMPUTED_VALUE"""),"DRE - BENEVIDES")</f>
        <v>DRE - BENEVIDES</v>
      </c>
      <c r="F419" s="1">
        <f ca="1">IFERROR(__xludf.DUMMYFUNCTION("""COMPUTED_VALUE"""),2)</f>
        <v>2</v>
      </c>
      <c r="G419" s="1" t="str">
        <f ca="1">IFERROR(__xludf.DUMMYFUNCTION("""COMPUTED_VALUE"""),"DRE BENEVIDES")</f>
        <v>DRE BENEVIDES</v>
      </c>
      <c r="H419" s="1" t="str">
        <f ca="1">IFERROR(__xludf.DUMMYFUNCTION("""COMPUTED_VALUE"""),"19A URE - BELEM")</f>
        <v>19A URE - BELEM</v>
      </c>
      <c r="I419" s="2" t="str">
        <f ca="1">IFERROR(__xludf.DUMMYFUNCTION("""COMPUTED_VALUE"""),"Unidade 18")</f>
        <v>Unidade 18</v>
      </c>
      <c r="J419" s="1" t="str">
        <f ca="1">IFERROR(__xludf.DUMMYFUNCTION("""COMPUTED_VALUE"""),"BENEVIDES")</f>
        <v>BENEVIDES</v>
      </c>
      <c r="K419" s="1">
        <f ca="1">IFERROR(__xludf.DUMMYFUNCTION("""COMPUTED_VALUE"""),15043690)</f>
        <v>15043690</v>
      </c>
      <c r="L419" s="2" t="str">
        <f ca="1">IFERROR(__xludf.DUMMYFUNCTION("""COMPUTED_VALUE"""),"001920928810000")</f>
        <v>001920928810000</v>
      </c>
      <c r="M419" s="2" t="str">
        <f ca="1">IFERROR(__xludf.DUMMYFUNCTION("""COMPUTED_VALUE"""),"1920928810000")</f>
        <v>1920928810000</v>
      </c>
      <c r="N419" s="1" t="str">
        <f ca="1">IFERROR(__xludf.DUMMYFUNCTION("""COMPUTED_VALUE"""),"EEEFM JUSCELINO KUBITSCHEK DE OLIVEIRA")</f>
        <v>EEEFM JUSCELINO KUBITSCHEK DE OLIVEIRA</v>
      </c>
      <c r="O419" s="1"/>
      <c r="P419" s="1"/>
      <c r="Q419" s="1" t="s">
        <v>420</v>
      </c>
    </row>
    <row r="420" spans="1:17" x14ac:dyDescent="0.25">
      <c r="A420" s="2" t="str">
        <f ca="1">IFERROR(__xludf.DUMMYFUNCTION("""COMPUTED_VALUE"""),"REG DE INTEGRA  METROPOLITANA")</f>
        <v>REG DE INTEGRA  METROPOLITANA</v>
      </c>
      <c r="B420" s="1" t="str">
        <f ca="1">IFERROR(__xludf.DUMMYFUNCTION("""COMPUTED_VALUE"""),"DRE BENEVIDES")</f>
        <v>DRE BENEVIDES</v>
      </c>
      <c r="C420" s="2" t="str">
        <f ca="1">IFERROR(__xludf.DUMMYFUNCTION("""COMPUTED_VALUE"""),"DRE - BENEVIDES")</f>
        <v>DRE - BENEVIDES</v>
      </c>
      <c r="D420" s="1"/>
      <c r="E420" s="2" t="str">
        <f ca="1">IFERROR(__xludf.DUMMYFUNCTION("""COMPUTED_VALUE"""),"DRE - BENEVIDES")</f>
        <v>DRE - BENEVIDES</v>
      </c>
      <c r="F420" s="1">
        <f ca="1">IFERROR(__xludf.DUMMYFUNCTION("""COMPUTED_VALUE"""),2)</f>
        <v>2</v>
      </c>
      <c r="G420" s="1" t="str">
        <f ca="1">IFERROR(__xludf.DUMMYFUNCTION("""COMPUTED_VALUE"""),"DRE BENEVIDES")</f>
        <v>DRE BENEVIDES</v>
      </c>
      <c r="H420" s="1" t="str">
        <f ca="1">IFERROR(__xludf.DUMMYFUNCTION("""COMPUTED_VALUE"""),"19A URE - BELEM")</f>
        <v>19A URE - BELEM</v>
      </c>
      <c r="I420" s="2" t="str">
        <f ca="1">IFERROR(__xludf.DUMMYFUNCTION("""COMPUTED_VALUE"""),"Unidade 18")</f>
        <v>Unidade 18</v>
      </c>
      <c r="J420" s="1" t="str">
        <f ca="1">IFERROR(__xludf.DUMMYFUNCTION("""COMPUTED_VALUE"""),"BENEVIDES")</f>
        <v>BENEVIDES</v>
      </c>
      <c r="K420" s="1">
        <f ca="1">IFERROR(__xludf.DUMMYFUNCTION("""COMPUTED_VALUE"""),15043720)</f>
        <v>15043720</v>
      </c>
      <c r="L420" s="2" t="str">
        <f ca="1">IFERROR(__xludf.DUMMYFUNCTION("""COMPUTED_VALUE"""),"001920921810000")</f>
        <v>001920921810000</v>
      </c>
      <c r="M420" s="2" t="str">
        <f ca="1">IFERROR(__xludf.DUMMYFUNCTION("""COMPUTED_VALUE"""),"1920921810000")</f>
        <v>1920921810000</v>
      </c>
      <c r="N420" s="1" t="str">
        <f ca="1">IFERROR(__xludf.DUMMYFUNCTION("""COMPUTED_VALUE"""),"EEEFM PROF ANA TELES")</f>
        <v>EEEFM PROF ANA TELES</v>
      </c>
      <c r="O420" s="1"/>
      <c r="P420" s="1"/>
      <c r="Q420" s="1" t="s">
        <v>420</v>
      </c>
    </row>
    <row r="421" spans="1:17" x14ac:dyDescent="0.25">
      <c r="A421" s="2" t="str">
        <f ca="1">IFERROR(__xludf.DUMMYFUNCTION("""COMPUTED_VALUE"""),"REG DE INTEGRA  METROPOLITANA")</f>
        <v>REG DE INTEGRA  METROPOLITANA</v>
      </c>
      <c r="B421" s="1" t="str">
        <f ca="1">IFERROR(__xludf.DUMMYFUNCTION("""COMPUTED_VALUE"""),"DRE BENEVIDES")</f>
        <v>DRE BENEVIDES</v>
      </c>
      <c r="C421" s="2" t="str">
        <f ca="1">IFERROR(__xludf.DUMMYFUNCTION("""COMPUTED_VALUE"""),"DRE - BENEVIDES")</f>
        <v>DRE - BENEVIDES</v>
      </c>
      <c r="D421" s="1"/>
      <c r="E421" s="2" t="str">
        <f ca="1">IFERROR(__xludf.DUMMYFUNCTION("""COMPUTED_VALUE"""),"DRE - BENEVIDES")</f>
        <v>DRE - BENEVIDES</v>
      </c>
      <c r="F421" s="1">
        <f ca="1">IFERROR(__xludf.DUMMYFUNCTION("""COMPUTED_VALUE"""),2)</f>
        <v>2</v>
      </c>
      <c r="G421" s="1" t="str">
        <f ca="1">IFERROR(__xludf.DUMMYFUNCTION("""COMPUTED_VALUE"""),"DRE BENEVIDES")</f>
        <v>DRE BENEVIDES</v>
      </c>
      <c r="H421" s="1" t="str">
        <f ca="1">IFERROR(__xludf.DUMMYFUNCTION("""COMPUTED_VALUE"""),"19A URE - BELEM")</f>
        <v>19A URE - BELEM</v>
      </c>
      <c r="I421" s="2" t="str">
        <f ca="1">IFERROR(__xludf.DUMMYFUNCTION("""COMPUTED_VALUE"""),"Unidade 18")</f>
        <v>Unidade 18</v>
      </c>
      <c r="J421" s="1" t="str">
        <f ca="1">IFERROR(__xludf.DUMMYFUNCTION("""COMPUTED_VALUE"""),"BENEVIDES")</f>
        <v>BENEVIDES</v>
      </c>
      <c r="K421" s="1">
        <f ca="1">IFERROR(__xludf.DUMMYFUNCTION("""COMPUTED_VALUE"""),15043738)</f>
        <v>15043738</v>
      </c>
      <c r="L421" s="2" t="str">
        <f ca="1">IFERROR(__xludf.DUMMYFUNCTION("""COMPUTED_VALUE"""),"001920924870000")</f>
        <v>001920924870000</v>
      </c>
      <c r="M421" s="2" t="str">
        <f ca="1">IFERROR(__xludf.DUMMYFUNCTION("""COMPUTED_VALUE"""),"1920924870000")</f>
        <v>1920924870000</v>
      </c>
      <c r="N421" s="1" t="str">
        <f ca="1">IFERROR(__xludf.DUMMYFUNCTION("""COMPUTED_VALUE"""),"EEEFM PROF DEUSARINA NASCIMENTO  SOUZA")</f>
        <v>EEEFM PROF DEUSARINA NASCIMENTO  SOUZA</v>
      </c>
      <c r="O421" s="1"/>
      <c r="P421" s="1"/>
      <c r="Q421" s="1" t="s">
        <v>420</v>
      </c>
    </row>
    <row r="422" spans="1:17" x14ac:dyDescent="0.25">
      <c r="A422" s="2" t="str">
        <f ca="1">IFERROR(__xludf.DUMMYFUNCTION("""COMPUTED_VALUE"""),"REG DE INTEGRA  METROPOLITANA")</f>
        <v>REG DE INTEGRA  METROPOLITANA</v>
      </c>
      <c r="B422" s="1" t="str">
        <f ca="1">IFERROR(__xludf.DUMMYFUNCTION("""COMPUTED_VALUE"""),"DRE BENEVIDES")</f>
        <v>DRE BENEVIDES</v>
      </c>
      <c r="C422" s="2" t="str">
        <f ca="1">IFERROR(__xludf.DUMMYFUNCTION("""COMPUTED_VALUE"""),"DRE - BENEVIDES")</f>
        <v>DRE - BENEVIDES</v>
      </c>
      <c r="D422" s="1"/>
      <c r="E422" s="2" t="str">
        <f ca="1">IFERROR(__xludf.DUMMYFUNCTION("""COMPUTED_VALUE"""),"DRE - BENEVIDES")</f>
        <v>DRE - BENEVIDES</v>
      </c>
      <c r="F422" s="1">
        <f ca="1">IFERROR(__xludf.DUMMYFUNCTION("""COMPUTED_VALUE"""),2)</f>
        <v>2</v>
      </c>
      <c r="G422" s="1" t="str">
        <f ca="1">IFERROR(__xludf.DUMMYFUNCTION("""COMPUTED_VALUE"""),"DRE BENEVIDES")</f>
        <v>DRE BENEVIDES</v>
      </c>
      <c r="H422" s="1" t="str">
        <f ca="1">IFERROR(__xludf.DUMMYFUNCTION("""COMPUTED_VALUE"""),"19A URE - BELEM")</f>
        <v>19A URE - BELEM</v>
      </c>
      <c r="I422" s="2" t="str">
        <f ca="1">IFERROR(__xludf.DUMMYFUNCTION("""COMPUTED_VALUE"""),"Unidade 18")</f>
        <v>Unidade 18</v>
      </c>
      <c r="J422" s="1" t="str">
        <f ca="1">IFERROR(__xludf.DUMMYFUNCTION("""COMPUTED_VALUE"""),"BENEVIDES")</f>
        <v>BENEVIDES</v>
      </c>
      <c r="K422" s="1">
        <f ca="1">IFERROR(__xludf.DUMMYFUNCTION("""COMPUTED_VALUE"""),15586316)</f>
        <v>15586316</v>
      </c>
      <c r="L422" s="2" t="str">
        <f ca="1">IFERROR(__xludf.DUMMYFUNCTION("""COMPUTED_VALUE"""),"001920937100000")</f>
        <v>001920937100000</v>
      </c>
      <c r="M422" s="2" t="str">
        <f ca="1">IFERROR(__xludf.DUMMYFUNCTION("""COMPUTED_VALUE"""),"1920937100000")</f>
        <v>1920937100000</v>
      </c>
      <c r="N422" s="1" t="str">
        <f ca="1">IFERROR(__xludf.DUMMYFUNCTION("""COMPUTED_VALUE"""),"EEEM PROF RUTH GUIMARAES FERREIRA")</f>
        <v>EEEM PROF RUTH GUIMARAES FERREIRA</v>
      </c>
      <c r="O422" s="1"/>
      <c r="P422" s="1"/>
      <c r="Q422" s="1" t="s">
        <v>420</v>
      </c>
    </row>
    <row r="423" spans="1:17" x14ac:dyDescent="0.25">
      <c r="A423" s="2" t="str">
        <f ca="1">IFERROR(__xludf.DUMMYFUNCTION("""COMPUTED_VALUE"""),"REG DE INTEGRA  METROPOLITANA")</f>
        <v>REG DE INTEGRA  METROPOLITANA</v>
      </c>
      <c r="B423" s="1" t="str">
        <f ca="1">IFERROR(__xludf.DUMMYFUNCTION("""COMPUTED_VALUE"""),"DRE BENEVIDES")</f>
        <v>DRE BENEVIDES</v>
      </c>
      <c r="C423" s="2" t="str">
        <f ca="1">IFERROR(__xludf.DUMMYFUNCTION("""COMPUTED_VALUE"""),"DRE - BENEVIDES")</f>
        <v>DRE - BENEVIDES</v>
      </c>
      <c r="D423" s="1"/>
      <c r="E423" s="2" t="str">
        <f ca="1">IFERROR(__xludf.DUMMYFUNCTION("""COMPUTED_VALUE"""),"DRE - BENEVIDES")</f>
        <v>DRE - BENEVIDES</v>
      </c>
      <c r="F423" s="1">
        <f ca="1">IFERROR(__xludf.DUMMYFUNCTION("""COMPUTED_VALUE"""),2)</f>
        <v>2</v>
      </c>
      <c r="G423" s="1" t="str">
        <f ca="1">IFERROR(__xludf.DUMMYFUNCTION("""COMPUTED_VALUE"""),"DRE BENEVIDES")</f>
        <v>DRE BENEVIDES</v>
      </c>
      <c r="H423" s="1" t="str">
        <f ca="1">IFERROR(__xludf.DUMMYFUNCTION("""COMPUTED_VALUE"""),"19A URE - BELEM")</f>
        <v>19A URE - BELEM</v>
      </c>
      <c r="I423" s="2" t="str">
        <f ca="1">IFERROR(__xludf.DUMMYFUNCTION("""COMPUTED_VALUE"""),"Unidade 18")</f>
        <v>Unidade 18</v>
      </c>
      <c r="J423" s="1" t="str">
        <f ca="1">IFERROR(__xludf.DUMMYFUNCTION("""COMPUTED_VALUE"""),"MARITUBA")</f>
        <v>MARITUBA</v>
      </c>
      <c r="K423" s="1">
        <f ca="1">IFERROR(__xludf.DUMMYFUNCTION("""COMPUTED_VALUE"""),15034690)</f>
        <v>15034690</v>
      </c>
      <c r="L423" s="2" t="str">
        <f ca="1">IFERROR(__xludf.DUMMYFUNCTION("""COMPUTED_VALUE"""),"001920902450000")</f>
        <v>001920902450000</v>
      </c>
      <c r="M423" s="2" t="str">
        <f ca="1">IFERROR(__xludf.DUMMYFUNCTION("""COMPUTED_VALUE"""),"1920902450000")</f>
        <v>1920902450000</v>
      </c>
      <c r="N423" s="1" t="str">
        <f ca="1">IFERROR(__xludf.DUMMYFUNCTION("""COMPUTED_VALUE"""),"EEEF PRESIDENTE DUTRA")</f>
        <v>EEEF PRESIDENTE DUTRA</v>
      </c>
      <c r="O423" s="1"/>
      <c r="P423" s="1"/>
      <c r="Q423" s="1" t="s">
        <v>420</v>
      </c>
    </row>
    <row r="424" spans="1:17" x14ac:dyDescent="0.25">
      <c r="A424" s="2" t="str">
        <f ca="1">IFERROR(__xludf.DUMMYFUNCTION("""COMPUTED_VALUE"""),"REG DE INTEGRA  METROPOLITANA")</f>
        <v>REG DE INTEGRA  METROPOLITANA</v>
      </c>
      <c r="B424" s="1" t="str">
        <f ca="1">IFERROR(__xludf.DUMMYFUNCTION("""COMPUTED_VALUE"""),"DRE BENEVIDES")</f>
        <v>DRE BENEVIDES</v>
      </c>
      <c r="C424" s="2" t="str">
        <f ca="1">IFERROR(__xludf.DUMMYFUNCTION("""COMPUTED_VALUE"""),"DRE - BENEVIDES")</f>
        <v>DRE - BENEVIDES</v>
      </c>
      <c r="D424" s="1"/>
      <c r="E424" s="2" t="str">
        <f ca="1">IFERROR(__xludf.DUMMYFUNCTION("""COMPUTED_VALUE"""),"DRE - BENEVIDES")</f>
        <v>DRE - BENEVIDES</v>
      </c>
      <c r="F424" s="1">
        <f ca="1">IFERROR(__xludf.DUMMYFUNCTION("""COMPUTED_VALUE"""),2)</f>
        <v>2</v>
      </c>
      <c r="G424" s="1" t="str">
        <f ca="1">IFERROR(__xludf.DUMMYFUNCTION("""COMPUTED_VALUE"""),"DRE BENEVIDES")</f>
        <v>DRE BENEVIDES</v>
      </c>
      <c r="H424" s="1" t="str">
        <f ca="1">IFERROR(__xludf.DUMMYFUNCTION("""COMPUTED_VALUE"""),"19A URE - BELEM")</f>
        <v>19A URE - BELEM</v>
      </c>
      <c r="I424" s="2" t="str">
        <f ca="1">IFERROR(__xludf.DUMMYFUNCTION("""COMPUTED_VALUE"""),"Unidade 18")</f>
        <v>Unidade 18</v>
      </c>
      <c r="J424" s="1" t="str">
        <f ca="1">IFERROR(__xludf.DUMMYFUNCTION("""COMPUTED_VALUE"""),"MARITUBA")</f>
        <v>MARITUBA</v>
      </c>
      <c r="K424" s="1">
        <f ca="1">IFERROR(__xludf.DUMMYFUNCTION("""COMPUTED_VALUE"""),15160815)</f>
        <v>15160815</v>
      </c>
      <c r="L424" s="2" t="str">
        <f ca="1">IFERROR(__xludf.DUMMYFUNCTION("""COMPUTED_VALUE"""),"001920937650000")</f>
        <v>001920937650000</v>
      </c>
      <c r="M424" s="2" t="str">
        <f ca="1">IFERROR(__xludf.DUMMYFUNCTION("""COMPUTED_VALUE"""),"1920937650000")</f>
        <v>1920937650000</v>
      </c>
      <c r="N424" s="1" t="str">
        <f ca="1">IFERROR(__xludf.DUMMYFUNCTION("""COMPUTED_VALUE"""),"EEEFM CENTRO DE EDUCACAO PROFISSIONAL DOM ARISTIDES PIROVANO")</f>
        <v>EEEFM CENTRO DE EDUCACAO PROFISSIONAL DOM ARISTIDES PIROVANO</v>
      </c>
      <c r="O424" s="1"/>
      <c r="P424" s="1"/>
      <c r="Q424" s="1" t="s">
        <v>420</v>
      </c>
    </row>
    <row r="425" spans="1:17" x14ac:dyDescent="0.25">
      <c r="A425" s="2" t="str">
        <f ca="1">IFERROR(__xludf.DUMMYFUNCTION("""COMPUTED_VALUE"""),"REG DE INTEGRA  METROPOLITANA")</f>
        <v>REG DE INTEGRA  METROPOLITANA</v>
      </c>
      <c r="B425" s="1" t="str">
        <f ca="1">IFERROR(__xludf.DUMMYFUNCTION("""COMPUTED_VALUE"""),"DRE BENEVIDES")</f>
        <v>DRE BENEVIDES</v>
      </c>
      <c r="C425" s="2" t="str">
        <f ca="1">IFERROR(__xludf.DUMMYFUNCTION("""COMPUTED_VALUE"""),"DRE - BENEVIDES")</f>
        <v>DRE - BENEVIDES</v>
      </c>
      <c r="D425" s="1"/>
      <c r="E425" s="2" t="str">
        <f ca="1">IFERROR(__xludf.DUMMYFUNCTION("""COMPUTED_VALUE"""),"DRE - BENEVIDES")</f>
        <v>DRE - BENEVIDES</v>
      </c>
      <c r="F425" s="1">
        <f ca="1">IFERROR(__xludf.DUMMYFUNCTION("""COMPUTED_VALUE"""),2)</f>
        <v>2</v>
      </c>
      <c r="G425" s="1" t="str">
        <f ca="1">IFERROR(__xludf.DUMMYFUNCTION("""COMPUTED_VALUE"""),"DRE BENEVIDES")</f>
        <v>DRE BENEVIDES</v>
      </c>
      <c r="H425" s="1" t="str">
        <f ca="1">IFERROR(__xludf.DUMMYFUNCTION("""COMPUTED_VALUE"""),"19A URE - BELEM")</f>
        <v>19A URE - BELEM</v>
      </c>
      <c r="I425" s="2" t="str">
        <f ca="1">IFERROR(__xludf.DUMMYFUNCTION("""COMPUTED_VALUE"""),"Unidade 18")</f>
        <v>Unidade 18</v>
      </c>
      <c r="J425" s="1" t="str">
        <f ca="1">IFERROR(__xludf.DUMMYFUNCTION("""COMPUTED_VALUE"""),"MARITUBA")</f>
        <v>MARITUBA</v>
      </c>
      <c r="K425" s="1">
        <f ca="1">IFERROR(__xludf.DUMMYFUNCTION("""COMPUTED_VALUE"""),15043967)</f>
        <v>15043967</v>
      </c>
      <c r="L425" s="2" t="str">
        <f ca="1">IFERROR(__xludf.DUMMYFUNCTION("""COMPUTED_VALUE"""),"001920932970000")</f>
        <v>001920932970000</v>
      </c>
      <c r="M425" s="2" t="str">
        <f ca="1">IFERROR(__xludf.DUMMYFUNCTION("""COMPUTED_VALUE"""),"1920932970000")</f>
        <v>1920932970000</v>
      </c>
      <c r="N425" s="1" t="str">
        <f ca="1">IFERROR(__xludf.DUMMYFUNCTION("""COMPUTED_VALUE"""),"EEEM DOM CALABRIA")</f>
        <v>EEEM DOM CALABRIA</v>
      </c>
      <c r="O425" s="1"/>
      <c r="P425" s="1"/>
      <c r="Q425" s="1" t="s">
        <v>420</v>
      </c>
    </row>
    <row r="426" spans="1:17" x14ac:dyDescent="0.25">
      <c r="A426" s="2" t="str">
        <f ca="1">IFERROR(__xludf.DUMMYFUNCTION("""COMPUTED_VALUE"""),"REG DE INTEGRA  METROPOLITANA")</f>
        <v>REG DE INTEGRA  METROPOLITANA</v>
      </c>
      <c r="B426" s="1" t="str">
        <f ca="1">IFERROR(__xludf.DUMMYFUNCTION("""COMPUTED_VALUE"""),"DRE BENEVIDES")</f>
        <v>DRE BENEVIDES</v>
      </c>
      <c r="C426" s="2" t="str">
        <f ca="1">IFERROR(__xludf.DUMMYFUNCTION("""COMPUTED_VALUE"""),"DRE - BENEVIDES")</f>
        <v>DRE - BENEVIDES</v>
      </c>
      <c r="D426" s="1"/>
      <c r="E426" s="2" t="str">
        <f ca="1">IFERROR(__xludf.DUMMYFUNCTION("""COMPUTED_VALUE"""),"DRE - BENEVIDES")</f>
        <v>DRE - BENEVIDES</v>
      </c>
      <c r="F426" s="1">
        <f ca="1">IFERROR(__xludf.DUMMYFUNCTION("""COMPUTED_VALUE"""),2)</f>
        <v>2</v>
      </c>
      <c r="G426" s="1" t="str">
        <f ca="1">IFERROR(__xludf.DUMMYFUNCTION("""COMPUTED_VALUE"""),"DRE BENEVIDES")</f>
        <v>DRE BENEVIDES</v>
      </c>
      <c r="H426" s="1" t="str">
        <f ca="1">IFERROR(__xludf.DUMMYFUNCTION("""COMPUTED_VALUE"""),"19A URE - BELEM")</f>
        <v>19A URE - BELEM</v>
      </c>
      <c r="I426" s="2" t="str">
        <f ca="1">IFERROR(__xludf.DUMMYFUNCTION("""COMPUTED_VALUE"""),"Unidade 18")</f>
        <v>Unidade 18</v>
      </c>
      <c r="J426" s="1" t="str">
        <f ca="1">IFERROR(__xludf.DUMMYFUNCTION("""COMPUTED_VALUE"""),"MARITUBA")</f>
        <v>MARITUBA</v>
      </c>
      <c r="K426" s="1">
        <f ca="1">IFERROR(__xludf.DUMMYFUNCTION("""COMPUTED_VALUE"""),15577660)</f>
        <v>15577660</v>
      </c>
      <c r="L426" s="2" t="str">
        <f ca="1">IFERROR(__xludf.DUMMYFUNCTION("""COMPUTED_VALUE"""),"001920936220000")</f>
        <v>001920936220000</v>
      </c>
      <c r="M426" s="2" t="str">
        <f ca="1">IFERROR(__xludf.DUMMYFUNCTION("""COMPUTED_VALUE"""),"1920936220000")</f>
        <v>1920936220000</v>
      </c>
      <c r="N426" s="1" t="str">
        <f ca="1">IFERROR(__xludf.DUMMYFUNCTION("""COMPUTED_VALUE"""),"EEEM EDUARDO LAUANDE")</f>
        <v>EEEM EDUARDO LAUANDE</v>
      </c>
      <c r="O426" s="1"/>
      <c r="P426" s="1"/>
      <c r="Q426" s="1" t="s">
        <v>420</v>
      </c>
    </row>
    <row r="427" spans="1:17" x14ac:dyDescent="0.25">
      <c r="A427" s="2" t="str">
        <f ca="1">IFERROR(__xludf.DUMMYFUNCTION("""COMPUTED_VALUE"""),"REG DE INTEGRA  METROPOLITANA")</f>
        <v>REG DE INTEGRA  METROPOLITANA</v>
      </c>
      <c r="B427" s="1" t="str">
        <f ca="1">IFERROR(__xludf.DUMMYFUNCTION("""COMPUTED_VALUE"""),"DRE BENEVIDES")</f>
        <v>DRE BENEVIDES</v>
      </c>
      <c r="C427" s="2" t="str">
        <f ca="1">IFERROR(__xludf.DUMMYFUNCTION("""COMPUTED_VALUE"""),"DRE - BENEVIDES")</f>
        <v>DRE - BENEVIDES</v>
      </c>
      <c r="D427" s="1"/>
      <c r="E427" s="2" t="str">
        <f ca="1">IFERROR(__xludf.DUMMYFUNCTION("""COMPUTED_VALUE"""),"DRE - BENEVIDES")</f>
        <v>DRE - BENEVIDES</v>
      </c>
      <c r="F427" s="1">
        <f ca="1">IFERROR(__xludf.DUMMYFUNCTION("""COMPUTED_VALUE"""),2)</f>
        <v>2</v>
      </c>
      <c r="G427" s="1" t="str">
        <f ca="1">IFERROR(__xludf.DUMMYFUNCTION("""COMPUTED_VALUE"""),"DRE BENEVIDES")</f>
        <v>DRE BENEVIDES</v>
      </c>
      <c r="H427" s="1" t="str">
        <f ca="1">IFERROR(__xludf.DUMMYFUNCTION("""COMPUTED_VALUE"""),"19A URE - BELEM")</f>
        <v>19A URE - BELEM</v>
      </c>
      <c r="I427" s="2" t="str">
        <f ca="1">IFERROR(__xludf.DUMMYFUNCTION("""COMPUTED_VALUE"""),"Unidade 18")</f>
        <v>Unidade 18</v>
      </c>
      <c r="J427" s="1" t="str">
        <f ca="1">IFERROR(__xludf.DUMMYFUNCTION("""COMPUTED_VALUE"""),"MARITUBA")</f>
        <v>MARITUBA</v>
      </c>
      <c r="K427" s="1">
        <f ca="1">IFERROR(__xludf.DUMMYFUNCTION("""COMPUTED_VALUE"""),15034429)</f>
        <v>15034429</v>
      </c>
      <c r="L427" s="2" t="str">
        <f ca="1">IFERROR(__xludf.DUMMYFUNCTION("""COMPUTED_VALUE"""),"001920902680000")</f>
        <v>001920902680000</v>
      </c>
      <c r="M427" s="2" t="str">
        <f ca="1">IFERROR(__xludf.DUMMYFUNCTION("""COMPUTED_VALUE"""),"1920902680000")</f>
        <v>1920902680000</v>
      </c>
      <c r="N427" s="1" t="str">
        <f ca="1">IFERROR(__xludf.DUMMYFUNCTION("""COMPUTED_VALUE"""),"EEEM FERNANDO FERRARI")</f>
        <v>EEEM FERNANDO FERRARI</v>
      </c>
      <c r="O427" s="1"/>
      <c r="P427" s="1"/>
      <c r="Q427" s="1" t="s">
        <v>420</v>
      </c>
    </row>
    <row r="428" spans="1:17" x14ac:dyDescent="0.25">
      <c r="A428" s="2" t="str">
        <f ca="1">IFERROR(__xludf.DUMMYFUNCTION("""COMPUTED_VALUE"""),"REG DE INTEGRA  METROPOLITANA")</f>
        <v>REG DE INTEGRA  METROPOLITANA</v>
      </c>
      <c r="B428" s="1" t="str">
        <f ca="1">IFERROR(__xludf.DUMMYFUNCTION("""COMPUTED_VALUE"""),"DRE BENEVIDES")</f>
        <v>DRE BENEVIDES</v>
      </c>
      <c r="C428" s="2" t="str">
        <f ca="1">IFERROR(__xludf.DUMMYFUNCTION("""COMPUTED_VALUE"""),"DRE - BENEVIDES")</f>
        <v>DRE - BENEVIDES</v>
      </c>
      <c r="D428" s="1"/>
      <c r="E428" s="2" t="str">
        <f ca="1">IFERROR(__xludf.DUMMYFUNCTION("""COMPUTED_VALUE"""),"DRE - BENEVIDES")</f>
        <v>DRE - BENEVIDES</v>
      </c>
      <c r="F428" s="1">
        <f ca="1">IFERROR(__xludf.DUMMYFUNCTION("""COMPUTED_VALUE"""),2)</f>
        <v>2</v>
      </c>
      <c r="G428" s="1" t="str">
        <f ca="1">IFERROR(__xludf.DUMMYFUNCTION("""COMPUTED_VALUE"""),"DRE BENEVIDES")</f>
        <v>DRE BENEVIDES</v>
      </c>
      <c r="H428" s="1" t="str">
        <f ca="1">IFERROR(__xludf.DUMMYFUNCTION("""COMPUTED_VALUE"""),"19A URE - BELEM")</f>
        <v>19A URE - BELEM</v>
      </c>
      <c r="I428" s="2" t="str">
        <f ca="1">IFERROR(__xludf.DUMMYFUNCTION("""COMPUTED_VALUE"""),"Unidade 18")</f>
        <v>Unidade 18</v>
      </c>
      <c r="J428" s="1" t="str">
        <f ca="1">IFERROR(__xludf.DUMMYFUNCTION("""COMPUTED_VALUE"""),"MARITUBA")</f>
        <v>MARITUBA</v>
      </c>
      <c r="K428" s="1">
        <f ca="1">IFERROR(__xludf.DUMMYFUNCTION("""COMPUTED_VALUE"""),15140591)</f>
        <v>15140591</v>
      </c>
      <c r="L428" s="2" t="str">
        <f ca="1">IFERROR(__xludf.DUMMYFUNCTION("""COMPUTED_VALUE"""),"001920933850000")</f>
        <v>001920933850000</v>
      </c>
      <c r="M428" s="2" t="str">
        <f ca="1">IFERROR(__xludf.DUMMYFUNCTION("""COMPUTED_VALUE"""),"1920933850000")</f>
        <v>1920933850000</v>
      </c>
      <c r="N428" s="1" t="str">
        <f ca="1">IFERROR(__xludf.DUMMYFUNCTION("""COMPUTED_VALUE"""),"EEEM NOSSA SENHORA DO ROSARIO")</f>
        <v>EEEM NOSSA SENHORA DO ROSARIO</v>
      </c>
      <c r="O428" s="1"/>
      <c r="P428" s="1"/>
      <c r="Q428" s="1" t="s">
        <v>420</v>
      </c>
    </row>
    <row r="429" spans="1:17" x14ac:dyDescent="0.25">
      <c r="A429" s="2" t="str">
        <f ca="1">IFERROR(__xludf.DUMMYFUNCTION("""COMPUTED_VALUE"""),"REG DE INTEGRA  METROPOLITANA")</f>
        <v>REG DE INTEGRA  METROPOLITANA</v>
      </c>
      <c r="B429" s="1" t="str">
        <f ca="1">IFERROR(__xludf.DUMMYFUNCTION("""COMPUTED_VALUE"""),"DRE BENEVIDES")</f>
        <v>DRE BENEVIDES</v>
      </c>
      <c r="C429" s="2" t="str">
        <f ca="1">IFERROR(__xludf.DUMMYFUNCTION("""COMPUTED_VALUE"""),"DRE - BENEVIDES")</f>
        <v>DRE - BENEVIDES</v>
      </c>
      <c r="D429" s="1"/>
      <c r="E429" s="2" t="str">
        <f ca="1">IFERROR(__xludf.DUMMYFUNCTION("""COMPUTED_VALUE"""),"DRE - BENEVIDES")</f>
        <v>DRE - BENEVIDES</v>
      </c>
      <c r="F429" s="1">
        <f ca="1">IFERROR(__xludf.DUMMYFUNCTION("""COMPUTED_VALUE"""),2)</f>
        <v>2</v>
      </c>
      <c r="G429" s="1" t="str">
        <f ca="1">IFERROR(__xludf.DUMMYFUNCTION("""COMPUTED_VALUE"""),"DRE BENEVIDES")</f>
        <v>DRE BENEVIDES</v>
      </c>
      <c r="H429" s="1" t="str">
        <f ca="1">IFERROR(__xludf.DUMMYFUNCTION("""COMPUTED_VALUE"""),"19A URE - BELEM")</f>
        <v>19A URE - BELEM</v>
      </c>
      <c r="I429" s="2" t="str">
        <f ca="1">IFERROR(__xludf.DUMMYFUNCTION("""COMPUTED_VALUE"""),"Unidade 18")</f>
        <v>Unidade 18</v>
      </c>
      <c r="J429" s="1" t="str">
        <f ca="1">IFERROR(__xludf.DUMMYFUNCTION("""COMPUTED_VALUE"""),"MARITUBA")</f>
        <v>MARITUBA</v>
      </c>
      <c r="K429" s="1">
        <f ca="1">IFERROR(__xludf.DUMMYFUNCTION("""COMPUTED_VALUE"""),15034488)</f>
        <v>15034488</v>
      </c>
      <c r="L429" s="2" t="str">
        <f ca="1">IFERROR(__xludf.DUMMYFUNCTION("""COMPUTED_VALUE"""),"001920902430000")</f>
        <v>001920902430000</v>
      </c>
      <c r="M429" s="2" t="str">
        <f ca="1">IFERROR(__xludf.DUMMYFUNCTION("""COMPUTED_VALUE"""),"1920902430000")</f>
        <v>1920902430000</v>
      </c>
      <c r="N429" s="1" t="str">
        <f ca="1">IFERROR(__xludf.DUMMYFUNCTION("""COMPUTED_VALUE"""),"EEEM PROF JOSE EDMUNDO QUEIROZ")</f>
        <v>EEEM PROF JOSE EDMUNDO QUEIROZ</v>
      </c>
      <c r="O429" s="1"/>
      <c r="P429" s="1"/>
      <c r="Q429" s="1" t="s">
        <v>420</v>
      </c>
    </row>
    <row r="430" spans="1:17" x14ac:dyDescent="0.25">
      <c r="A430" s="2" t="str">
        <f ca="1">IFERROR(__xludf.DUMMYFUNCTION("""COMPUTED_VALUE"""),"REG DE INTEGRA  METROPOLITANA")</f>
        <v>REG DE INTEGRA  METROPOLITANA</v>
      </c>
      <c r="B430" s="1" t="str">
        <f ca="1">IFERROR(__xludf.DUMMYFUNCTION("""COMPUTED_VALUE"""),"DRE BENEVIDES")</f>
        <v>DRE BENEVIDES</v>
      </c>
      <c r="C430" s="2" t="str">
        <f ca="1">IFERROR(__xludf.DUMMYFUNCTION("""COMPUTED_VALUE"""),"DRE - BENEVIDES")</f>
        <v>DRE - BENEVIDES</v>
      </c>
      <c r="D430" s="1"/>
      <c r="E430" s="2" t="str">
        <f ca="1">IFERROR(__xludf.DUMMYFUNCTION("""COMPUTED_VALUE"""),"DRE - BENEVIDES")</f>
        <v>DRE - BENEVIDES</v>
      </c>
      <c r="F430" s="1">
        <f ca="1">IFERROR(__xludf.DUMMYFUNCTION("""COMPUTED_VALUE"""),2)</f>
        <v>2</v>
      </c>
      <c r="G430" s="1" t="str">
        <f ca="1">IFERROR(__xludf.DUMMYFUNCTION("""COMPUTED_VALUE"""),"DRE BENEVIDES")</f>
        <v>DRE BENEVIDES</v>
      </c>
      <c r="H430" s="1" t="str">
        <f ca="1">IFERROR(__xludf.DUMMYFUNCTION("""COMPUTED_VALUE"""),"19A URE - BELEM")</f>
        <v>19A URE - BELEM</v>
      </c>
      <c r="I430" s="2" t="str">
        <f ca="1">IFERROR(__xludf.DUMMYFUNCTION("""COMPUTED_VALUE"""),"Unidade 18")</f>
        <v>Unidade 18</v>
      </c>
      <c r="J430" s="1" t="str">
        <f ca="1">IFERROR(__xludf.DUMMYFUNCTION("""COMPUTED_VALUE"""),"MARITUBA")</f>
        <v>MARITUBA</v>
      </c>
      <c r="K430" s="1">
        <f ca="1">IFERROR(__xludf.DUMMYFUNCTION("""COMPUTED_VALUE"""),15043630)</f>
        <v>15043630</v>
      </c>
      <c r="L430" s="2" t="str">
        <f ca="1">IFERROR(__xludf.DUMMYFUNCTION("""COMPUTED_VALUE"""),"001920931370000")</f>
        <v>001920931370000</v>
      </c>
      <c r="M430" s="2" t="str">
        <f ca="1">IFERROR(__xludf.DUMMYFUNCTION("""COMPUTED_VALUE"""),"1920931370000")</f>
        <v>1920931370000</v>
      </c>
      <c r="N430" s="1" t="str">
        <f ca="1">IFERROR(__xludf.DUMMYFUNCTION("""COMPUTED_VALUE"""),"EEEM SANTA TEREZA DAVILA")</f>
        <v>EEEM SANTA TEREZA DAVILA</v>
      </c>
      <c r="O430" s="1"/>
      <c r="P430" s="1"/>
      <c r="Q430" s="1" t="s">
        <v>420</v>
      </c>
    </row>
    <row r="431" spans="1:17" x14ac:dyDescent="0.25">
      <c r="A431" s="2" t="str">
        <f ca="1">IFERROR(__xludf.DUMMYFUNCTION("""COMPUTED_VALUE"""),"REG DE INTEGRA DO RIO CAITE")</f>
        <v>REG DE INTEGRA DO RIO CAITE</v>
      </c>
      <c r="B431" s="1" t="str">
        <f ca="1">IFERROR(__xludf.DUMMYFUNCTION("""COMPUTED_VALUE"""),"DRE BRAGANCA")</f>
        <v>DRE BRAGANCA</v>
      </c>
      <c r="C431" s="2" t="str">
        <f ca="1">IFERROR(__xludf.DUMMYFUNCTION("""COMPUTED_VALUE"""),"DRE - BRAGANCA")</f>
        <v>DRE - BRAGANCA</v>
      </c>
      <c r="D431" s="1"/>
      <c r="E431" s="2" t="str">
        <f ca="1">IFERROR(__xludf.DUMMYFUNCTION("""COMPUTED_VALUE"""),"DRE - BRAGANCA")</f>
        <v>DRE - BRAGANCA</v>
      </c>
      <c r="F431" s="1">
        <f ca="1">IFERROR(__xludf.DUMMYFUNCTION("""COMPUTED_VALUE"""),3)</f>
        <v>3</v>
      </c>
      <c r="G431" s="1"/>
      <c r="H431" s="1" t="str">
        <f ca="1">IFERROR(__xludf.DUMMYFUNCTION("""COMPUTED_VALUE"""),"01A URE - BRAGANCA")</f>
        <v>01A URE - BRAGANCA</v>
      </c>
      <c r="I431" s="1"/>
      <c r="J431" s="1" t="str">
        <f ca="1">IFERROR(__xludf.DUMMYFUNCTION("""COMPUTED_VALUE"""),"AUGUSTO CORREA")</f>
        <v>AUGUSTO CORREA</v>
      </c>
      <c r="K431" s="1">
        <f ca="1">IFERROR(__xludf.DUMMYFUNCTION("""COMPUTED_VALUE"""),15177394)</f>
        <v>15177394</v>
      </c>
      <c r="L431" s="2" t="str">
        <f ca="1">IFERROR(__xludf.DUMMYFUNCTION("""COMPUTED_VALUE"""),"001920928040001")</f>
        <v>001920928040001</v>
      </c>
      <c r="M431" s="2" t="str">
        <f ca="1">IFERROR(__xludf.DUMMYFUNCTION("""COMPUTED_VALUE"""),"1920928040001")</f>
        <v>1920928040001</v>
      </c>
      <c r="N431" s="1" t="str">
        <f ca="1">IFERROR(__xludf.DUMMYFUNCTION("""COMPUTED_VALUE"""),"ANEXO RURAL BENEDITO CARDOSO DE ATHAYDE)")</f>
        <v>ANEXO RURAL BENEDITO CARDOSO DE ATHAYDE)</v>
      </c>
      <c r="O431" s="1"/>
      <c r="P431" s="1"/>
      <c r="Q431" s="1" t="s">
        <v>443</v>
      </c>
    </row>
    <row r="432" spans="1:17" x14ac:dyDescent="0.25">
      <c r="A432" s="2" t="str">
        <f ca="1">IFERROR(__xludf.DUMMYFUNCTION("""COMPUTED_VALUE"""),"REG DE INTEGRA DO RIO CAITE")</f>
        <v>REG DE INTEGRA DO RIO CAITE</v>
      </c>
      <c r="B432" s="1" t="str">
        <f ca="1">IFERROR(__xludf.DUMMYFUNCTION("""COMPUTED_VALUE"""),"DRE BRAGANCA")</f>
        <v>DRE BRAGANCA</v>
      </c>
      <c r="C432" s="2" t="str">
        <f ca="1">IFERROR(__xludf.DUMMYFUNCTION("""COMPUTED_VALUE"""),"DRE - BRAGANCA")</f>
        <v>DRE - BRAGANCA</v>
      </c>
      <c r="D432" s="1"/>
      <c r="E432" s="2" t="str">
        <f ca="1">IFERROR(__xludf.DUMMYFUNCTION("""COMPUTED_VALUE"""),"DRE - BRAGANCA")</f>
        <v>DRE - BRAGANCA</v>
      </c>
      <c r="F432" s="1">
        <f ca="1">IFERROR(__xludf.DUMMYFUNCTION("""COMPUTED_VALUE"""),3)</f>
        <v>3</v>
      </c>
      <c r="G432" s="1" t="str">
        <f ca="1">IFERROR(__xludf.DUMMYFUNCTION("""COMPUTED_VALUE"""),"DRE BRAGANCA")</f>
        <v>DRE BRAGANCA</v>
      </c>
      <c r="H432" s="1" t="str">
        <f ca="1">IFERROR(__xludf.DUMMYFUNCTION("""COMPUTED_VALUE"""),"01A URE - BRAGANCA")</f>
        <v>01A URE - BRAGANCA</v>
      </c>
      <c r="I432" s="1"/>
      <c r="J432" s="1" t="str">
        <f ca="1">IFERROR(__xludf.DUMMYFUNCTION("""COMPUTED_VALUE"""),"AUGUSTO CORREA")</f>
        <v>AUGUSTO CORREA</v>
      </c>
      <c r="K432" s="1">
        <f ca="1">IFERROR(__xludf.DUMMYFUNCTION("""COMPUTED_VALUE"""),15055582)</f>
        <v>15055582</v>
      </c>
      <c r="L432" s="2" t="str">
        <f ca="1">IFERROR(__xludf.DUMMYFUNCTION("""COMPUTED_VALUE"""),"001920914550000")</f>
        <v>001920914550000</v>
      </c>
      <c r="M432" s="2" t="str">
        <f ca="1">IFERROR(__xludf.DUMMYFUNCTION("""COMPUTED_VALUE"""),"1920914550000")</f>
        <v>1920914550000</v>
      </c>
      <c r="N432" s="1" t="str">
        <f ca="1">IFERROR(__xludf.DUMMYFUNCTION("""COMPUTED_VALUE"""),"EEEM ANDRE ALVES")</f>
        <v>EEEM ANDRE ALVES</v>
      </c>
      <c r="O432" s="1"/>
      <c r="P432" s="1"/>
      <c r="Q432" s="1" t="s">
        <v>443</v>
      </c>
    </row>
    <row r="433" spans="1:17" x14ac:dyDescent="0.25">
      <c r="A433" s="2" t="str">
        <f ca="1">IFERROR(__xludf.DUMMYFUNCTION("""COMPUTED_VALUE"""),"REG DE INTEGRA DO RIO CAITE")</f>
        <v>REG DE INTEGRA DO RIO CAITE</v>
      </c>
      <c r="B433" s="1" t="str">
        <f ca="1">IFERROR(__xludf.DUMMYFUNCTION("""COMPUTED_VALUE"""),"DRE BRAGANCA")</f>
        <v>DRE BRAGANCA</v>
      </c>
      <c r="C433" s="2" t="str">
        <f ca="1">IFERROR(__xludf.DUMMYFUNCTION("""COMPUTED_VALUE"""),"DRE - BRAGANCA")</f>
        <v>DRE - BRAGANCA</v>
      </c>
      <c r="D433" s="1"/>
      <c r="E433" s="2" t="str">
        <f ca="1">IFERROR(__xludf.DUMMYFUNCTION("""COMPUTED_VALUE"""),"DRE - BRAGANCA")</f>
        <v>DRE - BRAGANCA</v>
      </c>
      <c r="F433" s="1">
        <f ca="1">IFERROR(__xludf.DUMMYFUNCTION("""COMPUTED_VALUE"""),3)</f>
        <v>3</v>
      </c>
      <c r="G433" s="1" t="str">
        <f ca="1">IFERROR(__xludf.DUMMYFUNCTION("""COMPUTED_VALUE"""),"DRE BRAGANCA")</f>
        <v>DRE BRAGANCA</v>
      </c>
      <c r="H433" s="1" t="str">
        <f ca="1">IFERROR(__xludf.DUMMYFUNCTION("""COMPUTED_VALUE"""),"01A URE - BRAGANCA")</f>
        <v>01A URE - BRAGANCA</v>
      </c>
      <c r="I433" s="1"/>
      <c r="J433" s="1" t="str">
        <f ca="1">IFERROR(__xludf.DUMMYFUNCTION("""COMPUTED_VALUE"""),"AUGUSTO CORREA")</f>
        <v>AUGUSTO CORREA</v>
      </c>
      <c r="K433" s="1">
        <f ca="1">IFERROR(__xludf.DUMMYFUNCTION("""COMPUTED_VALUE"""),15550079)</f>
        <v>15550079</v>
      </c>
      <c r="L433" s="2" t="str">
        <f ca="1">IFERROR(__xludf.DUMMYFUNCTION("""COMPUTED_VALUE"""),"001920928040000")</f>
        <v>001920928040000</v>
      </c>
      <c r="M433" s="2" t="str">
        <f ca="1">IFERROR(__xludf.DUMMYFUNCTION("""COMPUTED_VALUE"""),"1920928040000")</f>
        <v>1920928040000</v>
      </c>
      <c r="N433" s="1" t="str">
        <f ca="1">IFERROR(__xludf.DUMMYFUNCTION("""COMPUTED_VALUE"""),"EEEM BENEDITO CARDOSO DE ATHAYDE")</f>
        <v>EEEM BENEDITO CARDOSO DE ATHAYDE</v>
      </c>
      <c r="O433" s="1"/>
      <c r="P433" s="1"/>
      <c r="Q433" s="1" t="s">
        <v>443</v>
      </c>
    </row>
    <row r="434" spans="1:17" x14ac:dyDescent="0.25">
      <c r="A434" s="2" t="str">
        <f ca="1">IFERROR(__xludf.DUMMYFUNCTION("""COMPUTED_VALUE"""),"REG DE INTEGRA DO RIO CAITE")</f>
        <v>REG DE INTEGRA DO RIO CAITE</v>
      </c>
      <c r="B434" s="1" t="str">
        <f ca="1">IFERROR(__xludf.DUMMYFUNCTION("""COMPUTED_VALUE"""),"DRE BRAGANCA")</f>
        <v>DRE BRAGANCA</v>
      </c>
      <c r="C434" s="2" t="str">
        <f ca="1">IFERROR(__xludf.DUMMYFUNCTION("""COMPUTED_VALUE"""),"DRE - BRAGANCA")</f>
        <v>DRE - BRAGANCA</v>
      </c>
      <c r="D434" s="1"/>
      <c r="E434" s="2" t="str">
        <f ca="1">IFERROR(__xludf.DUMMYFUNCTION("""COMPUTED_VALUE"""),"DRE - BRAGANCA")</f>
        <v>DRE - BRAGANCA</v>
      </c>
      <c r="F434" s="1">
        <f ca="1">IFERROR(__xludf.DUMMYFUNCTION("""COMPUTED_VALUE"""),3)</f>
        <v>3</v>
      </c>
      <c r="G434" s="1" t="str">
        <f ca="1">IFERROR(__xludf.DUMMYFUNCTION("""COMPUTED_VALUE"""),"DRE BRAGANCA")</f>
        <v>DRE BRAGANCA</v>
      </c>
      <c r="H434" s="1" t="str">
        <f ca="1">IFERROR(__xludf.DUMMYFUNCTION("""COMPUTED_VALUE"""),"01A URE - BRAGANCA")</f>
        <v>01A URE - BRAGANCA</v>
      </c>
      <c r="I434" s="1"/>
      <c r="J434" s="1" t="str">
        <f ca="1">IFERROR(__xludf.DUMMYFUNCTION("""COMPUTED_VALUE"""),"AUGUSTO CORREA")</f>
        <v>AUGUSTO CORREA</v>
      </c>
      <c r="K434" s="1">
        <f ca="1">IFERROR(__xludf.DUMMYFUNCTION("""COMPUTED_VALUE"""),15055906)</f>
        <v>15055906</v>
      </c>
      <c r="L434" s="2" t="str">
        <f ca="1">IFERROR(__xludf.DUMMYFUNCTION("""COMPUTED_VALUE"""),"001920914540000")</f>
        <v>001920914540000</v>
      </c>
      <c r="M434" s="2" t="str">
        <f ca="1">IFERROR(__xludf.DUMMYFUNCTION("""COMPUTED_VALUE"""),"1920914540000")</f>
        <v>1920914540000</v>
      </c>
      <c r="N434" s="1" t="str">
        <f ca="1">IFERROR(__xludf.DUMMYFUNCTION("""COMPUTED_VALUE"""),"EEEM EMILIANO PICANCO DA COSTA")</f>
        <v>EEEM EMILIANO PICANCO DA COSTA</v>
      </c>
      <c r="O434" s="1"/>
      <c r="P434" s="1"/>
      <c r="Q434" s="1" t="s">
        <v>443</v>
      </c>
    </row>
    <row r="435" spans="1:17" x14ac:dyDescent="0.25">
      <c r="A435" s="2" t="str">
        <f ca="1">IFERROR(__xludf.DUMMYFUNCTION("""COMPUTED_VALUE"""),"REG DE INTEGRA DO RIO CAITE")</f>
        <v>REG DE INTEGRA DO RIO CAITE</v>
      </c>
      <c r="B435" s="1" t="str">
        <f ca="1">IFERROR(__xludf.DUMMYFUNCTION("""COMPUTED_VALUE"""),"DRE BRAGANCA")</f>
        <v>DRE BRAGANCA</v>
      </c>
      <c r="C435" s="2" t="str">
        <f ca="1">IFERROR(__xludf.DUMMYFUNCTION("""COMPUTED_VALUE"""),"DRE - BRAGANCA")</f>
        <v>DRE - BRAGANCA</v>
      </c>
      <c r="D435" s="1"/>
      <c r="E435" s="2" t="str">
        <f ca="1">IFERROR(__xludf.DUMMYFUNCTION("""COMPUTED_VALUE"""),"DRE - BRAGANCA")</f>
        <v>DRE - BRAGANCA</v>
      </c>
      <c r="F435" s="1">
        <f ca="1">IFERROR(__xludf.DUMMYFUNCTION("""COMPUTED_VALUE"""),3)</f>
        <v>3</v>
      </c>
      <c r="G435" s="1" t="str">
        <f ca="1">IFERROR(__xludf.DUMMYFUNCTION("""COMPUTED_VALUE"""),"DRE BRAGANCA")</f>
        <v>DRE BRAGANCA</v>
      </c>
      <c r="H435" s="1" t="str">
        <f ca="1">IFERROR(__xludf.DUMMYFUNCTION("""COMPUTED_VALUE"""),"01A URE - BRAGANCA")</f>
        <v>01A URE - BRAGANCA</v>
      </c>
      <c r="I435" s="1"/>
      <c r="J435" s="1" t="str">
        <f ca="1">IFERROR(__xludf.DUMMYFUNCTION("""COMPUTED_VALUE"""),"AUGUSTO CORREA")</f>
        <v>AUGUSTO CORREA</v>
      </c>
      <c r="K435" s="1">
        <f ca="1">IFERROR(__xludf.DUMMYFUNCTION("""COMPUTED_VALUE"""),15054900)</f>
        <v>15054900</v>
      </c>
      <c r="L435" s="2" t="str">
        <f ca="1">IFERROR(__xludf.DUMMYFUNCTION("""COMPUTED_VALUE"""),"001920914420000")</f>
        <v>001920914420000</v>
      </c>
      <c r="M435" s="2" t="str">
        <f ca="1">IFERROR(__xludf.DUMMYFUNCTION("""COMPUTED_VALUE"""),"1920914420000")</f>
        <v>1920914420000</v>
      </c>
      <c r="N435" s="1" t="str">
        <f ca="1">IFERROR(__xludf.DUMMYFUNCTION("""COMPUTED_VALUE"""),"EEEM PROF GALVAO")</f>
        <v>EEEM PROF GALVAO</v>
      </c>
      <c r="O435" s="1"/>
      <c r="P435" s="1"/>
      <c r="Q435" s="1" t="s">
        <v>443</v>
      </c>
    </row>
    <row r="436" spans="1:17" x14ac:dyDescent="0.25">
      <c r="A436" s="2" t="str">
        <f ca="1">IFERROR(__xludf.DUMMYFUNCTION("""COMPUTED_VALUE"""),"REG DE INTEGRA DO RIO CAITE")</f>
        <v>REG DE INTEGRA DO RIO CAITE</v>
      </c>
      <c r="B436" s="1" t="str">
        <f ca="1">IFERROR(__xludf.DUMMYFUNCTION("""COMPUTED_VALUE"""),"DRE BRAGANCA")</f>
        <v>DRE BRAGANCA</v>
      </c>
      <c r="C436" s="2" t="str">
        <f ca="1">IFERROR(__xludf.DUMMYFUNCTION("""COMPUTED_VALUE"""),"DRE - BRAGANCA")</f>
        <v>DRE - BRAGANCA</v>
      </c>
      <c r="D436" s="1"/>
      <c r="E436" s="2" t="str">
        <f ca="1">IFERROR(__xludf.DUMMYFUNCTION("""COMPUTED_VALUE"""),"DRE - BRAGANCA")</f>
        <v>DRE - BRAGANCA</v>
      </c>
      <c r="F436" s="1"/>
      <c r="G436" s="1"/>
      <c r="H436" s="1" t="str">
        <f ca="1">IFERROR(__xludf.DUMMYFUNCTION("""COMPUTED_VALUE"""),"01A URE - BRAGANCA")</f>
        <v>01A URE - BRAGANCA</v>
      </c>
      <c r="I436" s="1"/>
      <c r="J436" s="1" t="str">
        <f ca="1">IFERROR(__xludf.DUMMYFUNCTION("""COMPUTED_VALUE"""),"AUGUSTO CORREA")</f>
        <v>AUGUSTO CORREA</v>
      </c>
      <c r="K436" s="1"/>
      <c r="L436" s="2" t="str">
        <f ca="1">IFERROR(__xludf.DUMMYFUNCTION("""COMPUTED_VALUE"""),"001920961000000")</f>
        <v>001920961000000</v>
      </c>
      <c r="M436" s="2" t="str">
        <f ca="1">IFERROR(__xludf.DUMMYFUNCTION("""COMPUTED_VALUE"""),"1920961000000")</f>
        <v>1920961000000</v>
      </c>
      <c r="N436" s="1" t="str">
        <f ca="1">IFERROR(__xludf.DUMMYFUNCTION("""COMPUTED_VALUE"""),"ESCOLA ESTADUAL RURAL DE AUGUSTO CORREA")</f>
        <v>ESCOLA ESTADUAL RURAL DE AUGUSTO CORREA</v>
      </c>
      <c r="O436" s="1"/>
      <c r="P436" s="1"/>
      <c r="Q436" s="1" t="s">
        <v>443</v>
      </c>
    </row>
    <row r="437" spans="1:17" x14ac:dyDescent="0.25">
      <c r="A437" s="2" t="str">
        <f ca="1">IFERROR(__xludf.DUMMYFUNCTION("""COMPUTED_VALUE"""),"REG DE INTEGRA DO RIO CAITE")</f>
        <v>REG DE INTEGRA DO RIO CAITE</v>
      </c>
      <c r="B437" s="1" t="str">
        <f ca="1">IFERROR(__xludf.DUMMYFUNCTION("""COMPUTED_VALUE"""),"DRE BRAGANCA")</f>
        <v>DRE BRAGANCA</v>
      </c>
      <c r="C437" s="2" t="str">
        <f ca="1">IFERROR(__xludf.DUMMYFUNCTION("""COMPUTED_VALUE"""),"DRE - BRAGANCA")</f>
        <v>DRE - BRAGANCA</v>
      </c>
      <c r="D437" s="1"/>
      <c r="E437" s="2" t="str">
        <f ca="1">IFERROR(__xludf.DUMMYFUNCTION("""COMPUTED_VALUE"""),"DRE - BRAGANCA")</f>
        <v>DRE - BRAGANCA</v>
      </c>
      <c r="F437" s="1">
        <f ca="1">IFERROR(__xludf.DUMMYFUNCTION("""COMPUTED_VALUE"""),3)</f>
        <v>3</v>
      </c>
      <c r="G437" s="1" t="str">
        <f ca="1">IFERROR(__xludf.DUMMYFUNCTION("""COMPUTED_VALUE"""),"DRE BRAGANCA")</f>
        <v>DRE BRAGANCA</v>
      </c>
      <c r="H437" s="1" t="str">
        <f ca="1">IFERROR(__xludf.DUMMYFUNCTION("""COMPUTED_VALUE"""),"01A URE - BRAGANCA")</f>
        <v>01A URE - BRAGANCA</v>
      </c>
      <c r="I437" s="1"/>
      <c r="J437" s="1" t="str">
        <f ca="1">IFERROR(__xludf.DUMMYFUNCTION("""COMPUTED_VALUE"""),"BRAGANCA")</f>
        <v>BRAGANCA</v>
      </c>
      <c r="K437" s="1"/>
      <c r="L437" s="2" t="str">
        <f ca="1">IFERROR(__xludf.DUMMYFUNCTION("""COMPUTED_VALUE"""),"001920900010000")</f>
        <v>001920900010000</v>
      </c>
      <c r="M437" s="2" t="str">
        <f ca="1">IFERROR(__xludf.DUMMYFUNCTION("""COMPUTED_VALUE"""),"1920900010000")</f>
        <v>1920900010000</v>
      </c>
      <c r="N437" s="1" t="str">
        <f ca="1">IFERROR(__xludf.DUMMYFUNCTION("""COMPUTED_VALUE"""),"1 URE BRAGANCA")</f>
        <v>1 URE BRAGANCA</v>
      </c>
      <c r="O437" s="1"/>
      <c r="P437" s="1"/>
      <c r="Q437" s="1" t="s">
        <v>443</v>
      </c>
    </row>
    <row r="438" spans="1:17" x14ac:dyDescent="0.25">
      <c r="A438" s="2" t="str">
        <f ca="1">IFERROR(__xludf.DUMMYFUNCTION("""COMPUTED_VALUE"""),"REG DE INTEGRA DO RIO CAITE")</f>
        <v>REG DE INTEGRA DO RIO CAITE</v>
      </c>
      <c r="B438" s="1" t="str">
        <f ca="1">IFERROR(__xludf.DUMMYFUNCTION("""COMPUTED_VALUE"""),"DRE BRAGANCA")</f>
        <v>DRE BRAGANCA</v>
      </c>
      <c r="C438" s="2" t="str">
        <f ca="1">IFERROR(__xludf.DUMMYFUNCTION("""COMPUTED_VALUE"""),"DRE - BRAGANCA")</f>
        <v>DRE - BRAGANCA</v>
      </c>
      <c r="D438" s="1"/>
      <c r="E438" s="2" t="str">
        <f ca="1">IFERROR(__xludf.DUMMYFUNCTION("""COMPUTED_VALUE"""),"DRE - BRAGANCA")</f>
        <v>DRE - BRAGANCA</v>
      </c>
      <c r="F438" s="1">
        <f ca="1">IFERROR(__xludf.DUMMYFUNCTION("""COMPUTED_VALUE"""),3)</f>
        <v>3</v>
      </c>
      <c r="G438" s="1"/>
      <c r="H438" s="1" t="str">
        <f ca="1">IFERROR(__xludf.DUMMYFUNCTION("""COMPUTED_VALUE"""),"01A URE - BRAGANCA")</f>
        <v>01A URE - BRAGANCA</v>
      </c>
      <c r="I438" s="1"/>
      <c r="J438" s="1" t="str">
        <f ca="1">IFERROR(__xludf.DUMMYFUNCTION("""COMPUTED_VALUE"""),"BRAGANCA")</f>
        <v>BRAGANCA</v>
      </c>
      <c r="K438" s="1">
        <f ca="1">IFERROR(__xludf.DUMMYFUNCTION("""COMPUTED_VALUE"""),15177890)</f>
        <v>15177890</v>
      </c>
      <c r="L438" s="2" t="str">
        <f ca="1">IFERROR(__xludf.DUMMYFUNCTION("""COMPUTED_VALUE"""),"001920913620001")</f>
        <v>001920913620001</v>
      </c>
      <c r="M438" s="2" t="str">
        <f ca="1">IFERROR(__xludf.DUMMYFUNCTION("""COMPUTED_VALUE"""),"1920913620001")</f>
        <v>1920913620001</v>
      </c>
      <c r="N438" s="1" t="str">
        <f ca="1">IFERROR(__xludf.DUMMYFUNCTION("""COMPUTED_VALUE"""),"ANEXO RURAL DOMINGAS DA COSTA SOUSA")</f>
        <v>ANEXO RURAL DOMINGAS DA COSTA SOUSA</v>
      </c>
      <c r="O438" s="1"/>
      <c r="P438" s="1"/>
      <c r="Q438" s="1" t="s">
        <v>443</v>
      </c>
    </row>
    <row r="439" spans="1:17" x14ac:dyDescent="0.25">
      <c r="A439" s="2" t="str">
        <f ca="1">IFERROR(__xludf.DUMMYFUNCTION("""COMPUTED_VALUE"""),"REG DE INTEGRA DO RIO CAITE")</f>
        <v>REG DE INTEGRA DO RIO CAITE</v>
      </c>
      <c r="B439" s="1" t="str">
        <f ca="1">IFERROR(__xludf.DUMMYFUNCTION("""COMPUTED_VALUE"""),"DRE BRAGANCA")</f>
        <v>DRE BRAGANCA</v>
      </c>
      <c r="C439" s="2" t="str">
        <f ca="1">IFERROR(__xludf.DUMMYFUNCTION("""COMPUTED_VALUE"""),"DRE - BRAGANCA")</f>
        <v>DRE - BRAGANCA</v>
      </c>
      <c r="D439" s="1"/>
      <c r="E439" s="2" t="str">
        <f ca="1">IFERROR(__xludf.DUMMYFUNCTION("""COMPUTED_VALUE"""),"DRE - BRAGANCA")</f>
        <v>DRE - BRAGANCA</v>
      </c>
      <c r="F439" s="1">
        <f ca="1">IFERROR(__xludf.DUMMYFUNCTION("""COMPUTED_VALUE"""),3)</f>
        <v>3</v>
      </c>
      <c r="G439" s="1" t="str">
        <f ca="1">IFERROR(__xludf.DUMMYFUNCTION("""COMPUTED_VALUE"""),"DRE BRAGANCA")</f>
        <v>DRE BRAGANCA</v>
      </c>
      <c r="H439" s="1" t="str">
        <f ca="1">IFERROR(__xludf.DUMMYFUNCTION("""COMPUTED_VALUE"""),"01A URE - BRAGANCA")</f>
        <v>01A URE - BRAGANCA</v>
      </c>
      <c r="I439" s="1"/>
      <c r="J439" s="1" t="str">
        <f ca="1">IFERROR(__xludf.DUMMYFUNCTION("""COMPUTED_VALUE"""),"BRAGANCA")</f>
        <v>BRAGANCA</v>
      </c>
      <c r="K439" s="1">
        <f ca="1">IFERROR(__xludf.DUMMYFUNCTION("""COMPUTED_VALUE"""),15058751)</f>
        <v>15058751</v>
      </c>
      <c r="L439" s="2" t="str">
        <f ca="1">IFERROR(__xludf.DUMMYFUNCTION("""COMPUTED_VALUE"""),"001920931420000")</f>
        <v>001920931420000</v>
      </c>
      <c r="M439" s="2" t="str">
        <f ca="1">IFERROR(__xludf.DUMMYFUNCTION("""COMPUTED_VALUE"""),"1920931420000")</f>
        <v>1920931420000</v>
      </c>
      <c r="N439" s="1" t="str">
        <f ca="1">IFERROR(__xludf.DUMMYFUNCTION("""COMPUTED_VALUE"""),"EEEF CASA DA AMIZADE")</f>
        <v>EEEF CASA DA AMIZADE</v>
      </c>
      <c r="O439" s="1"/>
      <c r="P439" s="1"/>
      <c r="Q439" s="1" t="s">
        <v>443</v>
      </c>
    </row>
    <row r="440" spans="1:17" x14ac:dyDescent="0.25">
      <c r="A440" s="2" t="str">
        <f ca="1">IFERROR(__xludf.DUMMYFUNCTION("""COMPUTED_VALUE"""),"REG DE INTEGRA DO RIO CAITE")</f>
        <v>REG DE INTEGRA DO RIO CAITE</v>
      </c>
      <c r="B440" s="1" t="str">
        <f ca="1">IFERROR(__xludf.DUMMYFUNCTION("""COMPUTED_VALUE"""),"DRE BRAGANCA")</f>
        <v>DRE BRAGANCA</v>
      </c>
      <c r="C440" s="2" t="str">
        <f ca="1">IFERROR(__xludf.DUMMYFUNCTION("""COMPUTED_VALUE"""),"DRE - BRAGANCA")</f>
        <v>DRE - BRAGANCA</v>
      </c>
      <c r="D440" s="1"/>
      <c r="E440" s="2" t="str">
        <f ca="1">IFERROR(__xludf.DUMMYFUNCTION("""COMPUTED_VALUE"""),"DRE - BRAGANCA")</f>
        <v>DRE - BRAGANCA</v>
      </c>
      <c r="F440" s="1">
        <f ca="1">IFERROR(__xludf.DUMMYFUNCTION("""COMPUTED_VALUE"""),3)</f>
        <v>3</v>
      </c>
      <c r="G440" s="1" t="str">
        <f ca="1">IFERROR(__xludf.DUMMYFUNCTION("""COMPUTED_VALUE"""),"DRE BRAGANCA")</f>
        <v>DRE BRAGANCA</v>
      </c>
      <c r="H440" s="1" t="str">
        <f ca="1">IFERROR(__xludf.DUMMYFUNCTION("""COMPUTED_VALUE"""),"01A URE - BRAGANCA")</f>
        <v>01A URE - BRAGANCA</v>
      </c>
      <c r="I440" s="1"/>
      <c r="J440" s="1" t="str">
        <f ca="1">IFERROR(__xludf.DUMMYFUNCTION("""COMPUTED_VALUE"""),"BRAGANCA")</f>
        <v>BRAGANCA</v>
      </c>
      <c r="K440" s="1">
        <f ca="1">IFERROR(__xludf.DUMMYFUNCTION("""COMPUTED_VALUE"""),15056643)</f>
        <v>15056643</v>
      </c>
      <c r="L440" s="2" t="str">
        <f ca="1">IFERROR(__xludf.DUMMYFUNCTION("""COMPUTED_VALUE"""),"001920933120000")</f>
        <v>001920933120000</v>
      </c>
      <c r="M440" s="2" t="str">
        <f ca="1">IFERROR(__xludf.DUMMYFUNCTION("""COMPUTED_VALUE"""),"1920933120000")</f>
        <v>1920933120000</v>
      </c>
      <c r="N440" s="1" t="str">
        <f ca="1">IFERROR(__xludf.DUMMYFUNCTION("""COMPUTED_VALUE"""),"EEEF CENTRO EDUCACIONAL CORACAO DE JESUS")</f>
        <v>EEEF CENTRO EDUCACIONAL CORACAO DE JESUS</v>
      </c>
      <c r="O440" s="1"/>
      <c r="P440" s="1"/>
      <c r="Q440" s="1" t="s">
        <v>443</v>
      </c>
    </row>
    <row r="441" spans="1:17" x14ac:dyDescent="0.25">
      <c r="A441" s="2" t="str">
        <f ca="1">IFERROR(__xludf.DUMMYFUNCTION("""COMPUTED_VALUE"""),"REG DE INTEGRA DO RIO CAITE")</f>
        <v>REG DE INTEGRA DO RIO CAITE</v>
      </c>
      <c r="B441" s="1" t="str">
        <f ca="1">IFERROR(__xludf.DUMMYFUNCTION("""COMPUTED_VALUE"""),"DRE BRAGANCA")</f>
        <v>DRE BRAGANCA</v>
      </c>
      <c r="C441" s="2" t="str">
        <f ca="1">IFERROR(__xludf.DUMMYFUNCTION("""COMPUTED_VALUE"""),"DRE - BRAGANCA")</f>
        <v>DRE - BRAGANCA</v>
      </c>
      <c r="D441" s="1"/>
      <c r="E441" s="2" t="str">
        <f ca="1">IFERROR(__xludf.DUMMYFUNCTION("""COMPUTED_VALUE"""),"DRE - BRAGANCA")</f>
        <v>DRE - BRAGANCA</v>
      </c>
      <c r="F441" s="1">
        <f ca="1">IFERROR(__xludf.DUMMYFUNCTION("""COMPUTED_VALUE"""),3)</f>
        <v>3</v>
      </c>
      <c r="G441" s="1" t="str">
        <f ca="1">IFERROR(__xludf.DUMMYFUNCTION("""COMPUTED_VALUE"""),"DRE BRAGANCA")</f>
        <v>DRE BRAGANCA</v>
      </c>
      <c r="H441" s="1" t="str">
        <f ca="1">IFERROR(__xludf.DUMMYFUNCTION("""COMPUTED_VALUE"""),"01A URE - BRAGANCA")</f>
        <v>01A URE - BRAGANCA</v>
      </c>
      <c r="I441" s="1"/>
      <c r="J441" s="1" t="str">
        <f ca="1">IFERROR(__xludf.DUMMYFUNCTION("""COMPUTED_VALUE"""),"BRAGANCA")</f>
        <v>BRAGANCA</v>
      </c>
      <c r="K441" s="1">
        <f ca="1">IFERROR(__xludf.DUMMYFUNCTION("""COMPUTED_VALUE"""),15058778)</f>
        <v>15058778</v>
      </c>
      <c r="L441" s="2" t="str">
        <f ca="1">IFERROR(__xludf.DUMMYFUNCTION("""COMPUTED_VALUE"""),"001920931410000")</f>
        <v>001920931410000</v>
      </c>
      <c r="M441" s="2" t="str">
        <f ca="1">IFERROR(__xludf.DUMMYFUNCTION("""COMPUTED_VALUE"""),"1920931410000")</f>
        <v>1920931410000</v>
      </c>
      <c r="N441" s="1" t="str">
        <f ca="1">IFERROR(__xludf.DUMMYFUNCTION("""COMPUTED_VALUE"""),"EEEF EXTERNATO SANTO ANTONIO")</f>
        <v>EEEF EXTERNATO SANTO ANTONIO</v>
      </c>
      <c r="O441" s="1"/>
      <c r="P441" s="1"/>
      <c r="Q441" s="1" t="s">
        <v>443</v>
      </c>
    </row>
    <row r="442" spans="1:17" x14ac:dyDescent="0.25">
      <c r="A442" s="2" t="str">
        <f ca="1">IFERROR(__xludf.DUMMYFUNCTION("""COMPUTED_VALUE"""),"REG DE INTEGRA DO RIO CAITE")</f>
        <v>REG DE INTEGRA DO RIO CAITE</v>
      </c>
      <c r="B442" s="1" t="str">
        <f ca="1">IFERROR(__xludf.DUMMYFUNCTION("""COMPUTED_VALUE"""),"DRE BRAGANCA")</f>
        <v>DRE BRAGANCA</v>
      </c>
      <c r="C442" s="2" t="str">
        <f ca="1">IFERROR(__xludf.DUMMYFUNCTION("""COMPUTED_VALUE"""),"DRE - BRAGANCA")</f>
        <v>DRE - BRAGANCA</v>
      </c>
      <c r="D442" s="1"/>
      <c r="E442" s="2" t="str">
        <f ca="1">IFERROR(__xludf.DUMMYFUNCTION("""COMPUTED_VALUE"""),"DRE - BRAGANCA")</f>
        <v>DRE - BRAGANCA</v>
      </c>
      <c r="F442" s="1">
        <f ca="1">IFERROR(__xludf.DUMMYFUNCTION("""COMPUTED_VALUE"""),3)</f>
        <v>3</v>
      </c>
      <c r="G442" s="1" t="str">
        <f ca="1">IFERROR(__xludf.DUMMYFUNCTION("""COMPUTED_VALUE"""),"DRE BRAGANCA")</f>
        <v>DRE BRAGANCA</v>
      </c>
      <c r="H442" s="1" t="str">
        <f ca="1">IFERROR(__xludf.DUMMYFUNCTION("""COMPUTED_VALUE"""),"01A URE - BRAGANCA")</f>
        <v>01A URE - BRAGANCA</v>
      </c>
      <c r="I442" s="1"/>
      <c r="J442" s="1" t="str">
        <f ca="1">IFERROR(__xludf.DUMMYFUNCTION("""COMPUTED_VALUE"""),"BRAGANCA")</f>
        <v>BRAGANCA</v>
      </c>
      <c r="K442" s="1">
        <f ca="1">IFERROR(__xludf.DUMMYFUNCTION("""COMPUTED_VALUE"""),15056651)</f>
        <v>15056651</v>
      </c>
      <c r="L442" s="2" t="str">
        <f ca="1">IFERROR(__xludf.DUMMYFUNCTION("""COMPUTED_VALUE"""),"001920932310000")</f>
        <v>001920932310000</v>
      </c>
      <c r="M442" s="2" t="str">
        <f ca="1">IFERROR(__xludf.DUMMYFUNCTION("""COMPUTED_VALUE"""),"1920932310000")</f>
        <v>1920932310000</v>
      </c>
      <c r="N442" s="1" t="str">
        <f ca="1">IFERROR(__xludf.DUMMYFUNCTION("""COMPUTED_VALUE"""),"EEEF JOAO PAULO II")</f>
        <v>EEEF JOAO PAULO II</v>
      </c>
      <c r="O442" s="1"/>
      <c r="P442" s="1"/>
      <c r="Q442" s="1" t="s">
        <v>443</v>
      </c>
    </row>
    <row r="443" spans="1:17" x14ac:dyDescent="0.25">
      <c r="A443" s="2" t="str">
        <f ca="1">IFERROR(__xludf.DUMMYFUNCTION("""COMPUTED_VALUE"""),"REG DE INTEGRA DO RIO CAITE")</f>
        <v>REG DE INTEGRA DO RIO CAITE</v>
      </c>
      <c r="B443" s="1" t="str">
        <f ca="1">IFERROR(__xludf.DUMMYFUNCTION("""COMPUTED_VALUE"""),"DRE BRAGANCA")</f>
        <v>DRE BRAGANCA</v>
      </c>
      <c r="C443" s="2" t="str">
        <f ca="1">IFERROR(__xludf.DUMMYFUNCTION("""COMPUTED_VALUE"""),"DRE - BRAGANCA")</f>
        <v>DRE - BRAGANCA</v>
      </c>
      <c r="D443" s="1"/>
      <c r="E443" s="2" t="str">
        <f ca="1">IFERROR(__xludf.DUMMYFUNCTION("""COMPUTED_VALUE"""),"DRE - BRAGANCA")</f>
        <v>DRE - BRAGANCA</v>
      </c>
      <c r="F443" s="1">
        <f ca="1">IFERROR(__xludf.DUMMYFUNCTION("""COMPUTED_VALUE"""),3)</f>
        <v>3</v>
      </c>
      <c r="G443" s="1" t="str">
        <f ca="1">IFERROR(__xludf.DUMMYFUNCTION("""COMPUTED_VALUE"""),"DRE BRAGANCA")</f>
        <v>DRE BRAGANCA</v>
      </c>
      <c r="H443" s="1" t="str">
        <f ca="1">IFERROR(__xludf.DUMMYFUNCTION("""COMPUTED_VALUE"""),"01A URE - BRAGANCA")</f>
        <v>01A URE - BRAGANCA</v>
      </c>
      <c r="I443" s="1"/>
      <c r="J443" s="1" t="str">
        <f ca="1">IFERROR(__xludf.DUMMYFUNCTION("""COMPUTED_VALUE"""),"BRAGANCA")</f>
        <v>BRAGANCA</v>
      </c>
      <c r="K443" s="1">
        <f ca="1">IFERROR(__xludf.DUMMYFUNCTION("""COMPUTED_VALUE"""),15057291)</f>
        <v>15057291</v>
      </c>
      <c r="L443" s="2" t="str">
        <f ca="1">IFERROR(__xludf.DUMMYFUNCTION("""COMPUTED_VALUE"""),"001920913530000")</f>
        <v>001920913530000</v>
      </c>
      <c r="M443" s="2" t="str">
        <f ca="1">IFERROR(__xludf.DUMMYFUNCTION("""COMPUTED_VALUE"""),"1920913530000")</f>
        <v>1920913530000</v>
      </c>
      <c r="N443" s="1" t="str">
        <f ca="1">IFERROR(__xludf.DUMMYFUNCTION("""COMPUTED_VALUE"""),"EEEF PATALINO")</f>
        <v>EEEF PATALINO</v>
      </c>
      <c r="O443" s="1"/>
      <c r="P443" s="1"/>
      <c r="Q443" s="1" t="s">
        <v>443</v>
      </c>
    </row>
    <row r="444" spans="1:17" x14ac:dyDescent="0.25">
      <c r="A444" s="2" t="str">
        <f ca="1">IFERROR(__xludf.DUMMYFUNCTION("""COMPUTED_VALUE"""),"REG DE INTEGRA DO RIO CAITE")</f>
        <v>REG DE INTEGRA DO RIO CAITE</v>
      </c>
      <c r="B444" s="1" t="str">
        <f ca="1">IFERROR(__xludf.DUMMYFUNCTION("""COMPUTED_VALUE"""),"DRE BRAGANCA")</f>
        <v>DRE BRAGANCA</v>
      </c>
      <c r="C444" s="2" t="str">
        <f ca="1">IFERROR(__xludf.DUMMYFUNCTION("""COMPUTED_VALUE"""),"DRE - BRAGANCA")</f>
        <v>DRE - BRAGANCA</v>
      </c>
      <c r="D444" s="1"/>
      <c r="E444" s="2" t="str">
        <f ca="1">IFERROR(__xludf.DUMMYFUNCTION("""COMPUTED_VALUE"""),"DRE - BRAGANCA")</f>
        <v>DRE - BRAGANCA</v>
      </c>
      <c r="F444" s="1">
        <f ca="1">IFERROR(__xludf.DUMMYFUNCTION("""COMPUTED_VALUE"""),3)</f>
        <v>3</v>
      </c>
      <c r="G444" s="1" t="str">
        <f ca="1">IFERROR(__xludf.DUMMYFUNCTION("""COMPUTED_VALUE"""),"DRE BRAGANCA")</f>
        <v>DRE BRAGANCA</v>
      </c>
      <c r="H444" s="1" t="str">
        <f ca="1">IFERROR(__xludf.DUMMYFUNCTION("""COMPUTED_VALUE"""),"01A URE - BRAGANCA")</f>
        <v>01A URE - BRAGANCA</v>
      </c>
      <c r="I444" s="1"/>
      <c r="J444" s="1" t="str">
        <f ca="1">IFERROR(__xludf.DUMMYFUNCTION("""COMPUTED_VALUE"""),"BRAGANCA")</f>
        <v>BRAGANCA</v>
      </c>
      <c r="K444" s="1">
        <f ca="1">IFERROR(__xludf.DUMMYFUNCTION("""COMPUTED_VALUE"""),15057194)</f>
        <v>15057194</v>
      </c>
      <c r="L444" s="2" t="str">
        <f ca="1">IFERROR(__xludf.DUMMYFUNCTION("""COMPUTED_VALUE"""),"001920913510000")</f>
        <v>001920913510000</v>
      </c>
      <c r="M444" s="2" t="str">
        <f ca="1">IFERROR(__xludf.DUMMYFUNCTION("""COMPUTED_VALUE"""),"1920913510000")</f>
        <v>1920913510000</v>
      </c>
      <c r="N444" s="1" t="str">
        <f ca="1">IFERROR(__xludf.DUMMYFUNCTION("""COMPUTED_VALUE"""),"EEEF PROF YOLANDA CHAVES")</f>
        <v>EEEF PROF YOLANDA CHAVES</v>
      </c>
      <c r="O444" s="1"/>
      <c r="P444" s="1"/>
      <c r="Q444" s="1" t="s">
        <v>443</v>
      </c>
    </row>
    <row r="445" spans="1:17" x14ac:dyDescent="0.25">
      <c r="A445" s="2" t="str">
        <f ca="1">IFERROR(__xludf.DUMMYFUNCTION("""COMPUTED_VALUE"""),"REG DE INTEGRA DO RIO CAITE")</f>
        <v>REG DE INTEGRA DO RIO CAITE</v>
      </c>
      <c r="B445" s="1" t="str">
        <f ca="1">IFERROR(__xludf.DUMMYFUNCTION("""COMPUTED_VALUE"""),"DRE BRAGANCA")</f>
        <v>DRE BRAGANCA</v>
      </c>
      <c r="C445" s="2" t="str">
        <f ca="1">IFERROR(__xludf.DUMMYFUNCTION("""COMPUTED_VALUE"""),"DRE - BRAGANCA")</f>
        <v>DRE - BRAGANCA</v>
      </c>
      <c r="D445" s="1"/>
      <c r="E445" s="2" t="str">
        <f ca="1">IFERROR(__xludf.DUMMYFUNCTION("""COMPUTED_VALUE"""),"DRE - BRAGANCA")</f>
        <v>DRE - BRAGANCA</v>
      </c>
      <c r="F445" s="1">
        <f ca="1">IFERROR(__xludf.DUMMYFUNCTION("""COMPUTED_VALUE"""),3)</f>
        <v>3</v>
      </c>
      <c r="G445" s="1" t="str">
        <f ca="1">IFERROR(__xludf.DUMMYFUNCTION("""COMPUTED_VALUE"""),"DRE BRAGANCA")</f>
        <v>DRE BRAGANCA</v>
      </c>
      <c r="H445" s="1" t="str">
        <f ca="1">IFERROR(__xludf.DUMMYFUNCTION("""COMPUTED_VALUE"""),"01A URE - BRAGANCA")</f>
        <v>01A URE - BRAGANCA</v>
      </c>
      <c r="I445" s="1"/>
      <c r="J445" s="1" t="str">
        <f ca="1">IFERROR(__xludf.DUMMYFUNCTION("""COMPUTED_VALUE"""),"BRAGANCA")</f>
        <v>BRAGANCA</v>
      </c>
      <c r="K445" s="1">
        <f ca="1">IFERROR(__xludf.DUMMYFUNCTION("""COMPUTED_VALUE"""),15056929)</f>
        <v>15056929</v>
      </c>
      <c r="L445" s="2" t="str">
        <f ca="1">IFERROR(__xludf.DUMMYFUNCTION("""COMPUTED_VALUE"""),"001920913430000")</f>
        <v>001920913430000</v>
      </c>
      <c r="M445" s="2" t="str">
        <f ca="1">IFERROR(__xludf.DUMMYFUNCTION("""COMPUTED_VALUE"""),"1920913430000")</f>
        <v>1920913430000</v>
      </c>
      <c r="N445" s="1" t="str">
        <f ca="1">IFERROR(__xludf.DUMMYFUNCTION("""COMPUTED_VALUE"""),"EEEF PROFA ARGENTINA PEREIRA")</f>
        <v>EEEF PROFA ARGENTINA PEREIRA</v>
      </c>
      <c r="O445" s="1"/>
      <c r="P445" s="1"/>
      <c r="Q445" s="1" t="s">
        <v>443</v>
      </c>
    </row>
    <row r="446" spans="1:17" x14ac:dyDescent="0.25">
      <c r="A446" s="2" t="str">
        <f ca="1">IFERROR(__xludf.DUMMYFUNCTION("""COMPUTED_VALUE"""),"REG DE INTEGRA DO RIO CAITE")</f>
        <v>REG DE INTEGRA DO RIO CAITE</v>
      </c>
      <c r="B446" s="1" t="str">
        <f ca="1">IFERROR(__xludf.DUMMYFUNCTION("""COMPUTED_VALUE"""),"DRE BRAGANCA")</f>
        <v>DRE BRAGANCA</v>
      </c>
      <c r="C446" s="2" t="str">
        <f ca="1">IFERROR(__xludf.DUMMYFUNCTION("""COMPUTED_VALUE"""),"DRE - BRAGANCA")</f>
        <v>DRE - BRAGANCA</v>
      </c>
      <c r="D446" s="1"/>
      <c r="E446" s="2" t="str">
        <f ca="1">IFERROR(__xludf.DUMMYFUNCTION("""COMPUTED_VALUE"""),"DRE - BRAGANCA")</f>
        <v>DRE - BRAGANCA</v>
      </c>
      <c r="F446" s="1">
        <f ca="1">IFERROR(__xludf.DUMMYFUNCTION("""COMPUTED_VALUE"""),3)</f>
        <v>3</v>
      </c>
      <c r="G446" s="1" t="str">
        <f ca="1">IFERROR(__xludf.DUMMYFUNCTION("""COMPUTED_VALUE"""),"DRE BRAGANCA")</f>
        <v>DRE BRAGANCA</v>
      </c>
      <c r="H446" s="1" t="str">
        <f ca="1">IFERROR(__xludf.DUMMYFUNCTION("""COMPUTED_VALUE"""),"01A URE - BRAGANCA")</f>
        <v>01A URE - BRAGANCA</v>
      </c>
      <c r="I446" s="1"/>
      <c r="J446" s="1" t="str">
        <f ca="1">IFERROR(__xludf.DUMMYFUNCTION("""COMPUTED_VALUE"""),"BRAGANCA")</f>
        <v>BRAGANCA</v>
      </c>
      <c r="K446" s="1">
        <f ca="1">IFERROR(__xludf.DUMMYFUNCTION("""COMPUTED_VALUE"""),15540332)</f>
        <v>15540332</v>
      </c>
      <c r="L446" s="2" t="str">
        <f ca="1">IFERROR(__xludf.DUMMYFUNCTION("""COMPUTED_VALUE"""),"001920931430000")</f>
        <v>001920931430000</v>
      </c>
      <c r="M446" s="2" t="str">
        <f ca="1">IFERROR(__xludf.DUMMYFUNCTION("""COMPUTED_VALUE"""),"1920931430000")</f>
        <v>1920931430000</v>
      </c>
      <c r="N446" s="1" t="str">
        <f ca="1">IFERROR(__xludf.DUMMYFUNCTION("""COMPUTED_VALUE"""),"EEEF SANTA TEREZINHA")</f>
        <v>EEEF SANTA TEREZINHA</v>
      </c>
      <c r="O446" s="1"/>
      <c r="P446" s="1"/>
      <c r="Q446" s="1" t="s">
        <v>443</v>
      </c>
    </row>
    <row r="447" spans="1:17" x14ac:dyDescent="0.25">
      <c r="A447" s="2" t="str">
        <f ca="1">IFERROR(__xludf.DUMMYFUNCTION("""COMPUTED_VALUE"""),"REG DE INTEGRA DO RIO CAITE")</f>
        <v>REG DE INTEGRA DO RIO CAITE</v>
      </c>
      <c r="B447" s="1" t="str">
        <f ca="1">IFERROR(__xludf.DUMMYFUNCTION("""COMPUTED_VALUE"""),"DRE BRAGANCA")</f>
        <v>DRE BRAGANCA</v>
      </c>
      <c r="C447" s="2" t="str">
        <f ca="1">IFERROR(__xludf.DUMMYFUNCTION("""COMPUTED_VALUE"""),"DRE - BRAGANCA")</f>
        <v>DRE - BRAGANCA</v>
      </c>
      <c r="D447" s="1"/>
      <c r="E447" s="2" t="str">
        <f ca="1">IFERROR(__xludf.DUMMYFUNCTION("""COMPUTED_VALUE"""),"DRE - BRAGANCA")</f>
        <v>DRE - BRAGANCA</v>
      </c>
      <c r="F447" s="1">
        <f ca="1">IFERROR(__xludf.DUMMYFUNCTION("""COMPUTED_VALUE"""),3)</f>
        <v>3</v>
      </c>
      <c r="G447" s="1" t="str">
        <f ca="1">IFERROR(__xludf.DUMMYFUNCTION("""COMPUTED_VALUE"""),"DRE BRAGANCA")</f>
        <v>DRE BRAGANCA</v>
      </c>
      <c r="H447" s="1" t="str">
        <f ca="1">IFERROR(__xludf.DUMMYFUNCTION("""COMPUTED_VALUE"""),"01A URE - BRAGANCA")</f>
        <v>01A URE - BRAGANCA</v>
      </c>
      <c r="I447" s="1"/>
      <c r="J447" s="1" t="str">
        <f ca="1">IFERROR(__xludf.DUMMYFUNCTION("""COMPUTED_VALUE"""),"BRAGANCA")</f>
        <v>BRAGANCA</v>
      </c>
      <c r="K447" s="1">
        <f ca="1">IFERROR(__xludf.DUMMYFUNCTION("""COMPUTED_VALUE"""),15156001)</f>
        <v>15156001</v>
      </c>
      <c r="L447" s="2" t="str">
        <f ca="1">IFERROR(__xludf.DUMMYFUNCTION("""COMPUTED_VALUE"""),"001920931400000")</f>
        <v>001920931400000</v>
      </c>
      <c r="M447" s="2" t="str">
        <f ca="1">IFERROR(__xludf.DUMMYFUNCTION("""COMPUTED_VALUE"""),"1920931400000")</f>
        <v>1920931400000</v>
      </c>
      <c r="N447" s="1" t="str">
        <f ca="1">IFERROR(__xludf.DUMMYFUNCTION("""COMPUTED_VALUE"""),"EEEF SISTEMA EDUCATIVO RADIOFONICO DE BRAGANCA")</f>
        <v>EEEF SISTEMA EDUCATIVO RADIOFONICO DE BRAGANCA</v>
      </c>
      <c r="O447" s="1"/>
      <c r="P447" s="1"/>
      <c r="Q447" s="1" t="s">
        <v>443</v>
      </c>
    </row>
    <row r="448" spans="1:17" x14ac:dyDescent="0.25">
      <c r="A448" s="2" t="str">
        <f ca="1">IFERROR(__xludf.DUMMYFUNCTION("""COMPUTED_VALUE"""),"REG DE INTEGRA DO RIO CAITE")</f>
        <v>REG DE INTEGRA DO RIO CAITE</v>
      </c>
      <c r="B448" s="1" t="str">
        <f ca="1">IFERROR(__xludf.DUMMYFUNCTION("""COMPUTED_VALUE"""),"DRE BRAGANCA")</f>
        <v>DRE BRAGANCA</v>
      </c>
      <c r="C448" s="2" t="str">
        <f ca="1">IFERROR(__xludf.DUMMYFUNCTION("""COMPUTED_VALUE"""),"DRE - BRAGANCA")</f>
        <v>DRE - BRAGANCA</v>
      </c>
      <c r="D448" s="1"/>
      <c r="E448" s="2" t="str">
        <f ca="1">IFERROR(__xludf.DUMMYFUNCTION("""COMPUTED_VALUE"""),"DRE - BRAGANCA")</f>
        <v>DRE - BRAGANCA</v>
      </c>
      <c r="F448" s="1">
        <f ca="1">IFERROR(__xludf.DUMMYFUNCTION("""COMPUTED_VALUE"""),3)</f>
        <v>3</v>
      </c>
      <c r="G448" s="1" t="str">
        <f ca="1">IFERROR(__xludf.DUMMYFUNCTION("""COMPUTED_VALUE"""),"DRE BRAGANCA")</f>
        <v>DRE BRAGANCA</v>
      </c>
      <c r="H448" s="1" t="str">
        <f ca="1">IFERROR(__xludf.DUMMYFUNCTION("""COMPUTED_VALUE"""),"01A URE - BRAGANCA")</f>
        <v>01A URE - BRAGANCA</v>
      </c>
      <c r="I448" s="1"/>
      <c r="J448" s="1" t="str">
        <f ca="1">IFERROR(__xludf.DUMMYFUNCTION("""COMPUTED_VALUE"""),"BRAGANCA")</f>
        <v>BRAGANCA</v>
      </c>
      <c r="K448" s="1">
        <f ca="1">IFERROR(__xludf.DUMMYFUNCTION("""COMPUTED_VALUE"""),15058832)</f>
        <v>15058832</v>
      </c>
      <c r="L448" s="2" t="str">
        <f ca="1">IFERROR(__xludf.DUMMYFUNCTION("""COMPUTED_VALUE"""),"001920913570000")</f>
        <v>001920913570000</v>
      </c>
      <c r="M448" s="2" t="str">
        <f ca="1">IFERROR(__xludf.DUMMYFUNCTION("""COMPUTED_VALUE"""),"1920913570000")</f>
        <v>1920913570000</v>
      </c>
      <c r="N448" s="1" t="str">
        <f ca="1">IFERROR(__xludf.DUMMYFUNCTION("""COMPUTED_VALUE"""),"EEEFM ALBINO CARDOSO")</f>
        <v>EEEFM ALBINO CARDOSO</v>
      </c>
      <c r="O448" s="1"/>
      <c r="P448" s="1"/>
      <c r="Q448" s="1" t="s">
        <v>443</v>
      </c>
    </row>
    <row r="449" spans="1:17" x14ac:dyDescent="0.25">
      <c r="A449" s="2" t="str">
        <f ca="1">IFERROR(__xludf.DUMMYFUNCTION("""COMPUTED_VALUE"""),"REG DE INTEGRA DO RIO CAITE")</f>
        <v>REG DE INTEGRA DO RIO CAITE</v>
      </c>
      <c r="B449" s="1" t="str">
        <f ca="1">IFERROR(__xludf.DUMMYFUNCTION("""COMPUTED_VALUE"""),"DRE BRAGANCA")</f>
        <v>DRE BRAGANCA</v>
      </c>
      <c r="C449" s="2" t="str">
        <f ca="1">IFERROR(__xludf.DUMMYFUNCTION("""COMPUTED_VALUE"""),"DRE - BRAGANCA")</f>
        <v>DRE - BRAGANCA</v>
      </c>
      <c r="D449" s="1"/>
      <c r="E449" s="2" t="str">
        <f ca="1">IFERROR(__xludf.DUMMYFUNCTION("""COMPUTED_VALUE"""),"DRE - BRAGANCA")</f>
        <v>DRE - BRAGANCA</v>
      </c>
      <c r="F449" s="1">
        <f ca="1">IFERROR(__xludf.DUMMYFUNCTION("""COMPUTED_VALUE"""),3)</f>
        <v>3</v>
      </c>
      <c r="G449" s="1" t="str">
        <f ca="1">IFERROR(__xludf.DUMMYFUNCTION("""COMPUTED_VALUE"""),"DRE BRAGANCA")</f>
        <v>DRE BRAGANCA</v>
      </c>
      <c r="H449" s="1" t="str">
        <f ca="1">IFERROR(__xludf.DUMMYFUNCTION("""COMPUTED_VALUE"""),"01A URE - BRAGANCA")</f>
        <v>01A URE - BRAGANCA</v>
      </c>
      <c r="I449" s="1"/>
      <c r="J449" s="1" t="str">
        <f ca="1">IFERROR(__xludf.DUMMYFUNCTION("""COMPUTED_VALUE"""),"BRAGANCA")</f>
        <v>BRAGANCA</v>
      </c>
      <c r="K449" s="1">
        <f ca="1">IFERROR(__xludf.DUMMYFUNCTION("""COMPUTED_VALUE"""),15056767)</f>
        <v>15056767</v>
      </c>
      <c r="L449" s="2" t="str">
        <f ca="1">IFERROR(__xludf.DUMMYFUNCTION("""COMPUTED_VALUE"""),"001920913390000")</f>
        <v>001920913390000</v>
      </c>
      <c r="M449" s="2" t="str">
        <f ca="1">IFERROR(__xludf.DUMMYFUNCTION("""COMPUTED_VALUE"""),"1920913390000")</f>
        <v>1920913390000</v>
      </c>
      <c r="N449" s="1" t="str">
        <f ca="1">IFERROR(__xludf.DUMMYFUNCTION("""COMPUTED_VALUE"""),"EEEFM AUGUSTO CORREA")</f>
        <v>EEEFM AUGUSTO CORREA</v>
      </c>
      <c r="O449" s="1"/>
      <c r="P449" s="1"/>
      <c r="Q449" s="1" t="s">
        <v>443</v>
      </c>
    </row>
    <row r="450" spans="1:17" x14ac:dyDescent="0.25">
      <c r="A450" s="2" t="str">
        <f ca="1">IFERROR(__xludf.DUMMYFUNCTION("""COMPUTED_VALUE"""),"REG DE INTEGRA DO RIO CAITE")</f>
        <v>REG DE INTEGRA DO RIO CAITE</v>
      </c>
      <c r="B450" s="1" t="str">
        <f ca="1">IFERROR(__xludf.DUMMYFUNCTION("""COMPUTED_VALUE"""),"DRE BRAGANCA")</f>
        <v>DRE BRAGANCA</v>
      </c>
      <c r="C450" s="2" t="str">
        <f ca="1">IFERROR(__xludf.DUMMYFUNCTION("""COMPUTED_VALUE"""),"DRE - BRAGANCA")</f>
        <v>DRE - BRAGANCA</v>
      </c>
      <c r="D450" s="1"/>
      <c r="E450" s="2" t="str">
        <f ca="1">IFERROR(__xludf.DUMMYFUNCTION("""COMPUTED_VALUE"""),"DRE - BRAGANCA")</f>
        <v>DRE - BRAGANCA</v>
      </c>
      <c r="F450" s="1">
        <f ca="1">IFERROR(__xludf.DUMMYFUNCTION("""COMPUTED_VALUE"""),3)</f>
        <v>3</v>
      </c>
      <c r="G450" s="1" t="str">
        <f ca="1">IFERROR(__xludf.DUMMYFUNCTION("""COMPUTED_VALUE"""),"DRE BRAGANCA")</f>
        <v>DRE BRAGANCA</v>
      </c>
      <c r="H450" s="1" t="str">
        <f ca="1">IFERROR(__xludf.DUMMYFUNCTION("""COMPUTED_VALUE"""),"01A URE - BRAGANCA")</f>
        <v>01A URE - BRAGANCA</v>
      </c>
      <c r="I450" s="1"/>
      <c r="J450" s="1" t="str">
        <f ca="1">IFERROR(__xludf.DUMMYFUNCTION("""COMPUTED_VALUE"""),"BRAGANCA")</f>
        <v>BRAGANCA</v>
      </c>
      <c r="K450" s="1">
        <f ca="1">IFERROR(__xludf.DUMMYFUNCTION("""COMPUTED_VALUE"""),15057119)</f>
        <v>15057119</v>
      </c>
      <c r="L450" s="2" t="str">
        <f ca="1">IFERROR(__xludf.DUMMYFUNCTION("""COMPUTED_VALUE"""),"001920913460000")</f>
        <v>001920913460000</v>
      </c>
      <c r="M450" s="2" t="str">
        <f ca="1">IFERROR(__xludf.DUMMYFUNCTION("""COMPUTED_VALUE"""),"1920913460000")</f>
        <v>1920913460000</v>
      </c>
      <c r="N450" s="1" t="str">
        <f ca="1">IFERROR(__xludf.DUMMYFUNCTION("""COMPUTED_VALUE"""),"EEEFM CEL ALUIZIO PINHEIRO FERREIRA")</f>
        <v>EEEFM CEL ALUIZIO PINHEIRO FERREIRA</v>
      </c>
      <c r="O450" s="1"/>
      <c r="P450" s="1"/>
      <c r="Q450" s="1" t="s">
        <v>443</v>
      </c>
    </row>
    <row r="451" spans="1:17" x14ac:dyDescent="0.25">
      <c r="A451" s="2" t="str">
        <f ca="1">IFERROR(__xludf.DUMMYFUNCTION("""COMPUTED_VALUE"""),"REG DE INTEGRA DO RIO CAITE")</f>
        <v>REG DE INTEGRA DO RIO CAITE</v>
      </c>
      <c r="B451" s="1" t="str">
        <f ca="1">IFERROR(__xludf.DUMMYFUNCTION("""COMPUTED_VALUE"""),"DRE BRAGANCA")</f>
        <v>DRE BRAGANCA</v>
      </c>
      <c r="C451" s="2" t="str">
        <f ca="1">IFERROR(__xludf.DUMMYFUNCTION("""COMPUTED_VALUE"""),"DRE - BRAGANCA")</f>
        <v>DRE - BRAGANCA</v>
      </c>
      <c r="D451" s="1"/>
      <c r="E451" s="2" t="str">
        <f ca="1">IFERROR(__xludf.DUMMYFUNCTION("""COMPUTED_VALUE"""),"DRE - BRAGANCA")</f>
        <v>DRE - BRAGANCA</v>
      </c>
      <c r="F451" s="1">
        <f ca="1">IFERROR(__xludf.DUMMYFUNCTION("""COMPUTED_VALUE"""),3)</f>
        <v>3</v>
      </c>
      <c r="G451" s="1" t="str">
        <f ca="1">IFERROR(__xludf.DUMMYFUNCTION("""COMPUTED_VALUE"""),"DRE BRAGANCA")</f>
        <v>DRE BRAGANCA</v>
      </c>
      <c r="H451" s="1" t="str">
        <f ca="1">IFERROR(__xludf.DUMMYFUNCTION("""COMPUTED_VALUE"""),"01A URE - BRAGANCA")</f>
        <v>01A URE - BRAGANCA</v>
      </c>
      <c r="I451" s="1"/>
      <c r="J451" s="1" t="str">
        <f ca="1">IFERROR(__xludf.DUMMYFUNCTION("""COMPUTED_VALUE"""),"BRAGANCA")</f>
        <v>BRAGANCA</v>
      </c>
      <c r="K451" s="1">
        <f ca="1">IFERROR(__xludf.DUMMYFUNCTION("""COMPUTED_VALUE"""),15057046)</f>
        <v>15057046</v>
      </c>
      <c r="L451" s="2" t="str">
        <f ca="1">IFERROR(__xludf.DUMMYFUNCTION("""COMPUTED_VALUE"""),"001920914340000")</f>
        <v>001920914340000</v>
      </c>
      <c r="M451" s="2" t="str">
        <f ca="1">IFERROR(__xludf.DUMMYFUNCTION("""COMPUTED_VALUE"""),"1920914340000")</f>
        <v>1920914340000</v>
      </c>
      <c r="N451" s="1" t="str">
        <f ca="1">IFERROR(__xludf.DUMMYFUNCTION("""COMPUTED_VALUE"""),"EEEFM DO ROCHA")</f>
        <v>EEEFM DO ROCHA</v>
      </c>
      <c r="O451" s="1"/>
      <c r="P451" s="1"/>
      <c r="Q451" s="1" t="s">
        <v>443</v>
      </c>
    </row>
    <row r="452" spans="1:17" x14ac:dyDescent="0.25">
      <c r="A452" s="2" t="str">
        <f ca="1">IFERROR(__xludf.DUMMYFUNCTION("""COMPUTED_VALUE"""),"REG DE INTEGRA DO RIO CAITE")</f>
        <v>REG DE INTEGRA DO RIO CAITE</v>
      </c>
      <c r="B452" s="1" t="str">
        <f ca="1">IFERROR(__xludf.DUMMYFUNCTION("""COMPUTED_VALUE"""),"DRE BRAGANCA")</f>
        <v>DRE BRAGANCA</v>
      </c>
      <c r="C452" s="2" t="str">
        <f ca="1">IFERROR(__xludf.DUMMYFUNCTION("""COMPUTED_VALUE"""),"DRE - BRAGANCA")</f>
        <v>DRE - BRAGANCA</v>
      </c>
      <c r="D452" s="1"/>
      <c r="E452" s="2" t="str">
        <f ca="1">IFERROR(__xludf.DUMMYFUNCTION("""COMPUTED_VALUE"""),"DRE - BRAGANCA")</f>
        <v>DRE - BRAGANCA</v>
      </c>
      <c r="F452" s="1">
        <f ca="1">IFERROR(__xludf.DUMMYFUNCTION("""COMPUTED_VALUE"""),3)</f>
        <v>3</v>
      </c>
      <c r="G452" s="1" t="str">
        <f ca="1">IFERROR(__xludf.DUMMYFUNCTION("""COMPUTED_VALUE"""),"DRE BRAGANCA")</f>
        <v>DRE BRAGANCA</v>
      </c>
      <c r="H452" s="1" t="str">
        <f ca="1">IFERROR(__xludf.DUMMYFUNCTION("""COMPUTED_VALUE"""),"01A URE - BRAGANCA")</f>
        <v>01A URE - BRAGANCA</v>
      </c>
      <c r="I452" s="1"/>
      <c r="J452" s="1" t="str">
        <f ca="1">IFERROR(__xludf.DUMMYFUNCTION("""COMPUTED_VALUE"""),"BRAGANCA")</f>
        <v>BRAGANCA</v>
      </c>
      <c r="K452" s="1">
        <f ca="1">IFERROR(__xludf.DUMMYFUNCTION("""COMPUTED_VALUE"""),15058786)</f>
        <v>15058786</v>
      </c>
      <c r="L452" s="2" t="str">
        <f ca="1">IFERROR(__xludf.DUMMYFUNCTION("""COMPUTED_VALUE"""),"001920913620000")</f>
        <v>001920913620000</v>
      </c>
      <c r="M452" s="2" t="str">
        <f ca="1">IFERROR(__xludf.DUMMYFUNCTION("""COMPUTED_VALUE"""),"1920913620000")</f>
        <v>1920913620000</v>
      </c>
      <c r="N452" s="1" t="str">
        <f ca="1">IFERROR(__xludf.DUMMYFUNCTION("""COMPUTED_VALUE"""),"EEEFM DOMINGAS DA COSTA SOUSA")</f>
        <v>EEEFM DOMINGAS DA COSTA SOUSA</v>
      </c>
      <c r="O452" s="1"/>
      <c r="P452" s="1"/>
      <c r="Q452" s="1" t="s">
        <v>443</v>
      </c>
    </row>
    <row r="453" spans="1:17" x14ac:dyDescent="0.25">
      <c r="A453" s="2" t="str">
        <f ca="1">IFERROR(__xludf.DUMMYFUNCTION("""COMPUTED_VALUE"""),"REG DE INTEGRA DO RIO CAITE")</f>
        <v>REG DE INTEGRA DO RIO CAITE</v>
      </c>
      <c r="B453" s="1" t="str">
        <f ca="1">IFERROR(__xludf.DUMMYFUNCTION("""COMPUTED_VALUE"""),"DRE BRAGANCA")</f>
        <v>DRE BRAGANCA</v>
      </c>
      <c r="C453" s="2" t="str">
        <f ca="1">IFERROR(__xludf.DUMMYFUNCTION("""COMPUTED_VALUE"""),"DRE - BRAGANCA")</f>
        <v>DRE - BRAGANCA</v>
      </c>
      <c r="D453" s="1"/>
      <c r="E453" s="2" t="str">
        <f ca="1">IFERROR(__xludf.DUMMYFUNCTION("""COMPUTED_VALUE"""),"DRE - BRAGANCA")</f>
        <v>DRE - BRAGANCA</v>
      </c>
      <c r="F453" s="1">
        <f ca="1">IFERROR(__xludf.DUMMYFUNCTION("""COMPUTED_VALUE"""),3)</f>
        <v>3</v>
      </c>
      <c r="G453" s="1" t="str">
        <f ca="1">IFERROR(__xludf.DUMMYFUNCTION("""COMPUTED_VALUE"""),"DRE BRAGANCA")</f>
        <v>DRE BRAGANCA</v>
      </c>
      <c r="H453" s="1" t="str">
        <f ca="1">IFERROR(__xludf.DUMMYFUNCTION("""COMPUTED_VALUE"""),"01A URE - BRAGANCA")</f>
        <v>01A URE - BRAGANCA</v>
      </c>
      <c r="I453" s="1"/>
      <c r="J453" s="1" t="str">
        <f ca="1">IFERROR(__xludf.DUMMYFUNCTION("""COMPUTED_VALUE"""),"BRAGANCA")</f>
        <v>BRAGANCA</v>
      </c>
      <c r="K453" s="1">
        <f ca="1">IFERROR(__xludf.DUMMYFUNCTION("""COMPUTED_VALUE"""),15056775)</f>
        <v>15056775</v>
      </c>
      <c r="L453" s="2" t="str">
        <f ca="1">IFERROR(__xludf.DUMMYFUNCTION("""COMPUTED_VALUE"""),"001920913380000")</f>
        <v>001920913380000</v>
      </c>
      <c r="M453" s="2" t="str">
        <f ca="1">IFERROR(__xludf.DUMMYFUNCTION("""COMPUTED_VALUE"""),"1920913380000")</f>
        <v>1920913380000</v>
      </c>
      <c r="N453" s="1" t="str">
        <f ca="1">IFERROR(__xludf.DUMMYFUNCTION("""COMPUTED_VALUE"""),"EEEFM DR FRANCISCO DE PAULA PINHEIRO")</f>
        <v>EEEFM DR FRANCISCO DE PAULA PINHEIRO</v>
      </c>
      <c r="O453" s="1"/>
      <c r="P453" s="1"/>
      <c r="Q453" s="1" t="s">
        <v>443</v>
      </c>
    </row>
    <row r="454" spans="1:17" x14ac:dyDescent="0.25">
      <c r="A454" s="2" t="str">
        <f ca="1">IFERROR(__xludf.DUMMYFUNCTION("""COMPUTED_VALUE"""),"REG DE INTEGRA DO RIO CAITE")</f>
        <v>REG DE INTEGRA DO RIO CAITE</v>
      </c>
      <c r="B454" s="1" t="str">
        <f ca="1">IFERROR(__xludf.DUMMYFUNCTION("""COMPUTED_VALUE"""),"DRE BRAGANCA")</f>
        <v>DRE BRAGANCA</v>
      </c>
      <c r="C454" s="2" t="str">
        <f ca="1">IFERROR(__xludf.DUMMYFUNCTION("""COMPUTED_VALUE"""),"DRE - BRAGANCA")</f>
        <v>DRE - BRAGANCA</v>
      </c>
      <c r="D454" s="1"/>
      <c r="E454" s="2" t="str">
        <f ca="1">IFERROR(__xludf.DUMMYFUNCTION("""COMPUTED_VALUE"""),"DRE - BRAGANCA")</f>
        <v>DRE - BRAGANCA</v>
      </c>
      <c r="F454" s="1">
        <f ca="1">IFERROR(__xludf.DUMMYFUNCTION("""COMPUTED_VALUE"""),3)</f>
        <v>3</v>
      </c>
      <c r="G454" s="1" t="str">
        <f ca="1">IFERROR(__xludf.DUMMYFUNCTION("""COMPUTED_VALUE"""),"DRE BRAGANCA")</f>
        <v>DRE BRAGANCA</v>
      </c>
      <c r="H454" s="1" t="str">
        <f ca="1">IFERROR(__xludf.DUMMYFUNCTION("""COMPUTED_VALUE"""),"01A URE - BRAGANCA")</f>
        <v>01A URE - BRAGANCA</v>
      </c>
      <c r="I454" s="1"/>
      <c r="J454" s="1" t="str">
        <f ca="1">IFERROR(__xludf.DUMMYFUNCTION("""COMPUTED_VALUE"""),"BRAGANCA")</f>
        <v>BRAGANCA</v>
      </c>
      <c r="K454" s="1">
        <f ca="1">IFERROR(__xludf.DUMMYFUNCTION("""COMPUTED_VALUE"""),15057224)</f>
        <v>15057224</v>
      </c>
      <c r="L454" s="2" t="str">
        <f ca="1">IFERROR(__xludf.DUMMYFUNCTION("""COMPUTED_VALUE"""),"001920913560000")</f>
        <v>001920913560000</v>
      </c>
      <c r="M454" s="2" t="str">
        <f ca="1">IFERROR(__xludf.DUMMYFUNCTION("""COMPUTED_VALUE"""),"1920913560000")</f>
        <v>1920913560000</v>
      </c>
      <c r="N454" s="1" t="str">
        <f ca="1">IFERROR(__xludf.DUMMYFUNCTION("""COMPUTED_VALUE"""),"EEEFM GERMANO GARCIA")</f>
        <v>EEEFM GERMANO GARCIA</v>
      </c>
      <c r="O454" s="1"/>
      <c r="P454" s="1"/>
      <c r="Q454" s="1" t="s">
        <v>443</v>
      </c>
    </row>
    <row r="455" spans="1:17" x14ac:dyDescent="0.25">
      <c r="A455" s="2" t="str">
        <f ca="1">IFERROR(__xludf.DUMMYFUNCTION("""COMPUTED_VALUE"""),"REG DE INTEGRA DO RIO CAITE")</f>
        <v>REG DE INTEGRA DO RIO CAITE</v>
      </c>
      <c r="B455" s="1" t="str">
        <f ca="1">IFERROR(__xludf.DUMMYFUNCTION("""COMPUTED_VALUE"""),"DRE BRAGANCA")</f>
        <v>DRE BRAGANCA</v>
      </c>
      <c r="C455" s="2" t="str">
        <f ca="1">IFERROR(__xludf.DUMMYFUNCTION("""COMPUTED_VALUE"""),"DRE - BRAGANCA")</f>
        <v>DRE - BRAGANCA</v>
      </c>
      <c r="D455" s="1"/>
      <c r="E455" s="2" t="str">
        <f ca="1">IFERROR(__xludf.DUMMYFUNCTION("""COMPUTED_VALUE"""),"DRE - BRAGANCA")</f>
        <v>DRE - BRAGANCA</v>
      </c>
      <c r="F455" s="1">
        <f ca="1">IFERROR(__xludf.DUMMYFUNCTION("""COMPUTED_VALUE"""),3)</f>
        <v>3</v>
      </c>
      <c r="G455" s="1" t="str">
        <f ca="1">IFERROR(__xludf.DUMMYFUNCTION("""COMPUTED_VALUE"""),"DRE BRAGANCA")</f>
        <v>DRE BRAGANCA</v>
      </c>
      <c r="H455" s="1" t="str">
        <f ca="1">IFERROR(__xludf.DUMMYFUNCTION("""COMPUTED_VALUE"""),"01A URE - BRAGANCA")</f>
        <v>01A URE - BRAGANCA</v>
      </c>
      <c r="I455" s="1"/>
      <c r="J455" s="1" t="str">
        <f ca="1">IFERROR(__xludf.DUMMYFUNCTION("""COMPUTED_VALUE"""),"BRAGANCA")</f>
        <v>BRAGANCA</v>
      </c>
      <c r="K455" s="1">
        <f ca="1">IFERROR(__xludf.DUMMYFUNCTION("""COMPUTED_VALUE"""),15057259)</f>
        <v>15057259</v>
      </c>
      <c r="L455" s="2" t="str">
        <f ca="1">IFERROR(__xludf.DUMMYFUNCTION("""COMPUTED_VALUE"""),"001920913410000")</f>
        <v>001920913410000</v>
      </c>
      <c r="M455" s="2" t="str">
        <f ca="1">IFERROR(__xludf.DUMMYFUNCTION("""COMPUTED_VALUE"""),"1920913410000")</f>
        <v>1920913410000</v>
      </c>
      <c r="N455" s="1" t="str">
        <f ca="1">IFERROR(__xludf.DUMMYFUNCTION("""COMPUTED_VALUE"""),"EEEFM LEANDRO LOBAO DA SILVEIRA")</f>
        <v>EEEFM LEANDRO LOBAO DA SILVEIRA</v>
      </c>
      <c r="O455" s="1"/>
      <c r="P455" s="1"/>
      <c r="Q455" s="1" t="s">
        <v>443</v>
      </c>
    </row>
    <row r="456" spans="1:17" x14ac:dyDescent="0.25">
      <c r="A456" s="2" t="str">
        <f ca="1">IFERROR(__xludf.DUMMYFUNCTION("""COMPUTED_VALUE"""),"REG DE INTEGRA DO RIO CAITE")</f>
        <v>REG DE INTEGRA DO RIO CAITE</v>
      </c>
      <c r="B456" s="1" t="str">
        <f ca="1">IFERROR(__xludf.DUMMYFUNCTION("""COMPUTED_VALUE"""),"DRE BRAGANCA")</f>
        <v>DRE BRAGANCA</v>
      </c>
      <c r="C456" s="2" t="str">
        <f ca="1">IFERROR(__xludf.DUMMYFUNCTION("""COMPUTED_VALUE"""),"DRE - BRAGANCA")</f>
        <v>DRE - BRAGANCA</v>
      </c>
      <c r="D456" s="1"/>
      <c r="E456" s="2" t="str">
        <f ca="1">IFERROR(__xludf.DUMMYFUNCTION("""COMPUTED_VALUE"""),"DRE - BRAGANCA")</f>
        <v>DRE - BRAGANCA</v>
      </c>
      <c r="F456" s="1">
        <f ca="1">IFERROR(__xludf.DUMMYFUNCTION("""COMPUTED_VALUE"""),3)</f>
        <v>3</v>
      </c>
      <c r="G456" s="1" t="str">
        <f ca="1">IFERROR(__xludf.DUMMYFUNCTION("""COMPUTED_VALUE"""),"DRE BRAGANCA")</f>
        <v>DRE BRAGANCA</v>
      </c>
      <c r="H456" s="1" t="str">
        <f ca="1">IFERROR(__xludf.DUMMYFUNCTION("""COMPUTED_VALUE"""),"01A URE - BRAGANCA")</f>
        <v>01A URE - BRAGANCA</v>
      </c>
      <c r="I456" s="1"/>
      <c r="J456" s="1" t="str">
        <f ca="1">IFERROR(__xludf.DUMMYFUNCTION("""COMPUTED_VALUE"""),"BRAGANCA")</f>
        <v>BRAGANCA</v>
      </c>
      <c r="K456" s="1">
        <f ca="1">IFERROR(__xludf.DUMMYFUNCTION("""COMPUTED_VALUE"""),15056783)</f>
        <v>15056783</v>
      </c>
      <c r="L456" s="2" t="str">
        <f ca="1">IFERROR(__xludf.DUMMYFUNCTION("""COMPUTED_VALUE"""),"001920913450000")</f>
        <v>001920913450000</v>
      </c>
      <c r="M456" s="2" t="str">
        <f ca="1">IFERROR(__xludf.DUMMYFUNCTION("""COMPUTED_VALUE"""),"1920913450000")</f>
        <v>1920913450000</v>
      </c>
      <c r="N456" s="1" t="str">
        <f ca="1">IFERROR(__xludf.DUMMYFUNCTION("""COMPUTED_VALUE"""),"EEEFM LUIZ PAULINO MARTIRES")</f>
        <v>EEEFM LUIZ PAULINO MARTIRES</v>
      </c>
      <c r="O456" s="1"/>
      <c r="P456" s="1"/>
      <c r="Q456" s="1" t="s">
        <v>443</v>
      </c>
    </row>
    <row r="457" spans="1:17" x14ac:dyDescent="0.25">
      <c r="A457" s="2" t="str">
        <f ca="1">IFERROR(__xludf.DUMMYFUNCTION("""COMPUTED_VALUE"""),"REG DE INTEGRA DO RIO CAITE")</f>
        <v>REG DE INTEGRA DO RIO CAITE</v>
      </c>
      <c r="B457" s="1" t="str">
        <f ca="1">IFERROR(__xludf.DUMMYFUNCTION("""COMPUTED_VALUE"""),"DRE BRAGANCA")</f>
        <v>DRE BRAGANCA</v>
      </c>
      <c r="C457" s="2" t="str">
        <f ca="1">IFERROR(__xludf.DUMMYFUNCTION("""COMPUTED_VALUE"""),"DRE - BRAGANCA")</f>
        <v>DRE - BRAGANCA</v>
      </c>
      <c r="D457" s="1"/>
      <c r="E457" s="2" t="str">
        <f ca="1">IFERROR(__xludf.DUMMYFUNCTION("""COMPUTED_VALUE"""),"DRE - BRAGANCA")</f>
        <v>DRE - BRAGANCA</v>
      </c>
      <c r="F457" s="1">
        <f ca="1">IFERROR(__xludf.DUMMYFUNCTION("""COMPUTED_VALUE"""),3)</f>
        <v>3</v>
      </c>
      <c r="G457" s="1" t="str">
        <f ca="1">IFERROR(__xludf.DUMMYFUNCTION("""COMPUTED_VALUE"""),"DRE BRAGANCA")</f>
        <v>DRE BRAGANCA</v>
      </c>
      <c r="H457" s="1" t="str">
        <f ca="1">IFERROR(__xludf.DUMMYFUNCTION("""COMPUTED_VALUE"""),"01A URE - BRAGANCA")</f>
        <v>01A URE - BRAGANCA</v>
      </c>
      <c r="I457" s="1"/>
      <c r="J457" s="1" t="str">
        <f ca="1">IFERROR(__xludf.DUMMYFUNCTION("""COMPUTED_VALUE"""),"BRAGANCA")</f>
        <v>BRAGANCA</v>
      </c>
      <c r="K457" s="1">
        <f ca="1">IFERROR(__xludf.DUMMYFUNCTION("""COMPUTED_VALUE"""),15056791)</f>
        <v>15056791</v>
      </c>
      <c r="L457" s="2" t="str">
        <f ca="1">IFERROR(__xludf.DUMMYFUNCTION("""COMPUTED_VALUE"""),"001920913420000")</f>
        <v>001920913420000</v>
      </c>
      <c r="M457" s="2" t="str">
        <f ca="1">IFERROR(__xludf.DUMMYFUNCTION("""COMPUTED_VALUE"""),"1920913420000")</f>
        <v>1920913420000</v>
      </c>
      <c r="N457" s="1" t="str">
        <f ca="1">IFERROR(__xludf.DUMMYFUNCTION("""COMPUTED_VALUE"""),"EEEFM MANOEL JULIAO GARCIA CASTANHO")</f>
        <v>EEEFM MANOEL JULIAO GARCIA CASTANHO</v>
      </c>
      <c r="O457" s="1"/>
      <c r="P457" s="1"/>
      <c r="Q457" s="1" t="s">
        <v>443</v>
      </c>
    </row>
    <row r="458" spans="1:17" x14ac:dyDescent="0.25">
      <c r="A458" s="2" t="str">
        <f ca="1">IFERROR(__xludf.DUMMYFUNCTION("""COMPUTED_VALUE"""),"REG DE INTEGRA DO RIO CAITE")</f>
        <v>REG DE INTEGRA DO RIO CAITE</v>
      </c>
      <c r="B458" s="1" t="str">
        <f ca="1">IFERROR(__xludf.DUMMYFUNCTION("""COMPUTED_VALUE"""),"DRE BRAGANCA")</f>
        <v>DRE BRAGANCA</v>
      </c>
      <c r="C458" s="2" t="str">
        <f ca="1">IFERROR(__xludf.DUMMYFUNCTION("""COMPUTED_VALUE"""),"DRE - BRAGANCA")</f>
        <v>DRE - BRAGANCA</v>
      </c>
      <c r="D458" s="1"/>
      <c r="E458" s="2" t="str">
        <f ca="1">IFERROR(__xludf.DUMMYFUNCTION("""COMPUTED_VALUE"""),"DRE - BRAGANCA")</f>
        <v>DRE - BRAGANCA</v>
      </c>
      <c r="F458" s="1">
        <f ca="1">IFERROR(__xludf.DUMMYFUNCTION("""COMPUTED_VALUE"""),3)</f>
        <v>3</v>
      </c>
      <c r="G458" s="1" t="str">
        <f ca="1">IFERROR(__xludf.DUMMYFUNCTION("""COMPUTED_VALUE"""),"DRE BRAGANCA")</f>
        <v>DRE BRAGANCA</v>
      </c>
      <c r="H458" s="1" t="str">
        <f ca="1">IFERROR(__xludf.DUMMYFUNCTION("""COMPUTED_VALUE"""),"01A URE - BRAGANCA")</f>
        <v>01A URE - BRAGANCA</v>
      </c>
      <c r="I458" s="1"/>
      <c r="J458" s="1" t="str">
        <f ca="1">IFERROR(__xludf.DUMMYFUNCTION("""COMPUTED_VALUE"""),"BRAGANCA")</f>
        <v>BRAGANCA</v>
      </c>
      <c r="K458" s="1">
        <f ca="1">IFERROR(__xludf.DUMMYFUNCTION("""COMPUTED_VALUE"""),15057127)</f>
        <v>15057127</v>
      </c>
      <c r="L458" s="2" t="str">
        <f ca="1">IFERROR(__xludf.DUMMYFUNCTION("""COMPUTED_VALUE"""),"001920926770000")</f>
        <v>001920926770000</v>
      </c>
      <c r="M458" s="2" t="str">
        <f ca="1">IFERROR(__xludf.DUMMYFUNCTION("""COMPUTED_VALUE"""),"1920926770000")</f>
        <v>1920926770000</v>
      </c>
      <c r="N458" s="1" t="str">
        <f ca="1">IFERROR(__xludf.DUMMYFUNCTION("""COMPUTED_VALUE"""),"EEEFM MARIO QUEIROZ DO ROSARIO")</f>
        <v>EEEFM MARIO QUEIROZ DO ROSARIO</v>
      </c>
      <c r="O458" s="1"/>
      <c r="P458" s="1"/>
      <c r="Q458" s="1" t="s">
        <v>443</v>
      </c>
    </row>
    <row r="459" spans="1:17" x14ac:dyDescent="0.25">
      <c r="A459" s="2" t="str">
        <f ca="1">IFERROR(__xludf.DUMMYFUNCTION("""COMPUTED_VALUE"""),"REG DE INTEGRA DO RIO CAITE")</f>
        <v>REG DE INTEGRA DO RIO CAITE</v>
      </c>
      <c r="B459" s="1" t="str">
        <f ca="1">IFERROR(__xludf.DUMMYFUNCTION("""COMPUTED_VALUE"""),"DRE BRAGANCA")</f>
        <v>DRE BRAGANCA</v>
      </c>
      <c r="C459" s="2" t="str">
        <f ca="1">IFERROR(__xludf.DUMMYFUNCTION("""COMPUTED_VALUE"""),"DRE - BRAGANCA")</f>
        <v>DRE - BRAGANCA</v>
      </c>
      <c r="D459" s="1"/>
      <c r="E459" s="2" t="str">
        <f ca="1">IFERROR(__xludf.DUMMYFUNCTION("""COMPUTED_VALUE"""),"DRE - BRAGANCA")</f>
        <v>DRE - BRAGANCA</v>
      </c>
      <c r="F459" s="1">
        <f ca="1">IFERROR(__xludf.DUMMYFUNCTION("""COMPUTED_VALUE"""),3)</f>
        <v>3</v>
      </c>
      <c r="G459" s="1" t="str">
        <f ca="1">IFERROR(__xludf.DUMMYFUNCTION("""COMPUTED_VALUE"""),"DRE BRAGANCA")</f>
        <v>DRE BRAGANCA</v>
      </c>
      <c r="H459" s="1" t="str">
        <f ca="1">IFERROR(__xludf.DUMMYFUNCTION("""COMPUTED_VALUE"""),"01A URE - BRAGANCA")</f>
        <v>01A URE - BRAGANCA</v>
      </c>
      <c r="I459" s="1"/>
      <c r="J459" s="1" t="str">
        <f ca="1">IFERROR(__xludf.DUMMYFUNCTION("""COMPUTED_VALUE"""),"BRAGANCA")</f>
        <v>BRAGANCA</v>
      </c>
      <c r="K459" s="1">
        <f ca="1">IFERROR(__xludf.DUMMYFUNCTION("""COMPUTED_VALUE"""),15057135)</f>
        <v>15057135</v>
      </c>
      <c r="L459" s="2" t="str">
        <f ca="1">IFERROR(__xludf.DUMMYFUNCTION("""COMPUTED_VALUE"""),"001920913400000")</f>
        <v>001920913400000</v>
      </c>
      <c r="M459" s="2" t="str">
        <f ca="1">IFERROR(__xludf.DUMMYFUNCTION("""COMPUTED_VALUE"""),"1920913400000")</f>
        <v>1920913400000</v>
      </c>
      <c r="N459" s="1" t="str">
        <f ca="1">IFERROR(__xludf.DUMMYFUNCTION("""COMPUTED_VALUE"""),"EEEFM MONSENHOR MANCIO RIBEIRO")</f>
        <v>EEEFM MONSENHOR MANCIO RIBEIRO</v>
      </c>
      <c r="O459" s="1"/>
      <c r="P459" s="1"/>
      <c r="Q459" s="1" t="s">
        <v>443</v>
      </c>
    </row>
    <row r="460" spans="1:17" x14ac:dyDescent="0.25">
      <c r="A460" s="2" t="str">
        <f ca="1">IFERROR(__xludf.DUMMYFUNCTION("""COMPUTED_VALUE"""),"REG DE INTEGRA DO RIO CAITE")</f>
        <v>REG DE INTEGRA DO RIO CAITE</v>
      </c>
      <c r="B460" s="1" t="str">
        <f ca="1">IFERROR(__xludf.DUMMYFUNCTION("""COMPUTED_VALUE"""),"DRE BRAGANCA")</f>
        <v>DRE BRAGANCA</v>
      </c>
      <c r="C460" s="2" t="str">
        <f ca="1">IFERROR(__xludf.DUMMYFUNCTION("""COMPUTED_VALUE"""),"DRE - BRAGANCA")</f>
        <v>DRE - BRAGANCA</v>
      </c>
      <c r="D460" s="1"/>
      <c r="E460" s="2" t="str">
        <f ca="1">IFERROR(__xludf.DUMMYFUNCTION("""COMPUTED_VALUE"""),"DRE - BRAGANCA")</f>
        <v>DRE - BRAGANCA</v>
      </c>
      <c r="F460" s="1">
        <f ca="1">IFERROR(__xludf.DUMMYFUNCTION("""COMPUTED_VALUE"""),3)</f>
        <v>3</v>
      </c>
      <c r="G460" s="1" t="str">
        <f ca="1">IFERROR(__xludf.DUMMYFUNCTION("""COMPUTED_VALUE"""),"DRE BRAGANCA")</f>
        <v>DRE BRAGANCA</v>
      </c>
      <c r="H460" s="1" t="str">
        <f ca="1">IFERROR(__xludf.DUMMYFUNCTION("""COMPUTED_VALUE"""),"01A URE - BRAGANCA")</f>
        <v>01A URE - BRAGANCA</v>
      </c>
      <c r="I460" s="1"/>
      <c r="J460" s="1" t="str">
        <f ca="1">IFERROR(__xludf.DUMMYFUNCTION("""COMPUTED_VALUE"""),"BRAGANCA")</f>
        <v>BRAGANCA</v>
      </c>
      <c r="K460" s="1">
        <f ca="1">IFERROR(__xludf.DUMMYFUNCTION("""COMPUTED_VALUE"""),15057305)</f>
        <v>15057305</v>
      </c>
      <c r="L460" s="2" t="str">
        <f ca="1">IFERROR(__xludf.DUMMYFUNCTION("""COMPUTED_VALUE"""),"001920913500000")</f>
        <v>001920913500000</v>
      </c>
      <c r="M460" s="2" t="str">
        <f ca="1">IFERROR(__xludf.DUMMYFUNCTION("""COMPUTED_VALUE"""),"1920913500000")</f>
        <v>1920913500000</v>
      </c>
      <c r="N460" s="1" t="str">
        <f ca="1">IFERROR(__xludf.DUMMYFUNCTION("""COMPUTED_VALUE"""),"EEEFM PADRE LUIZ GONZAGA")</f>
        <v>EEEFM PADRE LUIZ GONZAGA</v>
      </c>
      <c r="O460" s="1"/>
      <c r="P460" s="1"/>
      <c r="Q460" s="1" t="s">
        <v>443</v>
      </c>
    </row>
    <row r="461" spans="1:17" x14ac:dyDescent="0.25">
      <c r="A461" s="2" t="str">
        <f ca="1">IFERROR(__xludf.DUMMYFUNCTION("""COMPUTED_VALUE"""),"REG DE INTEGRA DO RIO CAITE")</f>
        <v>REG DE INTEGRA DO RIO CAITE</v>
      </c>
      <c r="B461" s="1" t="str">
        <f ca="1">IFERROR(__xludf.DUMMYFUNCTION("""COMPUTED_VALUE"""),"DRE BRAGANCA")</f>
        <v>DRE BRAGANCA</v>
      </c>
      <c r="C461" s="2" t="str">
        <f ca="1">IFERROR(__xludf.DUMMYFUNCTION("""COMPUTED_VALUE"""),"DRE - BRAGANCA")</f>
        <v>DRE - BRAGANCA</v>
      </c>
      <c r="D461" s="1"/>
      <c r="E461" s="2" t="str">
        <f ca="1">IFERROR(__xludf.DUMMYFUNCTION("""COMPUTED_VALUE"""),"DRE - BRAGANCA")</f>
        <v>DRE - BRAGANCA</v>
      </c>
      <c r="F461" s="1">
        <f ca="1">IFERROR(__xludf.DUMMYFUNCTION("""COMPUTED_VALUE"""),3)</f>
        <v>3</v>
      </c>
      <c r="G461" s="1" t="str">
        <f ca="1">IFERROR(__xludf.DUMMYFUNCTION("""COMPUTED_VALUE"""),"DRE BRAGANCA")</f>
        <v>DRE BRAGANCA</v>
      </c>
      <c r="H461" s="1" t="str">
        <f ca="1">IFERROR(__xludf.DUMMYFUNCTION("""COMPUTED_VALUE"""),"01A URE - BRAGANCA")</f>
        <v>01A URE - BRAGANCA</v>
      </c>
      <c r="I461" s="1"/>
      <c r="J461" s="1" t="str">
        <f ca="1">IFERROR(__xludf.DUMMYFUNCTION("""COMPUTED_VALUE"""),"BRAGANCA")</f>
        <v>BRAGANCA</v>
      </c>
      <c r="K461" s="1">
        <f ca="1">IFERROR(__xludf.DUMMYFUNCTION("""COMPUTED_VALUE"""),15056813)</f>
        <v>15056813</v>
      </c>
      <c r="L461" s="2" t="str">
        <f ca="1">IFERROR(__xludf.DUMMYFUNCTION("""COMPUTED_VALUE"""),"001920913470000")</f>
        <v>001920913470000</v>
      </c>
      <c r="M461" s="2" t="str">
        <f ca="1">IFERROR(__xludf.DUMMYFUNCTION("""COMPUTED_VALUE"""),"1920913470000")</f>
        <v>1920913470000</v>
      </c>
      <c r="N461" s="1" t="str">
        <f ca="1">IFERROR(__xludf.DUMMYFUNCTION("""COMPUTED_VALUE"""),"EEEFM PROF BOLIVAR BORDALLO DA SILVA")</f>
        <v>EEEFM PROF BOLIVAR BORDALLO DA SILVA</v>
      </c>
      <c r="O461" s="1"/>
      <c r="P461" s="1"/>
      <c r="Q461" s="1" t="s">
        <v>443</v>
      </c>
    </row>
    <row r="462" spans="1:17" x14ac:dyDescent="0.25">
      <c r="A462" s="2" t="str">
        <f ca="1">IFERROR(__xludf.DUMMYFUNCTION("""COMPUTED_VALUE"""),"REG DE INTEGRA DO RIO CAITE")</f>
        <v>REG DE INTEGRA DO RIO CAITE</v>
      </c>
      <c r="B462" s="1" t="str">
        <f ca="1">IFERROR(__xludf.DUMMYFUNCTION("""COMPUTED_VALUE"""),"DRE BRAGANCA")</f>
        <v>DRE BRAGANCA</v>
      </c>
      <c r="C462" s="2" t="str">
        <f ca="1">IFERROR(__xludf.DUMMYFUNCTION("""COMPUTED_VALUE"""),"DRE - BRAGANCA")</f>
        <v>DRE - BRAGANCA</v>
      </c>
      <c r="D462" s="1"/>
      <c r="E462" s="2" t="str">
        <f ca="1">IFERROR(__xludf.DUMMYFUNCTION("""COMPUTED_VALUE"""),"DRE - BRAGANCA")</f>
        <v>DRE - BRAGANCA</v>
      </c>
      <c r="F462" s="1">
        <f ca="1">IFERROR(__xludf.DUMMYFUNCTION("""COMPUTED_VALUE"""),3)</f>
        <v>3</v>
      </c>
      <c r="G462" s="1" t="str">
        <f ca="1">IFERROR(__xludf.DUMMYFUNCTION("""COMPUTED_VALUE"""),"DRE BRAGANCA")</f>
        <v>DRE BRAGANCA</v>
      </c>
      <c r="H462" s="1" t="str">
        <f ca="1">IFERROR(__xludf.DUMMYFUNCTION("""COMPUTED_VALUE"""),"01A URE - BRAGANCA")</f>
        <v>01A URE - BRAGANCA</v>
      </c>
      <c r="I462" s="1"/>
      <c r="J462" s="1" t="str">
        <f ca="1">IFERROR(__xludf.DUMMYFUNCTION("""COMPUTED_VALUE"""),"BRAGANCA")</f>
        <v>BRAGANCA</v>
      </c>
      <c r="K462" s="1">
        <f ca="1">IFERROR(__xludf.DUMMYFUNCTION("""COMPUTED_VALUE"""),15057267)</f>
        <v>15057267</v>
      </c>
      <c r="L462" s="2" t="str">
        <f ca="1">IFERROR(__xludf.DUMMYFUNCTION("""COMPUTED_VALUE"""),"001920913610000")</f>
        <v>001920913610000</v>
      </c>
      <c r="M462" s="2" t="str">
        <f ca="1">IFERROR(__xludf.DUMMYFUNCTION("""COMPUTED_VALUE"""),"1920913610000")</f>
        <v>1920913610000</v>
      </c>
      <c r="N462" s="1" t="str">
        <f ca="1">IFERROR(__xludf.DUMMYFUNCTION("""COMPUTED_VALUE"""),"EEEFM PROF. MARIA DE NAZARE CEZAR PINHEIRO")</f>
        <v>EEEFM PROF. MARIA DE NAZARE CEZAR PINHEIRO</v>
      </c>
      <c r="O462" s="1"/>
      <c r="P462" s="1"/>
      <c r="Q462" s="1" t="s">
        <v>443</v>
      </c>
    </row>
    <row r="463" spans="1:17" x14ac:dyDescent="0.25">
      <c r="A463" s="2" t="str">
        <f ca="1">IFERROR(__xludf.DUMMYFUNCTION("""COMPUTED_VALUE"""),"REG DE INTEGRA DO RIO CAITE")</f>
        <v>REG DE INTEGRA DO RIO CAITE</v>
      </c>
      <c r="B463" s="1" t="str">
        <f ca="1">IFERROR(__xludf.DUMMYFUNCTION("""COMPUTED_VALUE"""),"DRE BRAGANCA")</f>
        <v>DRE BRAGANCA</v>
      </c>
      <c r="C463" s="2" t="str">
        <f ca="1">IFERROR(__xludf.DUMMYFUNCTION("""COMPUTED_VALUE"""),"DRE - BRAGANCA")</f>
        <v>DRE - BRAGANCA</v>
      </c>
      <c r="D463" s="1"/>
      <c r="E463" s="2" t="str">
        <f ca="1">IFERROR(__xludf.DUMMYFUNCTION("""COMPUTED_VALUE"""),"DRE - BRAGANCA")</f>
        <v>DRE - BRAGANCA</v>
      </c>
      <c r="F463" s="1">
        <f ca="1">IFERROR(__xludf.DUMMYFUNCTION("""COMPUTED_VALUE"""),3)</f>
        <v>3</v>
      </c>
      <c r="G463" s="1" t="str">
        <f ca="1">IFERROR(__xludf.DUMMYFUNCTION("""COMPUTED_VALUE"""),"DRE BRAGANCA")</f>
        <v>DRE BRAGANCA</v>
      </c>
      <c r="H463" s="1" t="str">
        <f ca="1">IFERROR(__xludf.DUMMYFUNCTION("""COMPUTED_VALUE"""),"01A URE - BRAGANCA")</f>
        <v>01A URE - BRAGANCA</v>
      </c>
      <c r="I463" s="1"/>
      <c r="J463" s="1" t="str">
        <f ca="1">IFERROR(__xludf.DUMMYFUNCTION("""COMPUTED_VALUE"""),"BRAGANCA")</f>
        <v>BRAGANCA</v>
      </c>
      <c r="K463" s="1">
        <f ca="1">IFERROR(__xludf.DUMMYFUNCTION("""COMPUTED_VALUE"""),15527409)</f>
        <v>15527409</v>
      </c>
      <c r="L463" s="2" t="str">
        <f ca="1">IFERROR(__xludf.DUMMYFUNCTION("""COMPUTED_VALUE"""),"001920929090000")</f>
        <v>001920929090000</v>
      </c>
      <c r="M463" s="2" t="str">
        <f ca="1">IFERROR(__xludf.DUMMYFUNCTION("""COMPUTED_VALUE"""),"1920929090000")</f>
        <v>1920929090000</v>
      </c>
      <c r="N463" s="1" t="str">
        <f ca="1">IFERROR(__xludf.DUMMYFUNCTION("""COMPUTED_VALUE"""),"EEEFM RIO CAETE")</f>
        <v>EEEFM RIO CAETE</v>
      </c>
      <c r="O463" s="1"/>
      <c r="P463" s="1"/>
      <c r="Q463" s="1" t="s">
        <v>443</v>
      </c>
    </row>
    <row r="464" spans="1:17" x14ac:dyDescent="0.25">
      <c r="A464" s="2" t="str">
        <f ca="1">IFERROR(__xludf.DUMMYFUNCTION("""COMPUTED_VALUE"""),"REG DE INTEGRA DO RIO CAITE")</f>
        <v>REG DE INTEGRA DO RIO CAITE</v>
      </c>
      <c r="B464" s="1" t="str">
        <f ca="1">IFERROR(__xludf.DUMMYFUNCTION("""COMPUTED_VALUE"""),"DRE BRAGANCA")</f>
        <v>DRE BRAGANCA</v>
      </c>
      <c r="C464" s="2" t="str">
        <f ca="1">IFERROR(__xludf.DUMMYFUNCTION("""COMPUTED_VALUE"""),"DRE - BRAGANCA")</f>
        <v>DRE - BRAGANCA</v>
      </c>
      <c r="D464" s="1"/>
      <c r="E464" s="2" t="str">
        <f ca="1">IFERROR(__xludf.DUMMYFUNCTION("""COMPUTED_VALUE"""),"DRE - BRAGANCA")</f>
        <v>DRE - BRAGANCA</v>
      </c>
      <c r="F464" s="1">
        <f ca="1">IFERROR(__xludf.DUMMYFUNCTION("""COMPUTED_VALUE"""),3)</f>
        <v>3</v>
      </c>
      <c r="G464" s="1" t="str">
        <f ca="1">IFERROR(__xludf.DUMMYFUNCTION("""COMPUTED_VALUE"""),"DRE BRAGANCA")</f>
        <v>DRE BRAGANCA</v>
      </c>
      <c r="H464" s="1" t="str">
        <f ca="1">IFERROR(__xludf.DUMMYFUNCTION("""COMPUTED_VALUE"""),"01A URE - BRAGANCA")</f>
        <v>01A URE - BRAGANCA</v>
      </c>
      <c r="I464" s="1"/>
      <c r="J464" s="1" t="str">
        <f ca="1">IFERROR(__xludf.DUMMYFUNCTION("""COMPUTED_VALUE"""),"BRAGANCA")</f>
        <v>BRAGANCA</v>
      </c>
      <c r="K464" s="1">
        <f ca="1">IFERROR(__xludf.DUMMYFUNCTION("""COMPUTED_VALUE"""),15155919)</f>
        <v>15155919</v>
      </c>
      <c r="L464" s="2" t="str">
        <f ca="1">IFERROR(__xludf.DUMMYFUNCTION("""COMPUTED_VALUE"""),"001920932420000")</f>
        <v>001920932420000</v>
      </c>
      <c r="M464" s="2" t="str">
        <f ca="1">IFERROR(__xludf.DUMMYFUNCTION("""COMPUTED_VALUE"""),"1920932420000")</f>
        <v>1920932420000</v>
      </c>
      <c r="N464" s="1" t="str">
        <f ca="1">IFERROR(__xludf.DUMMYFUNCTION("""COMPUTED_VALUE"""),"ERC ASSOCIACAO DE PAIS E AMIGOS DOS EXCEPCIONAIS")</f>
        <v>ERC ASSOCIACAO DE PAIS E AMIGOS DOS EXCEPCIONAIS</v>
      </c>
      <c r="O464" s="1"/>
      <c r="P464" s="1"/>
      <c r="Q464" s="1" t="s">
        <v>443</v>
      </c>
    </row>
    <row r="465" spans="1:17" x14ac:dyDescent="0.25">
      <c r="A465" s="2" t="str">
        <f ca="1">IFERROR(__xludf.DUMMYFUNCTION("""COMPUTED_VALUE"""),"REG DE INTEGRA DO RIO CAITE")</f>
        <v>REG DE INTEGRA DO RIO CAITE</v>
      </c>
      <c r="B465" s="1" t="str">
        <f ca="1">IFERROR(__xludf.DUMMYFUNCTION("""COMPUTED_VALUE"""),"DRE BRAGANCA")</f>
        <v>DRE BRAGANCA</v>
      </c>
      <c r="C465" s="2" t="str">
        <f ca="1">IFERROR(__xludf.DUMMYFUNCTION("""COMPUTED_VALUE"""),"DRE - BRAGANCA")</f>
        <v>DRE - BRAGANCA</v>
      </c>
      <c r="D465" s="1"/>
      <c r="E465" s="2" t="str">
        <f ca="1">IFERROR(__xludf.DUMMYFUNCTION("""COMPUTED_VALUE"""),"DRE - BRAGANCA")</f>
        <v>DRE - BRAGANCA</v>
      </c>
      <c r="F465" s="1"/>
      <c r="G465" s="1"/>
      <c r="H465" s="1" t="str">
        <f ca="1">IFERROR(__xludf.DUMMYFUNCTION("""COMPUTED_VALUE"""),"01A URE - BRAGANCA")</f>
        <v>01A URE - BRAGANCA</v>
      </c>
      <c r="I465" s="1"/>
      <c r="J465" s="1" t="str">
        <f ca="1">IFERROR(__xludf.DUMMYFUNCTION("""COMPUTED_VALUE"""),"BRAGANCA")</f>
        <v>BRAGANCA</v>
      </c>
      <c r="K465" s="1"/>
      <c r="L465" s="2" t="str">
        <f ca="1">IFERROR(__xludf.DUMMYFUNCTION("""COMPUTED_VALUE"""),"001920962000000")</f>
        <v>001920962000000</v>
      </c>
      <c r="M465" s="2" t="str">
        <f ca="1">IFERROR(__xludf.DUMMYFUNCTION("""COMPUTED_VALUE"""),"1920962000000")</f>
        <v>1920962000000</v>
      </c>
      <c r="N465" s="1" t="str">
        <f ca="1">IFERROR(__xludf.DUMMYFUNCTION("""COMPUTED_VALUE"""),"ESCOLA ESTADUAL RURAL DE BRAGANCA")</f>
        <v>ESCOLA ESTADUAL RURAL DE BRAGANCA</v>
      </c>
      <c r="O465" s="1"/>
      <c r="P465" s="1"/>
      <c r="Q465" s="1" t="s">
        <v>443</v>
      </c>
    </row>
    <row r="466" spans="1:17" x14ac:dyDescent="0.25">
      <c r="A466" s="2" t="str">
        <f ca="1">IFERROR(__xludf.DUMMYFUNCTION("""COMPUTED_VALUE"""),"REG DE INTEGRA DO RIO CAITE")</f>
        <v>REG DE INTEGRA DO RIO CAITE</v>
      </c>
      <c r="B466" s="1" t="str">
        <f ca="1">IFERROR(__xludf.DUMMYFUNCTION("""COMPUTED_VALUE"""),"DRE BRAGANCA")</f>
        <v>DRE BRAGANCA</v>
      </c>
      <c r="C466" s="2" t="str">
        <f ca="1">IFERROR(__xludf.DUMMYFUNCTION("""COMPUTED_VALUE"""),"DRE - BRAGANCA")</f>
        <v>DRE - BRAGANCA</v>
      </c>
      <c r="D466" s="1"/>
      <c r="E466" s="2" t="str">
        <f ca="1">IFERROR(__xludf.DUMMYFUNCTION("""COMPUTED_VALUE"""),"DRE - BRAGANCA")</f>
        <v>DRE - BRAGANCA</v>
      </c>
      <c r="F466" s="1">
        <f ca="1">IFERROR(__xludf.DUMMYFUNCTION("""COMPUTED_VALUE"""),3)</f>
        <v>3</v>
      </c>
      <c r="G466" s="1"/>
      <c r="H466" s="1" t="str">
        <f ca="1">IFERROR(__xludf.DUMMYFUNCTION("""COMPUTED_VALUE"""),"01A URE - BRAGANCA")</f>
        <v>01A URE - BRAGANCA</v>
      </c>
      <c r="I466" s="1"/>
      <c r="J466" s="1" t="str">
        <f ca="1">IFERROR(__xludf.DUMMYFUNCTION("""COMPUTED_VALUE"""),"CACHOEIRA DO PIRIA")</f>
        <v>CACHOEIRA DO PIRIA</v>
      </c>
      <c r="K466" s="1">
        <f ca="1">IFERROR(__xludf.DUMMYFUNCTION("""COMPUTED_VALUE"""),15177920)</f>
        <v>15177920</v>
      </c>
      <c r="L466" s="2" t="str">
        <f ca="1">IFERROR(__xludf.DUMMYFUNCTION("""COMPUTED_VALUE"""),"001920914920001")</f>
        <v>001920914920001</v>
      </c>
      <c r="M466" s="2" t="str">
        <f ca="1">IFERROR(__xludf.DUMMYFUNCTION("""COMPUTED_VALUE"""),"1920914920001")</f>
        <v>1920914920001</v>
      </c>
      <c r="N466" s="1" t="str">
        <f ca="1">IFERROR(__xludf.DUMMYFUNCTION("""COMPUTED_VALUE"""),"ANEXO RURAL CEL NEWTON BARREIRA")</f>
        <v>ANEXO RURAL CEL NEWTON BARREIRA</v>
      </c>
      <c r="O466" s="1"/>
      <c r="P466" s="1"/>
      <c r="Q466" s="1" t="s">
        <v>443</v>
      </c>
    </row>
    <row r="467" spans="1:17" x14ac:dyDescent="0.25">
      <c r="A467" s="2" t="str">
        <f ca="1">IFERROR(__xludf.DUMMYFUNCTION("""COMPUTED_VALUE"""),"REG DE INTEGRA DO RIO CAITE")</f>
        <v>REG DE INTEGRA DO RIO CAITE</v>
      </c>
      <c r="B467" s="1" t="str">
        <f ca="1">IFERROR(__xludf.DUMMYFUNCTION("""COMPUTED_VALUE"""),"DRE BRAGANCA")</f>
        <v>DRE BRAGANCA</v>
      </c>
      <c r="C467" s="2" t="str">
        <f ca="1">IFERROR(__xludf.DUMMYFUNCTION("""COMPUTED_VALUE"""),"DRE - BRAGANCA")</f>
        <v>DRE - BRAGANCA</v>
      </c>
      <c r="D467" s="1"/>
      <c r="E467" s="2" t="str">
        <f ca="1">IFERROR(__xludf.DUMMYFUNCTION("""COMPUTED_VALUE"""),"DRE - BRAGANCA")</f>
        <v>DRE - BRAGANCA</v>
      </c>
      <c r="F467" s="1">
        <f ca="1">IFERROR(__xludf.DUMMYFUNCTION("""COMPUTED_VALUE"""),3)</f>
        <v>3</v>
      </c>
      <c r="G467" s="1" t="str">
        <f ca="1">IFERROR(__xludf.DUMMYFUNCTION("""COMPUTED_VALUE"""),"DRE BRAGANCA")</f>
        <v>DRE BRAGANCA</v>
      </c>
      <c r="H467" s="1" t="str">
        <f ca="1">IFERROR(__xludf.DUMMYFUNCTION("""COMPUTED_VALUE"""),"01A URE - BRAGANCA")</f>
        <v>01A URE - BRAGANCA</v>
      </c>
      <c r="I467" s="1"/>
      <c r="J467" s="1" t="str">
        <f ca="1">IFERROR(__xludf.DUMMYFUNCTION("""COMPUTED_VALUE"""),"CACHOEIRA DO PIRIA")</f>
        <v>CACHOEIRA DO PIRIA</v>
      </c>
      <c r="K467" s="1">
        <f ca="1">IFERROR(__xludf.DUMMYFUNCTION("""COMPUTED_VALUE"""),15097307)</f>
        <v>15097307</v>
      </c>
      <c r="L467" s="2" t="str">
        <f ca="1">IFERROR(__xludf.DUMMYFUNCTION("""COMPUTED_VALUE"""),"001920930740000")</f>
        <v>001920930740000</v>
      </c>
      <c r="M467" s="2" t="str">
        <f ca="1">IFERROR(__xludf.DUMMYFUNCTION("""COMPUTED_VALUE"""),"1920930740000")</f>
        <v>1920930740000</v>
      </c>
      <c r="N467" s="1" t="str">
        <f ca="1">IFERROR(__xludf.DUMMYFUNCTION("""COMPUTED_VALUE"""),"EEEFM ADRIANO GONCALVES")</f>
        <v>EEEFM ADRIANO GONCALVES</v>
      </c>
      <c r="O467" s="1"/>
      <c r="P467" s="1"/>
      <c r="Q467" s="1" t="s">
        <v>443</v>
      </c>
    </row>
    <row r="468" spans="1:17" x14ac:dyDescent="0.25">
      <c r="A468" s="2" t="str">
        <f ca="1">IFERROR(__xludf.DUMMYFUNCTION("""COMPUTED_VALUE"""),"REG DE INTEGRA DO RIO CAITE")</f>
        <v>REG DE INTEGRA DO RIO CAITE</v>
      </c>
      <c r="B468" s="1" t="str">
        <f ca="1">IFERROR(__xludf.DUMMYFUNCTION("""COMPUTED_VALUE"""),"DRE BRAGANCA")</f>
        <v>DRE BRAGANCA</v>
      </c>
      <c r="C468" s="2" t="str">
        <f ca="1">IFERROR(__xludf.DUMMYFUNCTION("""COMPUTED_VALUE"""),"DRE - BRAGANCA")</f>
        <v>DRE - BRAGANCA</v>
      </c>
      <c r="D468" s="1"/>
      <c r="E468" s="2" t="str">
        <f ca="1">IFERROR(__xludf.DUMMYFUNCTION("""COMPUTED_VALUE"""),"DRE - BRAGANCA")</f>
        <v>DRE - BRAGANCA</v>
      </c>
      <c r="F468" s="1">
        <f ca="1">IFERROR(__xludf.DUMMYFUNCTION("""COMPUTED_VALUE"""),3)</f>
        <v>3</v>
      </c>
      <c r="G468" s="1" t="str">
        <f ca="1">IFERROR(__xludf.DUMMYFUNCTION("""COMPUTED_VALUE"""),"DRE BRAGANCA")</f>
        <v>DRE BRAGANCA</v>
      </c>
      <c r="H468" s="1" t="str">
        <f ca="1">IFERROR(__xludf.DUMMYFUNCTION("""COMPUTED_VALUE"""),"01A URE - BRAGANCA")</f>
        <v>01A URE - BRAGANCA</v>
      </c>
      <c r="I468" s="1"/>
      <c r="J468" s="1" t="str">
        <f ca="1">IFERROR(__xludf.DUMMYFUNCTION("""COMPUTED_VALUE"""),"CACHOEIRA DO PIRIA")</f>
        <v>CACHOEIRA DO PIRIA</v>
      </c>
      <c r="K468" s="1">
        <f ca="1">IFERROR(__xludf.DUMMYFUNCTION("""COMPUTED_VALUE"""),15098141)</f>
        <v>15098141</v>
      </c>
      <c r="L468" s="2" t="str">
        <f ca="1">IFERROR(__xludf.DUMMYFUNCTION("""COMPUTED_VALUE"""),"001920914920000")</f>
        <v>001920914920000</v>
      </c>
      <c r="M468" s="2" t="str">
        <f ca="1">IFERROR(__xludf.DUMMYFUNCTION("""COMPUTED_VALUE"""),"1920914920000")</f>
        <v>1920914920000</v>
      </c>
      <c r="N468" s="1" t="str">
        <f ca="1">IFERROR(__xludf.DUMMYFUNCTION("""COMPUTED_VALUE"""),"EEEFM CEL NEWTON BARREIRA")</f>
        <v>EEEFM CEL NEWTON BARREIRA</v>
      </c>
      <c r="O468" s="1"/>
      <c r="P468" s="1"/>
      <c r="Q468" s="1" t="s">
        <v>443</v>
      </c>
    </row>
    <row r="469" spans="1:17" x14ac:dyDescent="0.25">
      <c r="A469" s="2" t="str">
        <f ca="1">IFERROR(__xludf.DUMMYFUNCTION("""COMPUTED_VALUE"""),"REG DE INTEGRA DO RIO CAITE")</f>
        <v>REG DE INTEGRA DO RIO CAITE</v>
      </c>
      <c r="B469" s="1" t="str">
        <f ca="1">IFERROR(__xludf.DUMMYFUNCTION("""COMPUTED_VALUE"""),"DRE BRAGANCA")</f>
        <v>DRE BRAGANCA</v>
      </c>
      <c r="C469" s="2" t="str">
        <f ca="1">IFERROR(__xludf.DUMMYFUNCTION("""COMPUTED_VALUE"""),"DRE - BRAGANCA")</f>
        <v>DRE - BRAGANCA</v>
      </c>
      <c r="D469" s="1"/>
      <c r="E469" s="2" t="str">
        <f ca="1">IFERROR(__xludf.DUMMYFUNCTION("""COMPUTED_VALUE"""),"DRE - BRAGANCA")</f>
        <v>DRE - BRAGANCA</v>
      </c>
      <c r="F469" s="1"/>
      <c r="G469" s="1"/>
      <c r="H469" s="1" t="str">
        <f ca="1">IFERROR(__xludf.DUMMYFUNCTION("""COMPUTED_VALUE"""),"01A URE - BRAGANCA")</f>
        <v>01A URE - BRAGANCA</v>
      </c>
      <c r="I469" s="1"/>
      <c r="J469" s="1" t="str">
        <f ca="1">IFERROR(__xludf.DUMMYFUNCTION("""COMPUTED_VALUE"""),"CACHOEIRA DO PIRIA")</f>
        <v>CACHOEIRA DO PIRIA</v>
      </c>
      <c r="K469" s="1"/>
      <c r="L469" s="2" t="str">
        <f ca="1">IFERROR(__xludf.DUMMYFUNCTION("""COMPUTED_VALUE"""),"001920963000000")</f>
        <v>001920963000000</v>
      </c>
      <c r="M469" s="2" t="str">
        <f ca="1">IFERROR(__xludf.DUMMYFUNCTION("""COMPUTED_VALUE"""),"1920963000000")</f>
        <v>1920963000000</v>
      </c>
      <c r="N469" s="1" t="str">
        <f ca="1">IFERROR(__xludf.DUMMYFUNCTION("""COMPUTED_VALUE"""),"ESCOLA ESTADUAL RURAL DE CACHOEIRA DO PIRIA")</f>
        <v>ESCOLA ESTADUAL RURAL DE CACHOEIRA DO PIRIA</v>
      </c>
      <c r="O469" s="1"/>
      <c r="P469" s="1"/>
      <c r="Q469" s="1" t="s">
        <v>443</v>
      </c>
    </row>
    <row r="470" spans="1:17" x14ac:dyDescent="0.25">
      <c r="A470" s="2" t="str">
        <f ca="1">IFERROR(__xludf.DUMMYFUNCTION("""COMPUTED_VALUE"""),"REG DE INTEGRA DO RIO CAITE")</f>
        <v>REG DE INTEGRA DO RIO CAITE</v>
      </c>
      <c r="B470" s="1" t="str">
        <f ca="1">IFERROR(__xludf.DUMMYFUNCTION("""COMPUTED_VALUE"""),"DRE BRAGANCA")</f>
        <v>DRE BRAGANCA</v>
      </c>
      <c r="C470" s="2" t="str">
        <f ca="1">IFERROR(__xludf.DUMMYFUNCTION("""COMPUTED_VALUE"""),"DRE - BRAGANCA")</f>
        <v>DRE - BRAGANCA</v>
      </c>
      <c r="D470" s="1"/>
      <c r="E470" s="2" t="str">
        <f ca="1">IFERROR(__xludf.DUMMYFUNCTION("""COMPUTED_VALUE"""),"DRE - BRAGANCA")</f>
        <v>DRE - BRAGANCA</v>
      </c>
      <c r="F470" s="1">
        <f ca="1">IFERROR(__xludf.DUMMYFUNCTION("""COMPUTED_VALUE"""),3)</f>
        <v>3</v>
      </c>
      <c r="G470" s="1" t="str">
        <f ca="1">IFERROR(__xludf.DUMMYFUNCTION("""COMPUTED_VALUE"""),"DRE BRAGANCA")</f>
        <v>DRE BRAGANCA</v>
      </c>
      <c r="H470" s="1" t="str">
        <f ca="1">IFERROR(__xludf.DUMMYFUNCTION("""COMPUTED_VALUE"""),"01A URE - BRAGANCA")</f>
        <v>01A URE - BRAGANCA</v>
      </c>
      <c r="I470" s="1"/>
      <c r="J470" s="1" t="str">
        <f ca="1">IFERROR(__xludf.DUMMYFUNCTION("""COMPUTED_VALUE"""),"TRACUATEUA")</f>
        <v>TRACUATEUA</v>
      </c>
      <c r="K470" s="1">
        <f ca="1">IFERROR(__xludf.DUMMYFUNCTION("""COMPUTED_VALUE"""),15057283)</f>
        <v>15057283</v>
      </c>
      <c r="L470" s="2" t="str">
        <f ca="1">IFERROR(__xludf.DUMMYFUNCTION("""COMPUTED_VALUE"""),"001920913540000")</f>
        <v>001920913540000</v>
      </c>
      <c r="M470" s="2" t="str">
        <f ca="1">IFERROR(__xludf.DUMMYFUNCTION("""COMPUTED_VALUE"""),"1920913540000")</f>
        <v>1920913540000</v>
      </c>
      <c r="N470" s="1" t="str">
        <f ca="1">IFERROR(__xludf.DUMMYFUNCTION("""COMPUTED_VALUE"""),"EEEFM MARILDA FIGUEIREDO NUNES")</f>
        <v>EEEFM MARILDA FIGUEIREDO NUNES</v>
      </c>
      <c r="O470" s="1"/>
      <c r="P470" s="1"/>
      <c r="Q470" s="1" t="s">
        <v>443</v>
      </c>
    </row>
    <row r="471" spans="1:17" x14ac:dyDescent="0.25">
      <c r="A471" s="2" t="str">
        <f ca="1">IFERROR(__xludf.DUMMYFUNCTION("""COMPUTED_VALUE"""),"REG DE INTEGRA DO RIO CAITE")</f>
        <v>REG DE INTEGRA DO RIO CAITE</v>
      </c>
      <c r="B471" s="1" t="str">
        <f ca="1">IFERROR(__xludf.DUMMYFUNCTION("""COMPUTED_VALUE"""),"DRE BRAGANCA")</f>
        <v>DRE BRAGANCA</v>
      </c>
      <c r="C471" s="2" t="str">
        <f ca="1">IFERROR(__xludf.DUMMYFUNCTION("""COMPUTED_VALUE"""),"DRE - BRAGANCA")</f>
        <v>DRE - BRAGANCA</v>
      </c>
      <c r="D471" s="1"/>
      <c r="E471" s="2" t="str">
        <f ca="1">IFERROR(__xludf.DUMMYFUNCTION("""COMPUTED_VALUE"""),"DRE - BRAGANCA")</f>
        <v>DRE - BRAGANCA</v>
      </c>
      <c r="F471" s="1">
        <f ca="1">IFERROR(__xludf.DUMMYFUNCTION("""COMPUTED_VALUE"""),3)</f>
        <v>3</v>
      </c>
      <c r="G471" s="1" t="str">
        <f ca="1">IFERROR(__xludf.DUMMYFUNCTION("""COMPUTED_VALUE"""),"DRE BRAGANCA")</f>
        <v>DRE BRAGANCA</v>
      </c>
      <c r="H471" s="1" t="str">
        <f ca="1">IFERROR(__xludf.DUMMYFUNCTION("""COMPUTED_VALUE"""),"01A URE - BRAGANCA")</f>
        <v>01A URE - BRAGANCA</v>
      </c>
      <c r="I471" s="1"/>
      <c r="J471" s="1" t="str">
        <f ca="1">IFERROR(__xludf.DUMMYFUNCTION("""COMPUTED_VALUE"""),"TRACUATEUA")</f>
        <v>TRACUATEUA</v>
      </c>
      <c r="K471" s="1">
        <f ca="1">IFERROR(__xludf.DUMMYFUNCTION("""COMPUTED_VALUE"""),15059260)</f>
        <v>15059260</v>
      </c>
      <c r="L471" s="2" t="str">
        <f ca="1">IFERROR(__xludf.DUMMYFUNCTION("""COMPUTED_VALUE"""),"001920913480000")</f>
        <v>001920913480000</v>
      </c>
      <c r="M471" s="2" t="str">
        <f ca="1">IFERROR(__xludf.DUMMYFUNCTION("""COMPUTED_VALUE"""),"1920913480000")</f>
        <v>1920913480000</v>
      </c>
      <c r="N471" s="1" t="str">
        <f ca="1">IFERROR(__xludf.DUMMYFUNCTION("""COMPUTED_VALUE"""),"EEEM CEL PINHEIRO JUNIOR")</f>
        <v>EEEM CEL PINHEIRO JUNIOR</v>
      </c>
      <c r="O471" s="1"/>
      <c r="P471" s="1"/>
      <c r="Q471" s="1" t="s">
        <v>443</v>
      </c>
    </row>
    <row r="472" spans="1:17" x14ac:dyDescent="0.25">
      <c r="A472" s="2" t="str">
        <f ca="1">IFERROR(__xludf.DUMMYFUNCTION("""COMPUTED_VALUE"""),"REG DE INTEGRA DO RIO CAITE")</f>
        <v>REG DE INTEGRA DO RIO CAITE</v>
      </c>
      <c r="B472" s="1" t="str">
        <f ca="1">IFERROR(__xludf.DUMMYFUNCTION("""COMPUTED_VALUE"""),"DRE BRAGANCA")</f>
        <v>DRE BRAGANCA</v>
      </c>
      <c r="C472" s="2" t="str">
        <f ca="1">IFERROR(__xludf.DUMMYFUNCTION("""COMPUTED_VALUE"""),"DRE - BRAGANCA")</f>
        <v>DRE - BRAGANCA</v>
      </c>
      <c r="D472" s="1"/>
      <c r="E472" s="2" t="str">
        <f ca="1">IFERROR(__xludf.DUMMYFUNCTION("""COMPUTED_VALUE"""),"DRE - BRAGANCA")</f>
        <v>DRE - BRAGANCA</v>
      </c>
      <c r="F472" s="1">
        <f ca="1">IFERROR(__xludf.DUMMYFUNCTION("""COMPUTED_VALUE"""),3)</f>
        <v>3</v>
      </c>
      <c r="G472" s="1" t="str">
        <f ca="1">IFERROR(__xludf.DUMMYFUNCTION("""COMPUTED_VALUE"""),"DRE BRAGANCA")</f>
        <v>DRE BRAGANCA</v>
      </c>
      <c r="H472" s="1" t="str">
        <f ca="1">IFERROR(__xludf.DUMMYFUNCTION("""COMPUTED_VALUE"""),"01A URE - BRAGANCA")</f>
        <v>01A URE - BRAGANCA</v>
      </c>
      <c r="I472" s="1"/>
      <c r="J472" s="1" t="str">
        <f ca="1">IFERROR(__xludf.DUMMYFUNCTION("""COMPUTED_VALUE"""),"VISEU")</f>
        <v>VISEU</v>
      </c>
      <c r="K472" s="1">
        <f ca="1">IFERROR(__xludf.DUMMYFUNCTION("""COMPUTED_VALUE"""),15172490)</f>
        <v>15172490</v>
      </c>
      <c r="L472" s="2" t="str">
        <f ca="1">IFERROR(__xludf.DUMMYFUNCTION("""COMPUTED_VALUE"""),"001920927760001")</f>
        <v>001920927760001</v>
      </c>
      <c r="M472" s="2" t="str">
        <f ca="1">IFERROR(__xludf.DUMMYFUNCTION("""COMPUTED_VALUE"""),"1920927760001")</f>
        <v>1920927760001</v>
      </c>
      <c r="N472" s="1" t="str">
        <f ca="1">IFERROR(__xludf.DUMMYFUNCTION("""COMPUTED_VALUE"""),"ANEXO I EEEM PADRE LUCIANO CALDERARA")</f>
        <v>ANEXO I EEEM PADRE LUCIANO CALDERARA</v>
      </c>
      <c r="O472" s="1"/>
      <c r="P472" s="1"/>
      <c r="Q472" s="1" t="s">
        <v>443</v>
      </c>
    </row>
    <row r="473" spans="1:17" x14ac:dyDescent="0.25">
      <c r="A473" s="2" t="str">
        <f ca="1">IFERROR(__xludf.DUMMYFUNCTION("""COMPUTED_VALUE"""),"REG DE INTEGRA DO RIO CAITE")</f>
        <v>REG DE INTEGRA DO RIO CAITE</v>
      </c>
      <c r="B473" s="1" t="str">
        <f ca="1">IFERROR(__xludf.DUMMYFUNCTION("""COMPUTED_VALUE"""),"DRE BRAGANCA")</f>
        <v>DRE BRAGANCA</v>
      </c>
      <c r="C473" s="2" t="str">
        <f ca="1">IFERROR(__xludf.DUMMYFUNCTION("""COMPUTED_VALUE"""),"DRE - BRAGANCA")</f>
        <v>DRE - BRAGANCA</v>
      </c>
      <c r="D473" s="1"/>
      <c r="E473" s="2" t="str">
        <f ca="1">IFERROR(__xludf.DUMMYFUNCTION("""COMPUTED_VALUE"""),"DRE - BRAGANCA")</f>
        <v>DRE - BRAGANCA</v>
      </c>
      <c r="F473" s="1">
        <f ca="1">IFERROR(__xludf.DUMMYFUNCTION("""COMPUTED_VALUE"""),3)</f>
        <v>3</v>
      </c>
      <c r="G473" s="1" t="str">
        <f ca="1">IFERROR(__xludf.DUMMYFUNCTION("""COMPUTED_VALUE"""),"DRE BRAGANCA")</f>
        <v>DRE BRAGANCA</v>
      </c>
      <c r="H473" s="1" t="str">
        <f ca="1">IFERROR(__xludf.DUMMYFUNCTION("""COMPUTED_VALUE"""),"01A URE - BRAGANCA")</f>
        <v>01A URE - BRAGANCA</v>
      </c>
      <c r="I473" s="1"/>
      <c r="J473" s="1" t="str">
        <f ca="1">IFERROR(__xludf.DUMMYFUNCTION("""COMPUTED_VALUE"""),"VISEU")</f>
        <v>VISEU</v>
      </c>
      <c r="K473" s="1">
        <f ca="1">IFERROR(__xludf.DUMMYFUNCTION("""COMPUTED_VALUE"""),15172503)</f>
        <v>15172503</v>
      </c>
      <c r="L473" s="2" t="str">
        <f ca="1">IFERROR(__xludf.DUMMYFUNCTION("""COMPUTED_VALUE"""),"001920927760002")</f>
        <v>001920927760002</v>
      </c>
      <c r="M473" s="2" t="str">
        <f ca="1">IFERROR(__xludf.DUMMYFUNCTION("""COMPUTED_VALUE"""),"1920927760002")</f>
        <v>1920927760002</v>
      </c>
      <c r="N473" s="1" t="str">
        <f ca="1">IFERROR(__xludf.DUMMYFUNCTION("""COMPUTED_VALUE"""),"ANEXO II EEEM PADRE LUCIANO CALDERARA")</f>
        <v>ANEXO II EEEM PADRE LUCIANO CALDERARA</v>
      </c>
      <c r="O473" s="1"/>
      <c r="P473" s="1"/>
      <c r="Q473" s="1" t="s">
        <v>443</v>
      </c>
    </row>
    <row r="474" spans="1:17" x14ac:dyDescent="0.25">
      <c r="A474" s="2" t="str">
        <f ca="1">IFERROR(__xludf.DUMMYFUNCTION("""COMPUTED_VALUE"""),"REG DE INTEGRA DO RIO CAITE")</f>
        <v>REG DE INTEGRA DO RIO CAITE</v>
      </c>
      <c r="B474" s="1" t="str">
        <f ca="1">IFERROR(__xludf.DUMMYFUNCTION("""COMPUTED_VALUE"""),"DRE BRAGANCA")</f>
        <v>DRE BRAGANCA</v>
      </c>
      <c r="C474" s="2" t="str">
        <f ca="1">IFERROR(__xludf.DUMMYFUNCTION("""COMPUTED_VALUE"""),"DRE - BRAGANCA")</f>
        <v>DRE - BRAGANCA</v>
      </c>
      <c r="D474" s="1"/>
      <c r="E474" s="2" t="str">
        <f ca="1">IFERROR(__xludf.DUMMYFUNCTION("""COMPUTED_VALUE"""),"DRE - BRAGANCA")</f>
        <v>DRE - BRAGANCA</v>
      </c>
      <c r="F474" s="1">
        <f ca="1">IFERROR(__xludf.DUMMYFUNCTION("""COMPUTED_VALUE"""),3)</f>
        <v>3</v>
      </c>
      <c r="G474" s="1" t="str">
        <f ca="1">IFERROR(__xludf.DUMMYFUNCTION("""COMPUTED_VALUE"""),"DRE BRAGANCA")</f>
        <v>DRE BRAGANCA</v>
      </c>
      <c r="H474" s="1" t="str">
        <f ca="1">IFERROR(__xludf.DUMMYFUNCTION("""COMPUTED_VALUE"""),"01A URE - BRAGANCA")</f>
        <v>01A URE - BRAGANCA</v>
      </c>
      <c r="I474" s="1"/>
      <c r="J474" s="1" t="str">
        <f ca="1">IFERROR(__xludf.DUMMYFUNCTION("""COMPUTED_VALUE"""),"VISEU")</f>
        <v>VISEU</v>
      </c>
      <c r="K474" s="1">
        <f ca="1">IFERROR(__xludf.DUMMYFUNCTION("""COMPUTED_VALUE"""),15172511)</f>
        <v>15172511</v>
      </c>
      <c r="L474" s="2" t="str">
        <f ca="1">IFERROR(__xludf.DUMMYFUNCTION("""COMPUTED_VALUE"""),"001920927760003")</f>
        <v>001920927760003</v>
      </c>
      <c r="M474" s="2" t="str">
        <f ca="1">IFERROR(__xludf.DUMMYFUNCTION("""COMPUTED_VALUE"""),"1920927760003")</f>
        <v>1920927760003</v>
      </c>
      <c r="N474" s="1" t="str">
        <f ca="1">IFERROR(__xludf.DUMMYFUNCTION("""COMPUTED_VALUE"""),"ANEXO III EEEM PADRE LUCIANO CALDERARA")</f>
        <v>ANEXO III EEEM PADRE LUCIANO CALDERARA</v>
      </c>
      <c r="O474" s="1"/>
      <c r="P474" s="1"/>
      <c r="Q474" s="1" t="s">
        <v>443</v>
      </c>
    </row>
    <row r="475" spans="1:17" x14ac:dyDescent="0.25">
      <c r="A475" s="2" t="str">
        <f ca="1">IFERROR(__xludf.DUMMYFUNCTION("""COMPUTED_VALUE"""),"REG DE INTEGRA DO RIO CAITE")</f>
        <v>REG DE INTEGRA DO RIO CAITE</v>
      </c>
      <c r="B475" s="1" t="str">
        <f ca="1">IFERROR(__xludf.DUMMYFUNCTION("""COMPUTED_VALUE"""),"DRE BRAGANCA")</f>
        <v>DRE BRAGANCA</v>
      </c>
      <c r="C475" s="2" t="str">
        <f ca="1">IFERROR(__xludf.DUMMYFUNCTION("""COMPUTED_VALUE"""),"DRE - BRAGANCA")</f>
        <v>DRE - BRAGANCA</v>
      </c>
      <c r="D475" s="1"/>
      <c r="E475" s="2" t="str">
        <f ca="1">IFERROR(__xludf.DUMMYFUNCTION("""COMPUTED_VALUE"""),"DRE - BRAGANCA")</f>
        <v>DRE - BRAGANCA</v>
      </c>
      <c r="F475" s="1"/>
      <c r="G475" s="1"/>
      <c r="H475" s="1" t="str">
        <f ca="1">IFERROR(__xludf.DUMMYFUNCTION("""COMPUTED_VALUE"""),"01A URE - BRAGANCA")</f>
        <v>01A URE - BRAGANCA</v>
      </c>
      <c r="I475" s="1"/>
      <c r="J475" s="1" t="str">
        <f ca="1">IFERROR(__xludf.DUMMYFUNCTION("""COMPUTED_VALUE"""),"VISEU")</f>
        <v>VISEU</v>
      </c>
      <c r="K475" s="1"/>
      <c r="L475" s="2" t="str">
        <f ca="1">IFERROR(__xludf.DUMMYFUNCTION("""COMPUTED_VALUE"""),"001920927760004")</f>
        <v>001920927760004</v>
      </c>
      <c r="M475" s="2" t="str">
        <f ca="1">IFERROR(__xludf.DUMMYFUNCTION("""COMPUTED_VALUE"""),"1920927760004")</f>
        <v>1920927760004</v>
      </c>
      <c r="N475" s="1" t="str">
        <f ca="1">IFERROR(__xludf.DUMMYFUNCTION("""COMPUTED_VALUE"""),"ANEXO IV EEEM PADRE LUCIANO CALDERARA")</f>
        <v>ANEXO IV EEEM PADRE LUCIANO CALDERARA</v>
      </c>
      <c r="O475" s="1"/>
      <c r="P475" s="1"/>
      <c r="Q475" s="1" t="s">
        <v>443</v>
      </c>
    </row>
    <row r="476" spans="1:17" x14ac:dyDescent="0.25">
      <c r="A476" s="2" t="str">
        <f ca="1">IFERROR(__xludf.DUMMYFUNCTION("""COMPUTED_VALUE"""),"REG DE INTEGRA DO RIO CAITE")</f>
        <v>REG DE INTEGRA DO RIO CAITE</v>
      </c>
      <c r="B476" s="1" t="str">
        <f ca="1">IFERROR(__xludf.DUMMYFUNCTION("""COMPUTED_VALUE"""),"DRE BRAGANCA")</f>
        <v>DRE BRAGANCA</v>
      </c>
      <c r="C476" s="2" t="str">
        <f ca="1">IFERROR(__xludf.DUMMYFUNCTION("""COMPUTED_VALUE"""),"DRE - BRAGANCA")</f>
        <v>DRE - BRAGANCA</v>
      </c>
      <c r="D476" s="1"/>
      <c r="E476" s="2" t="str">
        <f ca="1">IFERROR(__xludf.DUMMYFUNCTION("""COMPUTED_VALUE"""),"DRE - BRAGANCA")</f>
        <v>DRE - BRAGANCA</v>
      </c>
      <c r="F476" s="1">
        <f ca="1">IFERROR(__xludf.DUMMYFUNCTION("""COMPUTED_VALUE"""),3)</f>
        <v>3</v>
      </c>
      <c r="G476" s="1"/>
      <c r="H476" s="1" t="str">
        <f ca="1">IFERROR(__xludf.DUMMYFUNCTION("""COMPUTED_VALUE"""),"01A URE - BRAGANCA")</f>
        <v>01A URE - BRAGANCA</v>
      </c>
      <c r="I476" s="1"/>
      <c r="J476" s="1" t="str">
        <f ca="1">IFERROR(__xludf.DUMMYFUNCTION("""COMPUTED_VALUE"""),"VISEU")</f>
        <v>VISEU</v>
      </c>
      <c r="K476" s="1">
        <f ca="1">IFERROR(__xludf.DUMMYFUNCTION("""COMPUTED_VALUE"""),15177939)</f>
        <v>15177939</v>
      </c>
      <c r="L476" s="2" t="str">
        <f ca="1">IFERROR(__xludf.DUMMYFUNCTION("""COMPUTED_VALUE"""),"001920927760005")</f>
        <v>001920927760005</v>
      </c>
      <c r="M476" s="2" t="str">
        <f ca="1">IFERROR(__xludf.DUMMYFUNCTION("""COMPUTED_VALUE"""),"1920927760005")</f>
        <v>1920927760005</v>
      </c>
      <c r="N476" s="1" t="str">
        <f ca="1">IFERROR(__xludf.DUMMYFUNCTION("""COMPUTED_VALUE"""),"ANEXO RURAL PADRE LUCIANO CALDERARA")</f>
        <v>ANEXO RURAL PADRE LUCIANO CALDERARA</v>
      </c>
      <c r="O476" s="1"/>
      <c r="P476" s="1"/>
      <c r="Q476" s="1" t="s">
        <v>443</v>
      </c>
    </row>
    <row r="477" spans="1:17" x14ac:dyDescent="0.25">
      <c r="A477" s="2" t="str">
        <f ca="1">IFERROR(__xludf.DUMMYFUNCTION("""COMPUTED_VALUE"""),"REG DE INTEGRA DO RIO CAITE")</f>
        <v>REG DE INTEGRA DO RIO CAITE</v>
      </c>
      <c r="B477" s="1" t="str">
        <f ca="1">IFERROR(__xludf.DUMMYFUNCTION("""COMPUTED_VALUE"""),"DRE BRAGANCA")</f>
        <v>DRE BRAGANCA</v>
      </c>
      <c r="C477" s="2" t="str">
        <f ca="1">IFERROR(__xludf.DUMMYFUNCTION("""COMPUTED_VALUE"""),"DRE - BRAGANCA")</f>
        <v>DRE - BRAGANCA</v>
      </c>
      <c r="D477" s="1"/>
      <c r="E477" s="2" t="str">
        <f ca="1">IFERROR(__xludf.DUMMYFUNCTION("""COMPUTED_VALUE"""),"DRE - BRAGANCA")</f>
        <v>DRE - BRAGANCA</v>
      </c>
      <c r="F477" s="1">
        <f ca="1">IFERROR(__xludf.DUMMYFUNCTION("""COMPUTED_VALUE"""),3)</f>
        <v>3</v>
      </c>
      <c r="G477" s="1" t="str">
        <f ca="1">IFERROR(__xludf.DUMMYFUNCTION("""COMPUTED_VALUE"""),"DRE BRAGANCA")</f>
        <v>DRE BRAGANCA</v>
      </c>
      <c r="H477" s="1" t="str">
        <f ca="1">IFERROR(__xludf.DUMMYFUNCTION("""COMPUTED_VALUE"""),"01A URE - BRAGANCA")</f>
        <v>01A URE - BRAGANCA</v>
      </c>
      <c r="I477" s="1"/>
      <c r="J477" s="1" t="str">
        <f ca="1">IFERROR(__xludf.DUMMYFUNCTION("""COMPUTED_VALUE"""),"VISEU")</f>
        <v>VISEU</v>
      </c>
      <c r="K477" s="1">
        <f ca="1">IFERROR(__xludf.DUMMYFUNCTION("""COMPUTED_VALUE"""),15097145)</f>
        <v>15097145</v>
      </c>
      <c r="L477" s="2" t="str">
        <f ca="1">IFERROR(__xludf.DUMMYFUNCTION("""COMPUTED_VALUE"""),"001920927760000")</f>
        <v>001920927760000</v>
      </c>
      <c r="M477" s="2" t="str">
        <f ca="1">IFERROR(__xludf.DUMMYFUNCTION("""COMPUTED_VALUE"""),"1920927760000")</f>
        <v>1920927760000</v>
      </c>
      <c r="N477" s="1" t="str">
        <f ca="1">IFERROR(__xludf.DUMMYFUNCTION("""COMPUTED_VALUE"""),"EEEM PADRE LUCIANO CALDERARA")</f>
        <v>EEEM PADRE LUCIANO CALDERARA</v>
      </c>
      <c r="O477" s="1"/>
      <c r="P477" s="1"/>
      <c r="Q477" s="1" t="s">
        <v>443</v>
      </c>
    </row>
    <row r="478" spans="1:17" x14ac:dyDescent="0.25">
      <c r="A478" s="2" t="str">
        <f ca="1">IFERROR(__xludf.DUMMYFUNCTION("""COMPUTED_VALUE"""),"REG DE INTEGRA DO RIO CAITE")</f>
        <v>REG DE INTEGRA DO RIO CAITE</v>
      </c>
      <c r="B478" s="1" t="str">
        <f ca="1">IFERROR(__xludf.DUMMYFUNCTION("""COMPUTED_VALUE"""),"DRE BRAGANCA")</f>
        <v>DRE BRAGANCA</v>
      </c>
      <c r="C478" s="2" t="str">
        <f ca="1">IFERROR(__xludf.DUMMYFUNCTION("""COMPUTED_VALUE"""),"DRE - BRAGANCA")</f>
        <v>DRE - BRAGANCA</v>
      </c>
      <c r="D478" s="1"/>
      <c r="E478" s="2" t="str">
        <f ca="1">IFERROR(__xludf.DUMMYFUNCTION("""COMPUTED_VALUE"""),"DRE - BRAGANCA")</f>
        <v>DRE - BRAGANCA</v>
      </c>
      <c r="F478" s="1"/>
      <c r="G478" s="1"/>
      <c r="H478" s="1" t="str">
        <f ca="1">IFERROR(__xludf.DUMMYFUNCTION("""COMPUTED_VALUE"""),"01A URE - BRAGANCA")</f>
        <v>01A URE - BRAGANCA</v>
      </c>
      <c r="I478" s="1"/>
      <c r="J478" s="1" t="str">
        <f ca="1">IFERROR(__xludf.DUMMYFUNCTION("""COMPUTED_VALUE"""),"VISEU")</f>
        <v>VISEU</v>
      </c>
      <c r="K478" s="1"/>
      <c r="L478" s="2" t="str">
        <f ca="1">IFERROR(__xludf.DUMMYFUNCTION("""COMPUTED_VALUE"""),"001920964000000")</f>
        <v>001920964000000</v>
      </c>
      <c r="M478" s="2" t="str">
        <f ca="1">IFERROR(__xludf.DUMMYFUNCTION("""COMPUTED_VALUE"""),"1920964000000")</f>
        <v>1920964000000</v>
      </c>
      <c r="N478" s="1" t="str">
        <f ca="1">IFERROR(__xludf.DUMMYFUNCTION("""COMPUTED_VALUE"""),"ESCOLA ESTADUAL RURAL DE VISEU")</f>
        <v>ESCOLA ESTADUAL RURAL DE VISEU</v>
      </c>
      <c r="O478" s="1"/>
      <c r="P478" s="1"/>
      <c r="Q478" s="1" t="s">
        <v>443</v>
      </c>
    </row>
    <row r="479" spans="1:17" x14ac:dyDescent="0.25">
      <c r="A479" s="2" t="str">
        <f ca="1">IFERROR(__xludf.DUMMYFUNCTION("""COMPUTED_VALUE"""),"REG DE INTEGRA DO MARAJO")</f>
        <v>REG DE INTEGRA DO MARAJO</v>
      </c>
      <c r="B479" s="1" t="str">
        <f ca="1">IFERROR(__xludf.DUMMYFUNCTION("""COMPUTED_VALUE"""),"DRE BREVES")</f>
        <v>DRE BREVES</v>
      </c>
      <c r="C479" s="2" t="str">
        <f ca="1">IFERROR(__xludf.DUMMYFUNCTION("""COMPUTED_VALUE"""),"DRE - BREVES")</f>
        <v>DRE - BREVES</v>
      </c>
      <c r="D479" s="1"/>
      <c r="E479" s="2" t="str">
        <f ca="1">IFERROR(__xludf.DUMMYFUNCTION("""COMPUTED_VALUE"""),"DRE - BREVES")</f>
        <v>DRE - BREVES</v>
      </c>
      <c r="F479" s="1">
        <f ca="1">IFERROR(__xludf.DUMMYFUNCTION("""COMPUTED_VALUE"""),2)</f>
        <v>2</v>
      </c>
      <c r="G479" s="1"/>
      <c r="H479" s="1" t="str">
        <f ca="1">IFERROR(__xludf.DUMMYFUNCTION("""COMPUTED_VALUE"""),"13A URE - BREVES")</f>
        <v>13A URE - BREVES</v>
      </c>
      <c r="I479" s="1"/>
      <c r="J479" s="1" t="str">
        <f ca="1">IFERROR(__xludf.DUMMYFUNCTION("""COMPUTED_VALUE"""),"ANAJAS")</f>
        <v>ANAJAS</v>
      </c>
      <c r="K479" s="1">
        <f ca="1">IFERROR(__xludf.DUMMYFUNCTION("""COMPUTED_VALUE"""),15178218)</f>
        <v>15178218</v>
      </c>
      <c r="L479" s="2" t="str">
        <f ca="1">IFERROR(__xludf.DUMMYFUNCTION("""COMPUTED_VALUE"""),"001920921960001")</f>
        <v>001920921960001</v>
      </c>
      <c r="M479" s="2" t="str">
        <f ca="1">IFERROR(__xludf.DUMMYFUNCTION("""COMPUTED_VALUE"""),"1920921960001")</f>
        <v>1920921960001</v>
      </c>
      <c r="N479" s="1" t="str">
        <f ca="1">IFERROR(__xludf.DUMMYFUNCTION("""COMPUTED_VALUE"""),"ANEXO RURAL RUI BARBOSA")</f>
        <v>ANEXO RURAL RUI BARBOSA</v>
      </c>
      <c r="O479" s="1"/>
      <c r="P479" s="1"/>
      <c r="Q479" s="1" t="s">
        <v>490</v>
      </c>
    </row>
    <row r="480" spans="1:17" x14ac:dyDescent="0.25">
      <c r="A480" s="2" t="str">
        <f ca="1">IFERROR(__xludf.DUMMYFUNCTION("""COMPUTED_VALUE"""),"REG DE INTEGRA DO MARAJO")</f>
        <v>REG DE INTEGRA DO MARAJO</v>
      </c>
      <c r="B480" s="1" t="str">
        <f ca="1">IFERROR(__xludf.DUMMYFUNCTION("""COMPUTED_VALUE"""),"DRE BREVES")</f>
        <v>DRE BREVES</v>
      </c>
      <c r="C480" s="2" t="str">
        <f ca="1">IFERROR(__xludf.DUMMYFUNCTION("""COMPUTED_VALUE"""),"DRE - BREVES")</f>
        <v>DRE - BREVES</v>
      </c>
      <c r="D480" s="1"/>
      <c r="E480" s="2" t="str">
        <f ca="1">IFERROR(__xludf.DUMMYFUNCTION("""COMPUTED_VALUE"""),"DRE - BREVES")</f>
        <v>DRE - BREVES</v>
      </c>
      <c r="F480" s="1">
        <f ca="1">IFERROR(__xludf.DUMMYFUNCTION("""COMPUTED_VALUE"""),2)</f>
        <v>2</v>
      </c>
      <c r="G480" s="1" t="str">
        <f ca="1">IFERROR(__xludf.DUMMYFUNCTION("""COMPUTED_VALUE"""),"DRE BREVES")</f>
        <v>DRE BREVES</v>
      </c>
      <c r="H480" s="1" t="str">
        <f ca="1">IFERROR(__xludf.DUMMYFUNCTION("""COMPUTED_VALUE"""),"13A URE - BREVES")</f>
        <v>13A URE - BREVES</v>
      </c>
      <c r="I480" s="1"/>
      <c r="J480" s="1" t="str">
        <f ca="1">IFERROR(__xludf.DUMMYFUNCTION("""COMPUTED_VALUE"""),"ANAJAS")</f>
        <v>ANAJAS</v>
      </c>
      <c r="K480" s="1">
        <f ca="1">IFERROR(__xludf.DUMMYFUNCTION("""COMPUTED_VALUE"""),15024237)</f>
        <v>15024237</v>
      </c>
      <c r="L480" s="2" t="str">
        <f ca="1">IFERROR(__xludf.DUMMYFUNCTION("""COMPUTED_VALUE"""),"001920921960000")</f>
        <v>001920921960000</v>
      </c>
      <c r="M480" s="2" t="str">
        <f ca="1">IFERROR(__xludf.DUMMYFUNCTION("""COMPUTED_VALUE"""),"1920921960000")</f>
        <v>1920921960000</v>
      </c>
      <c r="N480" s="1" t="str">
        <f ca="1">IFERROR(__xludf.DUMMYFUNCTION("""COMPUTED_VALUE"""),"EEEM RUI BARBOSA")</f>
        <v>EEEM RUI BARBOSA</v>
      </c>
      <c r="O480" s="1"/>
      <c r="P480" s="1"/>
      <c r="Q480" s="1" t="s">
        <v>490</v>
      </c>
    </row>
    <row r="481" spans="1:17" x14ac:dyDescent="0.25">
      <c r="A481" s="2" t="str">
        <f ca="1">IFERROR(__xludf.DUMMYFUNCTION("""COMPUTED_VALUE"""),"REG DE INTEGRA DO MARAJO")</f>
        <v>REG DE INTEGRA DO MARAJO</v>
      </c>
      <c r="B481" s="1" t="str">
        <f ca="1">IFERROR(__xludf.DUMMYFUNCTION("""COMPUTED_VALUE"""),"DRE BREVES")</f>
        <v>DRE BREVES</v>
      </c>
      <c r="C481" s="2" t="str">
        <f ca="1">IFERROR(__xludf.DUMMYFUNCTION("""COMPUTED_VALUE"""),"DRE - BREVES")</f>
        <v>DRE - BREVES</v>
      </c>
      <c r="D481" s="1"/>
      <c r="E481" s="2" t="str">
        <f ca="1">IFERROR(__xludf.DUMMYFUNCTION("""COMPUTED_VALUE"""),"DRE - BREVES")</f>
        <v>DRE - BREVES</v>
      </c>
      <c r="F481" s="1"/>
      <c r="G481" s="1"/>
      <c r="H481" s="1" t="str">
        <f ca="1">IFERROR(__xludf.DUMMYFUNCTION("""COMPUTED_VALUE"""),"13A URE - BREVES")</f>
        <v>13A URE - BREVES</v>
      </c>
      <c r="I481" s="1"/>
      <c r="J481" s="1" t="str">
        <f ca="1">IFERROR(__xludf.DUMMYFUNCTION("""COMPUTED_VALUE"""),"ANAJAS")</f>
        <v>ANAJAS</v>
      </c>
      <c r="K481" s="1"/>
      <c r="L481" s="2" t="str">
        <f ca="1">IFERROR(__xludf.DUMMYFUNCTION("""COMPUTED_VALUE"""),"001921020000000")</f>
        <v>001921020000000</v>
      </c>
      <c r="M481" s="2" t="str">
        <f ca="1">IFERROR(__xludf.DUMMYFUNCTION("""COMPUTED_VALUE"""),"1921020000000")</f>
        <v>1921020000000</v>
      </c>
      <c r="N481" s="1" t="str">
        <f ca="1">IFERROR(__xludf.DUMMYFUNCTION("""COMPUTED_VALUE"""),"ESCOLA ESTADUAL RURAL DE ANAJAS")</f>
        <v>ESCOLA ESTADUAL RURAL DE ANAJAS</v>
      </c>
      <c r="O481" s="1"/>
      <c r="P481" s="1"/>
      <c r="Q481" s="1" t="s">
        <v>490</v>
      </c>
    </row>
    <row r="482" spans="1:17" x14ac:dyDescent="0.25">
      <c r="A482" s="2" t="str">
        <f ca="1">IFERROR(__xludf.DUMMYFUNCTION("""COMPUTED_VALUE"""),"REG DE INTEGRA DO MARAJO")</f>
        <v>REG DE INTEGRA DO MARAJO</v>
      </c>
      <c r="B482" s="1" t="str">
        <f ca="1">IFERROR(__xludf.DUMMYFUNCTION("""COMPUTED_VALUE"""),"DRE BREVES")</f>
        <v>DRE BREVES</v>
      </c>
      <c r="C482" s="2" t="str">
        <f ca="1">IFERROR(__xludf.DUMMYFUNCTION("""COMPUTED_VALUE"""),"DRE - BREVES")</f>
        <v>DRE - BREVES</v>
      </c>
      <c r="D482" s="1"/>
      <c r="E482" s="2" t="str">
        <f ca="1">IFERROR(__xludf.DUMMYFUNCTION("""COMPUTED_VALUE"""),"DRE - BREVES")</f>
        <v>DRE - BREVES</v>
      </c>
      <c r="F482" s="1">
        <f ca="1">IFERROR(__xludf.DUMMYFUNCTION("""COMPUTED_VALUE"""),2)</f>
        <v>2</v>
      </c>
      <c r="G482" s="1"/>
      <c r="H482" s="1" t="str">
        <f ca="1">IFERROR(__xludf.DUMMYFUNCTION("""COMPUTED_VALUE"""),"13A URE - BREVES")</f>
        <v>13A URE - BREVES</v>
      </c>
      <c r="I482" s="1"/>
      <c r="J482" s="1" t="str">
        <f ca="1">IFERROR(__xludf.DUMMYFUNCTION("""COMPUTED_VALUE"""),"BAGRE")</f>
        <v>BAGRE</v>
      </c>
      <c r="K482" s="1">
        <f ca="1">IFERROR(__xludf.DUMMYFUNCTION("""COMPUTED_VALUE"""),15178340)</f>
        <v>15178340</v>
      </c>
      <c r="L482" s="2" t="str">
        <f ca="1">IFERROR(__xludf.DUMMYFUNCTION("""COMPUTED_VALUE"""),"001920937210001")</f>
        <v>001920937210001</v>
      </c>
      <c r="M482" s="2" t="str">
        <f ca="1">IFERROR(__xludf.DUMMYFUNCTION("""COMPUTED_VALUE"""),"1920937210001")</f>
        <v>1920937210001</v>
      </c>
      <c r="N482" s="1" t="str">
        <f ca="1">IFERROR(__xludf.DUMMYFUNCTION("""COMPUTED_VALUE"""),"ANEXO RURAL JULIAO BERTOLDO DE CASTRO")</f>
        <v>ANEXO RURAL JULIAO BERTOLDO DE CASTRO</v>
      </c>
      <c r="O482" s="1"/>
      <c r="P482" s="1"/>
      <c r="Q482" s="1" t="s">
        <v>490</v>
      </c>
    </row>
    <row r="483" spans="1:17" x14ac:dyDescent="0.25">
      <c r="A483" s="2" t="str">
        <f ca="1">IFERROR(__xludf.DUMMYFUNCTION("""COMPUTED_VALUE"""),"REG DE INTEGRA DO MARAJO")</f>
        <v>REG DE INTEGRA DO MARAJO</v>
      </c>
      <c r="B483" s="1" t="str">
        <f ca="1">IFERROR(__xludf.DUMMYFUNCTION("""COMPUTED_VALUE"""),"DRE BREVES")</f>
        <v>DRE BREVES</v>
      </c>
      <c r="C483" s="2" t="str">
        <f ca="1">IFERROR(__xludf.DUMMYFUNCTION("""COMPUTED_VALUE"""),"DRE - BREVES")</f>
        <v>DRE - BREVES</v>
      </c>
      <c r="D483" s="1"/>
      <c r="E483" s="2" t="str">
        <f ca="1">IFERROR(__xludf.DUMMYFUNCTION("""COMPUTED_VALUE"""),"DRE - BREVES")</f>
        <v>DRE - BREVES</v>
      </c>
      <c r="F483" s="1">
        <f ca="1">IFERROR(__xludf.DUMMYFUNCTION("""COMPUTED_VALUE"""),2)</f>
        <v>2</v>
      </c>
      <c r="G483" s="1" t="str">
        <f ca="1">IFERROR(__xludf.DUMMYFUNCTION("""COMPUTED_VALUE"""),"DRE BREVES")</f>
        <v>DRE BREVES</v>
      </c>
      <c r="H483" s="1" t="str">
        <f ca="1">IFERROR(__xludf.DUMMYFUNCTION("""COMPUTED_VALUE"""),"13A URE - BREVES")</f>
        <v>13A URE - BREVES</v>
      </c>
      <c r="I483" s="1"/>
      <c r="J483" s="1" t="str">
        <f ca="1">IFERROR(__xludf.DUMMYFUNCTION("""COMPUTED_VALUE"""),"BAGRE")</f>
        <v>BAGRE</v>
      </c>
      <c r="K483" s="1">
        <f ca="1">IFERROR(__xludf.DUMMYFUNCTION("""COMPUTED_VALUE"""),15018644)</f>
        <v>15018644</v>
      </c>
      <c r="L483" s="2" t="str">
        <f ca="1">IFERROR(__xludf.DUMMYFUNCTION("""COMPUTED_VALUE"""),"001920937210000")</f>
        <v>001920937210000</v>
      </c>
      <c r="M483" s="2" t="str">
        <f ca="1">IFERROR(__xludf.DUMMYFUNCTION("""COMPUTED_VALUE"""),"1920937210000")</f>
        <v>1920937210000</v>
      </c>
      <c r="N483" s="1" t="str">
        <f ca="1">IFERROR(__xludf.DUMMYFUNCTION("""COMPUTED_VALUE"""),"EEEM JULIAO BERTOLDO DE CASTRO")</f>
        <v>EEEM JULIAO BERTOLDO DE CASTRO</v>
      </c>
      <c r="O483" s="1"/>
      <c r="P483" s="1"/>
      <c r="Q483" s="1" t="s">
        <v>490</v>
      </c>
    </row>
    <row r="484" spans="1:17" x14ac:dyDescent="0.25">
      <c r="A484" s="2" t="str">
        <f ca="1">IFERROR(__xludf.DUMMYFUNCTION("""COMPUTED_VALUE"""),"REG DE INTEGRA DO MARAJO")</f>
        <v>REG DE INTEGRA DO MARAJO</v>
      </c>
      <c r="B484" s="1" t="str">
        <f ca="1">IFERROR(__xludf.DUMMYFUNCTION("""COMPUTED_VALUE"""),"DRE BREVES")</f>
        <v>DRE BREVES</v>
      </c>
      <c r="C484" s="2" t="str">
        <f ca="1">IFERROR(__xludf.DUMMYFUNCTION("""COMPUTED_VALUE"""),"DRE - BREVES")</f>
        <v>DRE - BREVES</v>
      </c>
      <c r="D484" s="1"/>
      <c r="E484" s="2" t="str">
        <f ca="1">IFERROR(__xludf.DUMMYFUNCTION("""COMPUTED_VALUE"""),"DRE - BREVES")</f>
        <v>DRE - BREVES</v>
      </c>
      <c r="F484" s="1"/>
      <c r="G484" s="1"/>
      <c r="H484" s="1" t="str">
        <f ca="1">IFERROR(__xludf.DUMMYFUNCTION("""COMPUTED_VALUE"""),"13A URE - BREVES")</f>
        <v>13A URE - BREVES</v>
      </c>
      <c r="I484" s="1"/>
      <c r="J484" s="1" t="str">
        <f ca="1">IFERROR(__xludf.DUMMYFUNCTION("""COMPUTED_VALUE"""),"BAGRE")</f>
        <v>BAGRE</v>
      </c>
      <c r="K484" s="1"/>
      <c r="L484" s="2" t="str">
        <f ca="1">IFERROR(__xludf.DUMMYFUNCTION("""COMPUTED_VALUE"""),"001921021000000")</f>
        <v>001921021000000</v>
      </c>
      <c r="M484" s="2" t="str">
        <f ca="1">IFERROR(__xludf.DUMMYFUNCTION("""COMPUTED_VALUE"""),"1921021000000")</f>
        <v>1921021000000</v>
      </c>
      <c r="N484" s="1" t="str">
        <f ca="1">IFERROR(__xludf.DUMMYFUNCTION("""COMPUTED_VALUE"""),"ESCOLA ESTADUAL RURAL DE BAGRE")</f>
        <v>ESCOLA ESTADUAL RURAL DE BAGRE</v>
      </c>
      <c r="O484" s="1"/>
      <c r="P484" s="1"/>
      <c r="Q484" s="1" t="s">
        <v>490</v>
      </c>
    </row>
    <row r="485" spans="1:17" x14ac:dyDescent="0.25">
      <c r="A485" s="2" t="str">
        <f ca="1">IFERROR(__xludf.DUMMYFUNCTION("""COMPUTED_VALUE"""),"REG DE INTEGRA DO MARAJO")</f>
        <v>REG DE INTEGRA DO MARAJO</v>
      </c>
      <c r="B485" s="1" t="str">
        <f ca="1">IFERROR(__xludf.DUMMYFUNCTION("""COMPUTED_VALUE"""),"DRE BREVES")</f>
        <v>DRE BREVES</v>
      </c>
      <c r="C485" s="2" t="str">
        <f ca="1">IFERROR(__xludf.DUMMYFUNCTION("""COMPUTED_VALUE"""),"DRE - BREVES")</f>
        <v>DRE - BREVES</v>
      </c>
      <c r="D485" s="1"/>
      <c r="E485" s="2" t="str">
        <f ca="1">IFERROR(__xludf.DUMMYFUNCTION("""COMPUTED_VALUE"""),"DRE - BREVES")</f>
        <v>DRE - BREVES</v>
      </c>
      <c r="F485" s="1">
        <f ca="1">IFERROR(__xludf.DUMMYFUNCTION("""COMPUTED_VALUE"""),2)</f>
        <v>2</v>
      </c>
      <c r="G485" s="1" t="str">
        <f ca="1">IFERROR(__xludf.DUMMYFUNCTION("""COMPUTED_VALUE"""),"DRE BREVES")</f>
        <v>DRE BREVES</v>
      </c>
      <c r="H485" s="1" t="str">
        <f ca="1">IFERROR(__xludf.DUMMYFUNCTION("""COMPUTED_VALUE"""),"13A URE - BREVES")</f>
        <v>13A URE - BREVES</v>
      </c>
      <c r="I485" s="1"/>
      <c r="J485" s="1" t="str">
        <f ca="1">IFERROR(__xludf.DUMMYFUNCTION("""COMPUTED_VALUE"""),"BREVES")</f>
        <v>BREVES</v>
      </c>
      <c r="K485" s="1"/>
      <c r="L485" s="2" t="str">
        <f ca="1">IFERROR(__xludf.DUMMYFUNCTION("""COMPUTED_VALUE"""),"001920900130000")</f>
        <v>001920900130000</v>
      </c>
      <c r="M485" s="2" t="str">
        <f ca="1">IFERROR(__xludf.DUMMYFUNCTION("""COMPUTED_VALUE"""),"1920900130000")</f>
        <v>1920900130000</v>
      </c>
      <c r="N485" s="1" t="str">
        <f ca="1">IFERROR(__xludf.DUMMYFUNCTION("""COMPUTED_VALUE"""),"13 URE")</f>
        <v>13 URE</v>
      </c>
      <c r="O485" s="1"/>
      <c r="P485" s="1"/>
      <c r="Q485" s="1" t="s">
        <v>490</v>
      </c>
    </row>
    <row r="486" spans="1:17" x14ac:dyDescent="0.25">
      <c r="A486" s="2" t="str">
        <f ca="1">IFERROR(__xludf.DUMMYFUNCTION("""COMPUTED_VALUE"""),"REG DE INTEGRA DO MARAJO")</f>
        <v>REG DE INTEGRA DO MARAJO</v>
      </c>
      <c r="B486" s="1" t="str">
        <f ca="1">IFERROR(__xludf.DUMMYFUNCTION("""COMPUTED_VALUE"""),"DRE BREVES")</f>
        <v>DRE BREVES</v>
      </c>
      <c r="C486" s="2" t="str">
        <f ca="1">IFERROR(__xludf.DUMMYFUNCTION("""COMPUTED_VALUE"""),"DRE - BREVES")</f>
        <v>DRE - BREVES</v>
      </c>
      <c r="D486" s="1"/>
      <c r="E486" s="2" t="str">
        <f ca="1">IFERROR(__xludf.DUMMYFUNCTION("""COMPUTED_VALUE"""),"DRE - BREVES")</f>
        <v>DRE - BREVES</v>
      </c>
      <c r="F486" s="1">
        <f ca="1">IFERROR(__xludf.DUMMYFUNCTION("""COMPUTED_VALUE"""),2)</f>
        <v>2</v>
      </c>
      <c r="G486" s="1"/>
      <c r="H486" s="1" t="str">
        <f ca="1">IFERROR(__xludf.DUMMYFUNCTION("""COMPUTED_VALUE"""),"13A URE - BREVES")</f>
        <v>13A URE - BREVES</v>
      </c>
      <c r="I486" s="1"/>
      <c r="J486" s="1" t="str">
        <f ca="1">IFERROR(__xludf.DUMMYFUNCTION("""COMPUTED_VALUE"""),"BREVES")</f>
        <v>BREVES</v>
      </c>
      <c r="K486" s="1">
        <f ca="1">IFERROR(__xludf.DUMMYFUNCTION("""COMPUTED_VALUE"""),15178226)</f>
        <v>15178226</v>
      </c>
      <c r="L486" s="2" t="str">
        <f ca="1">IFERROR(__xludf.DUMMYFUNCTION("""COMPUTED_VALUE"""),"001920929720002")</f>
        <v>001920929720002</v>
      </c>
      <c r="M486" s="2" t="str">
        <f ca="1">IFERROR(__xludf.DUMMYFUNCTION("""COMPUTED_VALUE"""),"1920929720002")</f>
        <v>1920929720002</v>
      </c>
      <c r="N486" s="1" t="str">
        <f ca="1">IFERROR(__xludf.DUMMYFUNCTION("""COMPUTED_VALUE"""),"ANEXO RURAL PROFA MARIA CAMARA PAES")</f>
        <v>ANEXO RURAL PROFA MARIA CAMARA PAES</v>
      </c>
      <c r="O486" s="1"/>
      <c r="P486" s="1"/>
      <c r="Q486" s="1" t="s">
        <v>490</v>
      </c>
    </row>
    <row r="487" spans="1:17" x14ac:dyDescent="0.25">
      <c r="A487" s="2" t="str">
        <f ca="1">IFERROR(__xludf.DUMMYFUNCTION("""COMPUTED_VALUE"""),"REG DE INTEGRA DO MARAJO")</f>
        <v>REG DE INTEGRA DO MARAJO</v>
      </c>
      <c r="B487" s="1" t="str">
        <f ca="1">IFERROR(__xludf.DUMMYFUNCTION("""COMPUTED_VALUE"""),"DRE BREVES")</f>
        <v>DRE BREVES</v>
      </c>
      <c r="C487" s="2" t="str">
        <f ca="1">IFERROR(__xludf.DUMMYFUNCTION("""COMPUTED_VALUE"""),"DRE - BREVES")</f>
        <v>DRE - BREVES</v>
      </c>
      <c r="D487" s="1"/>
      <c r="E487" s="2" t="str">
        <f ca="1">IFERROR(__xludf.DUMMYFUNCTION("""COMPUTED_VALUE"""),"DRE - BREVES")</f>
        <v>DRE - BREVES</v>
      </c>
      <c r="F487" s="1">
        <f ca="1">IFERROR(__xludf.DUMMYFUNCTION("""COMPUTED_VALUE"""),2)</f>
        <v>2</v>
      </c>
      <c r="G487" s="1" t="str">
        <f ca="1">IFERROR(__xludf.DUMMYFUNCTION("""COMPUTED_VALUE"""),"DRE BREVES")</f>
        <v>DRE BREVES</v>
      </c>
      <c r="H487" s="1" t="str">
        <f ca="1">IFERROR(__xludf.DUMMYFUNCTION("""COMPUTED_VALUE"""),"13A URE - BREVES")</f>
        <v>13A URE - BREVES</v>
      </c>
      <c r="I487" s="1"/>
      <c r="J487" s="1" t="str">
        <f ca="1">IFERROR(__xludf.DUMMYFUNCTION("""COMPUTED_VALUE"""),"BREVES")</f>
        <v>BREVES</v>
      </c>
      <c r="K487" s="1">
        <f ca="1">IFERROR(__xludf.DUMMYFUNCTION("""COMPUTED_VALUE"""),15583430)</f>
        <v>15583430</v>
      </c>
      <c r="L487" s="2" t="str">
        <f ca="1">IFERROR(__xludf.DUMMYFUNCTION("""COMPUTED_VALUE"""),"001920936960000")</f>
        <v>001920936960000</v>
      </c>
      <c r="M487" s="2" t="str">
        <f ca="1">IFERROR(__xludf.DUMMYFUNCTION("""COMPUTED_VALUE"""),"1920936960000")</f>
        <v>1920936960000</v>
      </c>
      <c r="N487" s="1" t="str">
        <f ca="1">IFERROR(__xludf.DUMMYFUNCTION("""COMPUTED_VALUE"""),"EEEM PROF GERSON PERES")</f>
        <v>EEEM PROF GERSON PERES</v>
      </c>
      <c r="O487" s="1"/>
      <c r="P487" s="1"/>
      <c r="Q487" s="1" t="s">
        <v>490</v>
      </c>
    </row>
    <row r="488" spans="1:17" x14ac:dyDescent="0.25">
      <c r="A488" s="2" t="str">
        <f ca="1">IFERROR(__xludf.DUMMYFUNCTION("""COMPUTED_VALUE"""),"REG DE INTEGRA DO MARAJO")</f>
        <v>REG DE INTEGRA DO MARAJO</v>
      </c>
      <c r="B488" s="1" t="str">
        <f ca="1">IFERROR(__xludf.DUMMYFUNCTION("""COMPUTED_VALUE"""),"DRE BREVES")</f>
        <v>DRE BREVES</v>
      </c>
      <c r="C488" s="2" t="str">
        <f ca="1">IFERROR(__xludf.DUMMYFUNCTION("""COMPUTED_VALUE"""),"DRE - BREVES")</f>
        <v>DRE - BREVES</v>
      </c>
      <c r="D488" s="1"/>
      <c r="E488" s="2" t="str">
        <f ca="1">IFERROR(__xludf.DUMMYFUNCTION("""COMPUTED_VALUE"""),"DRE - BREVES")</f>
        <v>DRE - BREVES</v>
      </c>
      <c r="F488" s="1">
        <f ca="1">IFERROR(__xludf.DUMMYFUNCTION("""COMPUTED_VALUE"""),2)</f>
        <v>2</v>
      </c>
      <c r="G488" s="1" t="str">
        <f ca="1">IFERROR(__xludf.DUMMYFUNCTION("""COMPUTED_VALUE"""),"DRE BREVES")</f>
        <v>DRE BREVES</v>
      </c>
      <c r="H488" s="1" t="str">
        <f ca="1">IFERROR(__xludf.DUMMYFUNCTION("""COMPUTED_VALUE"""),"13A URE - BREVES")</f>
        <v>13A URE - BREVES</v>
      </c>
      <c r="I488" s="1"/>
      <c r="J488" s="1" t="str">
        <f ca="1">IFERROR(__xludf.DUMMYFUNCTION("""COMPUTED_VALUE"""),"BREVES")</f>
        <v>BREVES</v>
      </c>
      <c r="K488" s="1">
        <f ca="1">IFERROR(__xludf.DUMMYFUNCTION("""COMPUTED_VALUE"""),15168751)</f>
        <v>15168751</v>
      </c>
      <c r="L488" s="2" t="str">
        <f ca="1">IFERROR(__xludf.DUMMYFUNCTION("""COMPUTED_VALUE"""),"001920936960100")</f>
        <v>001920936960100</v>
      </c>
      <c r="M488" s="2" t="str">
        <f ca="1">IFERROR(__xludf.DUMMYFUNCTION("""COMPUTED_VALUE"""),"1920936960100")</f>
        <v>1920936960100</v>
      </c>
      <c r="N488" s="1" t="str">
        <f ca="1">IFERROR(__xludf.DUMMYFUNCTION("""COMPUTED_VALUE"""),"EEEM PROF GERSON PERES ANEXO I")</f>
        <v>EEEM PROF GERSON PERES ANEXO I</v>
      </c>
      <c r="O488" s="1"/>
      <c r="P488" s="1"/>
      <c r="Q488" s="1" t="s">
        <v>490</v>
      </c>
    </row>
    <row r="489" spans="1:17" x14ac:dyDescent="0.25">
      <c r="A489" s="2" t="str">
        <f ca="1">IFERROR(__xludf.DUMMYFUNCTION("""COMPUTED_VALUE"""),"REG DE INTEGRA DO MARAJO")</f>
        <v>REG DE INTEGRA DO MARAJO</v>
      </c>
      <c r="B489" s="1" t="str">
        <f ca="1">IFERROR(__xludf.DUMMYFUNCTION("""COMPUTED_VALUE"""),"DRE BREVES")</f>
        <v>DRE BREVES</v>
      </c>
      <c r="C489" s="2" t="str">
        <f ca="1">IFERROR(__xludf.DUMMYFUNCTION("""COMPUTED_VALUE"""),"DRE - BREVES")</f>
        <v>DRE - BREVES</v>
      </c>
      <c r="D489" s="1"/>
      <c r="E489" s="2" t="str">
        <f ca="1">IFERROR(__xludf.DUMMYFUNCTION("""COMPUTED_VALUE"""),"DRE - BREVES")</f>
        <v>DRE - BREVES</v>
      </c>
      <c r="F489" s="1">
        <f ca="1">IFERROR(__xludf.DUMMYFUNCTION("""COMPUTED_VALUE"""),2)</f>
        <v>2</v>
      </c>
      <c r="G489" s="1" t="str">
        <f ca="1">IFERROR(__xludf.DUMMYFUNCTION("""COMPUTED_VALUE"""),"DRE BREVES")</f>
        <v>DRE BREVES</v>
      </c>
      <c r="H489" s="1" t="str">
        <f ca="1">IFERROR(__xludf.DUMMYFUNCTION("""COMPUTED_VALUE"""),"13A URE - BREVES")</f>
        <v>13A URE - BREVES</v>
      </c>
      <c r="I489" s="1"/>
      <c r="J489" s="1" t="str">
        <f ca="1">IFERROR(__xludf.DUMMYFUNCTION("""COMPUTED_VALUE"""),"BREVES")</f>
        <v>BREVES</v>
      </c>
      <c r="K489" s="1">
        <f ca="1">IFERROR(__xludf.DUMMYFUNCTION("""COMPUTED_VALUE"""),15555933)</f>
        <v>15555933</v>
      </c>
      <c r="L489" s="2" t="str">
        <f ca="1">IFERROR(__xludf.DUMMYFUNCTION("""COMPUTED_VALUE"""),"001920929720000")</f>
        <v>001920929720000</v>
      </c>
      <c r="M489" s="2" t="str">
        <f ca="1">IFERROR(__xludf.DUMMYFUNCTION("""COMPUTED_VALUE"""),"1920929720000")</f>
        <v>1920929720000</v>
      </c>
      <c r="N489" s="1" t="str">
        <f ca="1">IFERROR(__xludf.DUMMYFUNCTION("""COMPUTED_VALUE"""),"EEEM PROFA MARIA CAMARA PAES")</f>
        <v>EEEM PROFA MARIA CAMARA PAES</v>
      </c>
      <c r="O489" s="1"/>
      <c r="P489" s="1"/>
      <c r="Q489" s="1" t="s">
        <v>490</v>
      </c>
    </row>
    <row r="490" spans="1:17" x14ac:dyDescent="0.25">
      <c r="A490" s="2" t="str">
        <f ca="1">IFERROR(__xludf.DUMMYFUNCTION("""COMPUTED_VALUE"""),"REG DE INTEGRA DO MARAJO")</f>
        <v>REG DE INTEGRA DO MARAJO</v>
      </c>
      <c r="B490" s="1" t="str">
        <f ca="1">IFERROR(__xludf.DUMMYFUNCTION("""COMPUTED_VALUE"""),"DRE BREVES")</f>
        <v>DRE BREVES</v>
      </c>
      <c r="C490" s="2" t="str">
        <f ca="1">IFERROR(__xludf.DUMMYFUNCTION("""COMPUTED_VALUE"""),"DRE - BREVES")</f>
        <v>DRE - BREVES</v>
      </c>
      <c r="D490" s="1"/>
      <c r="E490" s="2" t="str">
        <f ca="1">IFERROR(__xludf.DUMMYFUNCTION("""COMPUTED_VALUE"""),"DRE - BREVES")</f>
        <v>DRE - BREVES</v>
      </c>
      <c r="F490" s="1">
        <f ca="1">IFERROR(__xludf.DUMMYFUNCTION("""COMPUTED_VALUE"""),2)</f>
        <v>2</v>
      </c>
      <c r="G490" s="1" t="str">
        <f ca="1">IFERROR(__xludf.DUMMYFUNCTION("""COMPUTED_VALUE"""),"DRE BREVES")</f>
        <v>DRE BREVES</v>
      </c>
      <c r="H490" s="1" t="str">
        <f ca="1">IFERROR(__xludf.DUMMYFUNCTION("""COMPUTED_VALUE"""),"13A URE - BREVES")</f>
        <v>13A URE - BREVES</v>
      </c>
      <c r="I490" s="1"/>
      <c r="J490" s="1" t="str">
        <f ca="1">IFERROR(__xludf.DUMMYFUNCTION("""COMPUTED_VALUE"""),"BREVES")</f>
        <v>BREVES</v>
      </c>
      <c r="K490" s="1">
        <f ca="1">IFERROR(__xludf.DUMMYFUNCTION("""COMPUTED_VALUE"""),15024792)</f>
        <v>15024792</v>
      </c>
      <c r="L490" s="2" t="str">
        <f ca="1">IFERROR(__xludf.DUMMYFUNCTION("""COMPUTED_VALUE"""),"001920927830000")</f>
        <v>001920927830000</v>
      </c>
      <c r="M490" s="2" t="str">
        <f ca="1">IFERROR(__xludf.DUMMYFUNCTION("""COMPUTED_VALUE"""),"1920927830000")</f>
        <v>1920927830000</v>
      </c>
      <c r="N490" s="1" t="str">
        <f ca="1">IFERROR(__xludf.DUMMYFUNCTION("""COMPUTED_VALUE"""),"EEEM PROFA MARIA ELIZETE FONA NUNES")</f>
        <v>EEEM PROFA MARIA ELIZETE FONA NUNES</v>
      </c>
      <c r="O490" s="1"/>
      <c r="P490" s="1"/>
      <c r="Q490" s="1" t="s">
        <v>490</v>
      </c>
    </row>
    <row r="491" spans="1:17" x14ac:dyDescent="0.25">
      <c r="A491" s="2" t="str">
        <f ca="1">IFERROR(__xludf.DUMMYFUNCTION("""COMPUTED_VALUE"""),"REG DE INTEGRA DO MARAJO")</f>
        <v>REG DE INTEGRA DO MARAJO</v>
      </c>
      <c r="B491" s="1" t="str">
        <f ca="1">IFERROR(__xludf.DUMMYFUNCTION("""COMPUTED_VALUE"""),"DRE BREVES")</f>
        <v>DRE BREVES</v>
      </c>
      <c r="C491" s="2" t="str">
        <f ca="1">IFERROR(__xludf.DUMMYFUNCTION("""COMPUTED_VALUE"""),"DRE - BREVES")</f>
        <v>DRE - BREVES</v>
      </c>
      <c r="D491" s="1"/>
      <c r="E491" s="2" t="str">
        <f ca="1">IFERROR(__xludf.DUMMYFUNCTION("""COMPUTED_VALUE"""),"DRE - BREVES")</f>
        <v>DRE - BREVES</v>
      </c>
      <c r="F491" s="1">
        <f ca="1">IFERROR(__xludf.DUMMYFUNCTION("""COMPUTED_VALUE"""),2)</f>
        <v>2</v>
      </c>
      <c r="G491" s="1" t="str">
        <f ca="1">IFERROR(__xludf.DUMMYFUNCTION("""COMPUTED_VALUE"""),"DRE BREVES")</f>
        <v>DRE BREVES</v>
      </c>
      <c r="H491" s="1" t="str">
        <f ca="1">IFERROR(__xludf.DUMMYFUNCTION("""COMPUTED_VALUE"""),"13A URE - BREVES")</f>
        <v>13A URE - BREVES</v>
      </c>
      <c r="I491" s="1"/>
      <c r="J491" s="1" t="str">
        <f ca="1">IFERROR(__xludf.DUMMYFUNCTION("""COMPUTED_VALUE"""),"BREVES")</f>
        <v>BREVES</v>
      </c>
      <c r="K491" s="1">
        <f ca="1">IFERROR(__xludf.DUMMYFUNCTION("""COMPUTED_VALUE"""),15169049)</f>
        <v>15169049</v>
      </c>
      <c r="L491" s="2" t="str">
        <f ca="1">IFERROR(__xludf.DUMMYFUNCTION("""COMPUTED_VALUE"""),"001920927830002")</f>
        <v>001920927830002</v>
      </c>
      <c r="M491" s="2" t="str">
        <f ca="1">IFERROR(__xludf.DUMMYFUNCTION("""COMPUTED_VALUE"""),"1920927830002")</f>
        <v>1920927830002</v>
      </c>
      <c r="N491" s="1" t="str">
        <f ca="1">IFERROR(__xludf.DUMMYFUNCTION("""COMPUTED_VALUE"""),"EEEM PROFA MARIA ELIZETE FONA NUNES ANEXO I")</f>
        <v>EEEM PROFA MARIA ELIZETE FONA NUNES ANEXO I</v>
      </c>
      <c r="O491" s="1"/>
      <c r="P491" s="1"/>
      <c r="Q491" s="1" t="s">
        <v>490</v>
      </c>
    </row>
    <row r="492" spans="1:17" x14ac:dyDescent="0.25">
      <c r="A492" s="2" t="str">
        <f ca="1">IFERROR(__xludf.DUMMYFUNCTION("""COMPUTED_VALUE"""),"REG DE INTEGRA DO MARAJO")</f>
        <v>REG DE INTEGRA DO MARAJO</v>
      </c>
      <c r="B492" s="1" t="str">
        <f ca="1">IFERROR(__xludf.DUMMYFUNCTION("""COMPUTED_VALUE"""),"DRE BREVES")</f>
        <v>DRE BREVES</v>
      </c>
      <c r="C492" s="2" t="str">
        <f ca="1">IFERROR(__xludf.DUMMYFUNCTION("""COMPUTED_VALUE"""),"DRE - BREVES")</f>
        <v>DRE - BREVES</v>
      </c>
      <c r="D492" s="1"/>
      <c r="E492" s="2" t="str">
        <f ca="1">IFERROR(__xludf.DUMMYFUNCTION("""COMPUTED_VALUE"""),"DRE - BREVES")</f>
        <v>DRE - BREVES</v>
      </c>
      <c r="F492" s="1">
        <f ca="1">IFERROR(__xludf.DUMMYFUNCTION("""COMPUTED_VALUE"""),2)</f>
        <v>2</v>
      </c>
      <c r="G492" s="1" t="str">
        <f ca="1">IFERROR(__xludf.DUMMYFUNCTION("""COMPUTED_VALUE"""),"DRE BREVES")</f>
        <v>DRE BREVES</v>
      </c>
      <c r="H492" s="1" t="str">
        <f ca="1">IFERROR(__xludf.DUMMYFUNCTION("""COMPUTED_VALUE"""),"13A URE - BREVES")</f>
        <v>13A URE - BREVES</v>
      </c>
      <c r="I492" s="1"/>
      <c r="J492" s="1" t="str">
        <f ca="1">IFERROR(__xludf.DUMMYFUNCTION("""COMPUTED_VALUE"""),"BREVES")</f>
        <v>BREVES</v>
      </c>
      <c r="K492" s="1">
        <f ca="1">IFERROR(__xludf.DUMMYFUNCTION("""COMPUTED_VALUE"""),15097846)</f>
        <v>15097846</v>
      </c>
      <c r="L492" s="2" t="str">
        <f ca="1">IFERROR(__xludf.DUMMYFUNCTION("""COMPUTED_VALUE"""),"001920929730000")</f>
        <v>001920929730000</v>
      </c>
      <c r="M492" s="2" t="str">
        <f ca="1">IFERROR(__xludf.DUMMYFUNCTION("""COMPUTED_VALUE"""),"1920929730000")</f>
        <v>1920929730000</v>
      </c>
      <c r="N492" s="1" t="str">
        <f ca="1">IFERROR(__xludf.DUMMYFUNCTION("""COMPUTED_VALUE"""),"EEEM SANTO AGOSTINHO")</f>
        <v>EEEM SANTO AGOSTINHO</v>
      </c>
      <c r="O492" s="1"/>
      <c r="P492" s="1"/>
      <c r="Q492" s="1" t="s">
        <v>490</v>
      </c>
    </row>
    <row r="493" spans="1:17" x14ac:dyDescent="0.25">
      <c r="A493" s="2" t="str">
        <f ca="1">IFERROR(__xludf.DUMMYFUNCTION("""COMPUTED_VALUE"""),"REG DE INTEGRA DO MARAJO")</f>
        <v>REG DE INTEGRA DO MARAJO</v>
      </c>
      <c r="B493" s="1" t="str">
        <f ca="1">IFERROR(__xludf.DUMMYFUNCTION("""COMPUTED_VALUE"""),"DRE BREVES")</f>
        <v>DRE BREVES</v>
      </c>
      <c r="C493" s="2" t="str">
        <f ca="1">IFERROR(__xludf.DUMMYFUNCTION("""COMPUTED_VALUE"""),"DRE - BREVES")</f>
        <v>DRE - BREVES</v>
      </c>
      <c r="D493" s="1"/>
      <c r="E493" s="2" t="str">
        <f ca="1">IFERROR(__xludf.DUMMYFUNCTION("""COMPUTED_VALUE"""),"DRE - BREVES")</f>
        <v>DRE - BREVES</v>
      </c>
      <c r="F493" s="1">
        <f ca="1">IFERROR(__xludf.DUMMYFUNCTION("""COMPUTED_VALUE"""),2)</f>
        <v>2</v>
      </c>
      <c r="G493" s="1" t="str">
        <f ca="1">IFERROR(__xludf.DUMMYFUNCTION("""COMPUTED_VALUE"""),"DRE BREVES")</f>
        <v>DRE BREVES</v>
      </c>
      <c r="H493" s="1" t="str">
        <f ca="1">IFERROR(__xludf.DUMMYFUNCTION("""COMPUTED_VALUE"""),"13A URE - BREVES")</f>
        <v>13A URE - BREVES</v>
      </c>
      <c r="I493" s="1"/>
      <c r="J493" s="1" t="str">
        <f ca="1">IFERROR(__xludf.DUMMYFUNCTION("""COMPUTED_VALUE"""),"BREVES")</f>
        <v>BREVES</v>
      </c>
      <c r="K493" s="1"/>
      <c r="L493" s="2" t="str">
        <f ca="1">IFERROR(__xludf.DUMMYFUNCTION("""COMPUTED_VALUE"""),"001920946000000")</f>
        <v>001920946000000</v>
      </c>
      <c r="M493" s="2" t="str">
        <f ca="1">IFERROR(__xludf.DUMMYFUNCTION("""COMPUTED_VALUE"""),"1920946000000")</f>
        <v>1920946000000</v>
      </c>
      <c r="N493" s="1" t="str">
        <f ca="1">IFERROR(__xludf.DUMMYFUNCTION("""COMPUTED_VALUE"""),"ESCOLA DE ENS TECNICO DO ESTADO DO PARA EETEPA")</f>
        <v>ESCOLA DE ENS TECNICO DO ESTADO DO PARA EETEPA</v>
      </c>
      <c r="O493" s="1"/>
      <c r="P493" s="1"/>
      <c r="Q493" s="1" t="s">
        <v>490</v>
      </c>
    </row>
    <row r="494" spans="1:17" x14ac:dyDescent="0.25">
      <c r="A494" s="2" t="str">
        <f ca="1">IFERROR(__xludf.DUMMYFUNCTION("""COMPUTED_VALUE"""),"REG DE INTEGRA DO MARAJO")</f>
        <v>REG DE INTEGRA DO MARAJO</v>
      </c>
      <c r="B494" s="1" t="str">
        <f ca="1">IFERROR(__xludf.DUMMYFUNCTION("""COMPUTED_VALUE"""),"DRE BREVES")</f>
        <v>DRE BREVES</v>
      </c>
      <c r="C494" s="2" t="str">
        <f ca="1">IFERROR(__xludf.DUMMYFUNCTION("""COMPUTED_VALUE"""),"DRE - BREVES")</f>
        <v>DRE - BREVES</v>
      </c>
      <c r="D494" s="1"/>
      <c r="E494" s="2" t="str">
        <f ca="1">IFERROR(__xludf.DUMMYFUNCTION("""COMPUTED_VALUE"""),"DRE - BREVES")</f>
        <v>DRE - BREVES</v>
      </c>
      <c r="F494" s="1"/>
      <c r="G494" s="1"/>
      <c r="H494" s="1" t="str">
        <f ca="1">IFERROR(__xludf.DUMMYFUNCTION("""COMPUTED_VALUE"""),"13A URE - BREVES")</f>
        <v>13A URE - BREVES</v>
      </c>
      <c r="I494" s="1"/>
      <c r="J494" s="1" t="str">
        <f ca="1">IFERROR(__xludf.DUMMYFUNCTION("""COMPUTED_VALUE"""),"BREVES")</f>
        <v>BREVES</v>
      </c>
      <c r="K494" s="1"/>
      <c r="L494" s="2" t="str">
        <f ca="1">IFERROR(__xludf.DUMMYFUNCTION("""COMPUTED_VALUE"""),"001921022000000")</f>
        <v>001921022000000</v>
      </c>
      <c r="M494" s="2" t="str">
        <f ca="1">IFERROR(__xludf.DUMMYFUNCTION("""COMPUTED_VALUE"""),"1921022000000")</f>
        <v>1921022000000</v>
      </c>
      <c r="N494" s="1" t="str">
        <f ca="1">IFERROR(__xludf.DUMMYFUNCTION("""COMPUTED_VALUE"""),"ESCOLA ESTADUAL RURAL DE BREVES")</f>
        <v>ESCOLA ESTADUAL RURAL DE BREVES</v>
      </c>
      <c r="O494" s="1"/>
      <c r="P494" s="1"/>
      <c r="Q494" s="1" t="s">
        <v>490</v>
      </c>
    </row>
    <row r="495" spans="1:17" x14ac:dyDescent="0.25">
      <c r="A495" s="2" t="str">
        <f ca="1">IFERROR(__xludf.DUMMYFUNCTION("""COMPUTED_VALUE"""),"REG DE INTEGRA DO MARAJO")</f>
        <v>REG DE INTEGRA DO MARAJO</v>
      </c>
      <c r="B495" s="1" t="str">
        <f ca="1">IFERROR(__xludf.DUMMYFUNCTION("""COMPUTED_VALUE"""),"DRE BREVES")</f>
        <v>DRE BREVES</v>
      </c>
      <c r="C495" s="2" t="str">
        <f ca="1">IFERROR(__xludf.DUMMYFUNCTION("""COMPUTED_VALUE"""),"DRE - BREVES")</f>
        <v>DRE - BREVES</v>
      </c>
      <c r="D495" s="1"/>
      <c r="E495" s="2" t="str">
        <f ca="1">IFERROR(__xludf.DUMMYFUNCTION("""COMPUTED_VALUE"""),"DRE - BREVES")</f>
        <v>DRE - BREVES</v>
      </c>
      <c r="F495" s="1">
        <f ca="1">IFERROR(__xludf.DUMMYFUNCTION("""COMPUTED_VALUE"""),2)</f>
        <v>2</v>
      </c>
      <c r="G495" s="1"/>
      <c r="H495" s="1" t="str">
        <f ca="1">IFERROR(__xludf.DUMMYFUNCTION("""COMPUTED_VALUE"""),"13A URE - BREVES")</f>
        <v>13A URE - BREVES</v>
      </c>
      <c r="I495" s="1"/>
      <c r="J495" s="1" t="str">
        <f ca="1">IFERROR(__xludf.DUMMYFUNCTION("""COMPUTED_VALUE"""),"GURUPA")</f>
        <v>GURUPA</v>
      </c>
      <c r="K495" s="1">
        <f ca="1">IFERROR(__xludf.DUMMYFUNCTION("""COMPUTED_VALUE"""),15178277)</f>
        <v>15178277</v>
      </c>
      <c r="L495" s="2" t="str">
        <f ca="1">IFERROR(__xludf.DUMMYFUNCTION("""COMPUTED_VALUE"""),"001920905810001")</f>
        <v>001920905810001</v>
      </c>
      <c r="M495" s="2" t="str">
        <f ca="1">IFERROR(__xludf.DUMMYFUNCTION("""COMPUTED_VALUE"""),"1920905810001")</f>
        <v>1920905810001</v>
      </c>
      <c r="N495" s="1" t="str">
        <f ca="1">IFERROR(__xludf.DUMMYFUNCTION("""COMPUTED_VALUE"""),"ANEXO RURAL MARCILIO DIAS")</f>
        <v>ANEXO RURAL MARCILIO DIAS</v>
      </c>
      <c r="O495" s="1"/>
      <c r="P495" s="1"/>
      <c r="Q495" s="1" t="s">
        <v>490</v>
      </c>
    </row>
    <row r="496" spans="1:17" x14ac:dyDescent="0.25">
      <c r="A496" s="2" t="str">
        <f ca="1">IFERROR(__xludf.DUMMYFUNCTION("""COMPUTED_VALUE"""),"REG DE INTEGRA DO MARAJO")</f>
        <v>REG DE INTEGRA DO MARAJO</v>
      </c>
      <c r="B496" s="1" t="str">
        <f ca="1">IFERROR(__xludf.DUMMYFUNCTION("""COMPUTED_VALUE"""),"DRE BREVES")</f>
        <v>DRE BREVES</v>
      </c>
      <c r="C496" s="2" t="str">
        <f ca="1">IFERROR(__xludf.DUMMYFUNCTION("""COMPUTED_VALUE"""),"DRE - BREVES")</f>
        <v>DRE - BREVES</v>
      </c>
      <c r="D496" s="1"/>
      <c r="E496" s="2" t="str">
        <f ca="1">IFERROR(__xludf.DUMMYFUNCTION("""COMPUTED_VALUE"""),"DRE - BREVES")</f>
        <v>DRE - BREVES</v>
      </c>
      <c r="F496" s="1">
        <f ca="1">IFERROR(__xludf.DUMMYFUNCTION("""COMPUTED_VALUE"""),2)</f>
        <v>2</v>
      </c>
      <c r="G496" s="1" t="str">
        <f ca="1">IFERROR(__xludf.DUMMYFUNCTION("""COMPUTED_VALUE"""),"DRE BREVES")</f>
        <v>DRE BREVES</v>
      </c>
      <c r="H496" s="1" t="str">
        <f ca="1">IFERROR(__xludf.DUMMYFUNCTION("""COMPUTED_VALUE"""),"13A URE - BREVES")</f>
        <v>13A URE - BREVES</v>
      </c>
      <c r="I496" s="1"/>
      <c r="J496" s="1" t="str">
        <f ca="1">IFERROR(__xludf.DUMMYFUNCTION("""COMPUTED_VALUE"""),"GURUPA")</f>
        <v>GURUPA</v>
      </c>
      <c r="K496" s="1">
        <f ca="1">IFERROR(__xludf.DUMMYFUNCTION("""COMPUTED_VALUE"""),15019403)</f>
        <v>15019403</v>
      </c>
      <c r="L496" s="2" t="str">
        <f ca="1">IFERROR(__xludf.DUMMYFUNCTION("""COMPUTED_VALUE"""),"001920905810000")</f>
        <v>001920905810000</v>
      </c>
      <c r="M496" s="2" t="str">
        <f ca="1">IFERROR(__xludf.DUMMYFUNCTION("""COMPUTED_VALUE"""),"1920905810000")</f>
        <v>1920905810000</v>
      </c>
      <c r="N496" s="1" t="str">
        <f ca="1">IFERROR(__xludf.DUMMYFUNCTION("""COMPUTED_VALUE"""),"EEEM MARCILIO DIAS")</f>
        <v>EEEM MARCILIO DIAS</v>
      </c>
      <c r="O496" s="1"/>
      <c r="P496" s="1"/>
      <c r="Q496" s="1" t="s">
        <v>490</v>
      </c>
    </row>
    <row r="497" spans="1:17" x14ac:dyDescent="0.25">
      <c r="A497" s="2" t="str">
        <f ca="1">IFERROR(__xludf.DUMMYFUNCTION("""COMPUTED_VALUE"""),"REG DE INTEGRA DO MARAJO")</f>
        <v>REG DE INTEGRA DO MARAJO</v>
      </c>
      <c r="B497" s="1" t="str">
        <f ca="1">IFERROR(__xludf.DUMMYFUNCTION("""COMPUTED_VALUE"""),"DRE BREVES")</f>
        <v>DRE BREVES</v>
      </c>
      <c r="C497" s="2" t="str">
        <f ca="1">IFERROR(__xludf.DUMMYFUNCTION("""COMPUTED_VALUE"""),"DRE - BREVES")</f>
        <v>DRE - BREVES</v>
      </c>
      <c r="D497" s="1"/>
      <c r="E497" s="2" t="str">
        <f ca="1">IFERROR(__xludf.DUMMYFUNCTION("""COMPUTED_VALUE"""),"DRE - BREVES")</f>
        <v>DRE - BREVES</v>
      </c>
      <c r="F497" s="1"/>
      <c r="G497" s="1"/>
      <c r="H497" s="1" t="str">
        <f ca="1">IFERROR(__xludf.DUMMYFUNCTION("""COMPUTED_VALUE"""),"13A URE - BREVES")</f>
        <v>13A URE - BREVES</v>
      </c>
      <c r="I497" s="1"/>
      <c r="J497" s="1" t="str">
        <f ca="1">IFERROR(__xludf.DUMMYFUNCTION("""COMPUTED_VALUE"""),"GURUPA")</f>
        <v>GURUPA</v>
      </c>
      <c r="K497" s="1"/>
      <c r="L497" s="2" t="str">
        <f ca="1">IFERROR(__xludf.DUMMYFUNCTION("""COMPUTED_VALUE"""),"001921025000000")</f>
        <v>001921025000000</v>
      </c>
      <c r="M497" s="2" t="str">
        <f ca="1">IFERROR(__xludf.DUMMYFUNCTION("""COMPUTED_VALUE"""),"1921025000000")</f>
        <v>1921025000000</v>
      </c>
      <c r="N497" s="1" t="str">
        <f ca="1">IFERROR(__xludf.DUMMYFUNCTION("""COMPUTED_VALUE"""),"ESCOLA ESTADUAL RURAL DE GURUPA")</f>
        <v>ESCOLA ESTADUAL RURAL DE GURUPA</v>
      </c>
      <c r="O497" s="1"/>
      <c r="P497" s="1"/>
      <c r="Q497" s="1" t="s">
        <v>490</v>
      </c>
    </row>
    <row r="498" spans="1:17" x14ac:dyDescent="0.25">
      <c r="A498" s="2" t="str">
        <f ca="1">IFERROR(__xludf.DUMMYFUNCTION("""COMPUTED_VALUE"""),"REG DE INTEGRA DO MARAJO")</f>
        <v>REG DE INTEGRA DO MARAJO</v>
      </c>
      <c r="B498" s="1" t="str">
        <f ca="1">IFERROR(__xludf.DUMMYFUNCTION("""COMPUTED_VALUE"""),"DRE BREVES")</f>
        <v>DRE BREVES</v>
      </c>
      <c r="C498" s="2" t="str">
        <f ca="1">IFERROR(__xludf.DUMMYFUNCTION("""COMPUTED_VALUE"""),"DRE - BREVES")</f>
        <v>DRE - BREVES</v>
      </c>
      <c r="D498" s="1"/>
      <c r="E498" s="2" t="str">
        <f ca="1">IFERROR(__xludf.DUMMYFUNCTION("""COMPUTED_VALUE"""),"DRE - BREVES")</f>
        <v>DRE - BREVES</v>
      </c>
      <c r="F498" s="1">
        <f ca="1">IFERROR(__xludf.DUMMYFUNCTION("""COMPUTED_VALUE"""),2)</f>
        <v>2</v>
      </c>
      <c r="G498" s="1"/>
      <c r="H498" s="1" t="str">
        <f ca="1">IFERROR(__xludf.DUMMYFUNCTION("""COMPUTED_VALUE"""),"13A URE - BREVES")</f>
        <v>13A URE - BREVES</v>
      </c>
      <c r="I498" s="1"/>
      <c r="J498" s="1" t="str">
        <f ca="1">IFERROR(__xludf.DUMMYFUNCTION("""COMPUTED_VALUE"""),"MELGACO")</f>
        <v>MELGACO</v>
      </c>
      <c r="K498" s="1">
        <f ca="1">IFERROR(__xludf.DUMMYFUNCTION("""COMPUTED_VALUE"""),15178293)</f>
        <v>15178293</v>
      </c>
      <c r="L498" s="2" t="str">
        <f ca="1">IFERROR(__xludf.DUMMYFUNCTION("""COMPUTED_VALUE"""),"001920911570001")</f>
        <v>001920911570001</v>
      </c>
      <c r="M498" s="2" t="str">
        <f ca="1">IFERROR(__xludf.DUMMYFUNCTION("""COMPUTED_VALUE"""),"1920911570001")</f>
        <v>1920911570001</v>
      </c>
      <c r="N498" s="1" t="str">
        <f ca="1">IFERROR(__xludf.DUMMYFUNCTION("""COMPUTED_VALUE"""),"ANEXO RURAL PRES TANCREDO DE ALMEIDA NEVES")</f>
        <v>ANEXO RURAL PRES TANCREDO DE ALMEIDA NEVES</v>
      </c>
      <c r="O498" s="1"/>
      <c r="P498" s="1"/>
      <c r="Q498" s="1" t="s">
        <v>490</v>
      </c>
    </row>
    <row r="499" spans="1:17" x14ac:dyDescent="0.25">
      <c r="A499" s="2" t="str">
        <f ca="1">IFERROR(__xludf.DUMMYFUNCTION("""COMPUTED_VALUE"""),"REG DE INTEGRA DO MARAJO")</f>
        <v>REG DE INTEGRA DO MARAJO</v>
      </c>
      <c r="B499" s="1" t="str">
        <f ca="1">IFERROR(__xludf.DUMMYFUNCTION("""COMPUTED_VALUE"""),"DRE BREVES")</f>
        <v>DRE BREVES</v>
      </c>
      <c r="C499" s="2" t="str">
        <f ca="1">IFERROR(__xludf.DUMMYFUNCTION("""COMPUTED_VALUE"""),"DRE - BREVES")</f>
        <v>DRE - BREVES</v>
      </c>
      <c r="D499" s="1"/>
      <c r="E499" s="2" t="str">
        <f ca="1">IFERROR(__xludf.DUMMYFUNCTION("""COMPUTED_VALUE"""),"DRE - BREVES")</f>
        <v>DRE - BREVES</v>
      </c>
      <c r="F499" s="1">
        <f ca="1">IFERROR(__xludf.DUMMYFUNCTION("""COMPUTED_VALUE"""),2)</f>
        <v>2</v>
      </c>
      <c r="G499" s="1" t="str">
        <f ca="1">IFERROR(__xludf.DUMMYFUNCTION("""COMPUTED_VALUE"""),"DRE BREVES")</f>
        <v>DRE BREVES</v>
      </c>
      <c r="H499" s="1" t="str">
        <f ca="1">IFERROR(__xludf.DUMMYFUNCTION("""COMPUTED_VALUE"""),"13A URE - BREVES")</f>
        <v>13A URE - BREVES</v>
      </c>
      <c r="I499" s="1"/>
      <c r="J499" s="1" t="str">
        <f ca="1">IFERROR(__xludf.DUMMYFUNCTION("""COMPUTED_VALUE"""),"MELGACO")</f>
        <v>MELGACO</v>
      </c>
      <c r="K499" s="1">
        <f ca="1">IFERROR(__xludf.DUMMYFUNCTION("""COMPUTED_VALUE"""),15020282)</f>
        <v>15020282</v>
      </c>
      <c r="L499" s="2" t="str">
        <f ca="1">IFERROR(__xludf.DUMMYFUNCTION("""COMPUTED_VALUE"""),"001920911570000")</f>
        <v>001920911570000</v>
      </c>
      <c r="M499" s="2" t="str">
        <f ca="1">IFERROR(__xludf.DUMMYFUNCTION("""COMPUTED_VALUE"""),"1920911570000")</f>
        <v>1920911570000</v>
      </c>
      <c r="N499" s="1" t="str">
        <f ca="1">IFERROR(__xludf.DUMMYFUNCTION("""COMPUTED_VALUE"""),"EEEFM PRES TANCREDO DE ALMEIDA NEVES")</f>
        <v>EEEFM PRES TANCREDO DE ALMEIDA NEVES</v>
      </c>
      <c r="O499" s="1"/>
      <c r="P499" s="1"/>
      <c r="Q499" s="1" t="s">
        <v>490</v>
      </c>
    </row>
    <row r="500" spans="1:17" x14ac:dyDescent="0.25">
      <c r="A500" s="2" t="str">
        <f ca="1">IFERROR(__xludf.DUMMYFUNCTION("""COMPUTED_VALUE"""),"REG DE INTEGRA DO MARAJO")</f>
        <v>REG DE INTEGRA DO MARAJO</v>
      </c>
      <c r="B500" s="1" t="str">
        <f ca="1">IFERROR(__xludf.DUMMYFUNCTION("""COMPUTED_VALUE"""),"DRE BREVES")</f>
        <v>DRE BREVES</v>
      </c>
      <c r="C500" s="2" t="str">
        <f ca="1">IFERROR(__xludf.DUMMYFUNCTION("""COMPUTED_VALUE"""),"DRE - BREVES")</f>
        <v>DRE - BREVES</v>
      </c>
      <c r="D500" s="1"/>
      <c r="E500" s="2" t="str">
        <f ca="1">IFERROR(__xludf.DUMMYFUNCTION("""COMPUTED_VALUE"""),"DRE - BREVES")</f>
        <v>DRE - BREVES</v>
      </c>
      <c r="F500" s="1"/>
      <c r="G500" s="1"/>
      <c r="H500" s="1" t="str">
        <f ca="1">IFERROR(__xludf.DUMMYFUNCTION("""COMPUTED_VALUE"""),"13A URE - BREVES")</f>
        <v>13A URE - BREVES</v>
      </c>
      <c r="I500" s="1"/>
      <c r="J500" s="1" t="str">
        <f ca="1">IFERROR(__xludf.DUMMYFUNCTION("""COMPUTED_VALUE"""),"MELGACO")</f>
        <v>MELGACO</v>
      </c>
      <c r="K500" s="1"/>
      <c r="L500" s="2" t="str">
        <f ca="1">IFERROR(__xludf.DUMMYFUNCTION("""COMPUTED_VALUE"""),"001921026000000")</f>
        <v>001921026000000</v>
      </c>
      <c r="M500" s="2" t="str">
        <f ca="1">IFERROR(__xludf.DUMMYFUNCTION("""COMPUTED_VALUE"""),"1921026000000")</f>
        <v>1921026000000</v>
      </c>
      <c r="N500" s="1" t="str">
        <f ca="1">IFERROR(__xludf.DUMMYFUNCTION("""COMPUTED_VALUE"""),"ESCOLA ESTADUAL RURAL DE MELGACO")</f>
        <v>ESCOLA ESTADUAL RURAL DE MELGACO</v>
      </c>
      <c r="O500" s="1"/>
      <c r="P500" s="1"/>
      <c r="Q500" s="1" t="s">
        <v>490</v>
      </c>
    </row>
    <row r="501" spans="1:17" x14ac:dyDescent="0.25">
      <c r="A501" s="2" t="str">
        <f ca="1">IFERROR(__xludf.DUMMYFUNCTION("""COMPUTED_VALUE"""),"REG DE INTEGRA DO MARAJO")</f>
        <v>REG DE INTEGRA DO MARAJO</v>
      </c>
      <c r="B501" s="1" t="str">
        <f ca="1">IFERROR(__xludf.DUMMYFUNCTION("""COMPUTED_VALUE"""),"DRE BREVES")</f>
        <v>DRE BREVES</v>
      </c>
      <c r="C501" s="2" t="str">
        <f ca="1">IFERROR(__xludf.DUMMYFUNCTION("""COMPUTED_VALUE"""),"DRE - BREVES")</f>
        <v>DRE - BREVES</v>
      </c>
      <c r="D501" s="1"/>
      <c r="E501" s="2" t="str">
        <f ca="1">IFERROR(__xludf.DUMMYFUNCTION("""COMPUTED_VALUE"""),"DRE - BREVES")</f>
        <v>DRE - BREVES</v>
      </c>
      <c r="F501" s="1">
        <f ca="1">IFERROR(__xludf.DUMMYFUNCTION("""COMPUTED_VALUE"""),2)</f>
        <v>2</v>
      </c>
      <c r="G501" s="1"/>
      <c r="H501" s="1" t="str">
        <f ca="1">IFERROR(__xludf.DUMMYFUNCTION("""COMPUTED_VALUE"""),"13A URE - BREVES")</f>
        <v>13A URE - BREVES</v>
      </c>
      <c r="I501" s="1"/>
      <c r="J501" s="1" t="str">
        <f ca="1">IFERROR(__xludf.DUMMYFUNCTION("""COMPUTED_VALUE"""),"PORTEL")</f>
        <v>PORTEL</v>
      </c>
      <c r="K501" s="1">
        <f ca="1">IFERROR(__xludf.DUMMYFUNCTION("""COMPUTED_VALUE"""),15178285)</f>
        <v>15178285</v>
      </c>
      <c r="L501" s="2" t="str">
        <f ca="1">IFERROR(__xludf.DUMMYFUNCTION("""COMPUTED_VALUE"""),"001920911560001")</f>
        <v>001920911560001</v>
      </c>
      <c r="M501" s="2" t="str">
        <f ca="1">IFERROR(__xludf.DUMMYFUNCTION("""COMPUTED_VALUE"""),"1920911560001")</f>
        <v>1920911560001</v>
      </c>
      <c r="N501" s="1" t="str">
        <f ca="1">IFERROR(__xludf.DUMMYFUNCTION("""COMPUTED_VALUE"""),"ANEXO RURAL  PAULINO DE BRITO")</f>
        <v>ANEXO RURAL  PAULINO DE BRITO</v>
      </c>
      <c r="O501" s="1"/>
      <c r="P501" s="1"/>
      <c r="Q501" s="1" t="s">
        <v>490</v>
      </c>
    </row>
    <row r="502" spans="1:17" x14ac:dyDescent="0.25">
      <c r="A502" s="2" t="str">
        <f ca="1">IFERROR(__xludf.DUMMYFUNCTION("""COMPUTED_VALUE"""),"REG DE INTEGRA DO MARAJO")</f>
        <v>REG DE INTEGRA DO MARAJO</v>
      </c>
      <c r="B502" s="1" t="str">
        <f ca="1">IFERROR(__xludf.DUMMYFUNCTION("""COMPUTED_VALUE"""),"DRE BREVES")</f>
        <v>DRE BREVES</v>
      </c>
      <c r="C502" s="2" t="str">
        <f ca="1">IFERROR(__xludf.DUMMYFUNCTION("""COMPUTED_VALUE"""),"DRE - BREVES")</f>
        <v>DRE - BREVES</v>
      </c>
      <c r="D502" s="1"/>
      <c r="E502" s="2" t="str">
        <f ca="1">IFERROR(__xludf.DUMMYFUNCTION("""COMPUTED_VALUE"""),"DRE - BREVES")</f>
        <v>DRE - BREVES</v>
      </c>
      <c r="F502" s="1">
        <f ca="1">IFERROR(__xludf.DUMMYFUNCTION("""COMPUTED_VALUE"""),2)</f>
        <v>2</v>
      </c>
      <c r="G502" s="1" t="str">
        <f ca="1">IFERROR(__xludf.DUMMYFUNCTION("""COMPUTED_VALUE"""),"DRE BREVES")</f>
        <v>DRE BREVES</v>
      </c>
      <c r="H502" s="1" t="str">
        <f ca="1">IFERROR(__xludf.DUMMYFUNCTION("""COMPUTED_VALUE"""),"13A URE - BREVES")</f>
        <v>13A URE - BREVES</v>
      </c>
      <c r="I502" s="1"/>
      <c r="J502" s="1" t="str">
        <f ca="1">IFERROR(__xludf.DUMMYFUNCTION("""COMPUTED_VALUE"""),"PORTEL")</f>
        <v>PORTEL</v>
      </c>
      <c r="K502" s="1">
        <f ca="1">IFERROR(__xludf.DUMMYFUNCTION("""COMPUTED_VALUE"""),15574865)</f>
        <v>15574865</v>
      </c>
      <c r="L502" s="2" t="str">
        <f ca="1">IFERROR(__xludf.DUMMYFUNCTION("""COMPUTED_VALUE"""),"001920936080000")</f>
        <v>001920936080000</v>
      </c>
      <c r="M502" s="2" t="str">
        <f ca="1">IFERROR(__xludf.DUMMYFUNCTION("""COMPUTED_VALUE"""),"1920936080000")</f>
        <v>1920936080000</v>
      </c>
      <c r="N502" s="1" t="str">
        <f ca="1">IFERROR(__xludf.DUMMYFUNCTION("""COMPUTED_VALUE"""),"EEEM C DEPUTADO NICIAS RIBEIRO")</f>
        <v>EEEM C DEPUTADO NICIAS RIBEIRO</v>
      </c>
      <c r="O502" s="1"/>
      <c r="P502" s="1"/>
      <c r="Q502" s="1" t="s">
        <v>490</v>
      </c>
    </row>
    <row r="503" spans="1:17" x14ac:dyDescent="0.25">
      <c r="A503" s="2" t="str">
        <f ca="1">IFERROR(__xludf.DUMMYFUNCTION("""COMPUTED_VALUE"""),"REG DE INTEGRA DO MARAJO")</f>
        <v>REG DE INTEGRA DO MARAJO</v>
      </c>
      <c r="B503" s="1" t="str">
        <f ca="1">IFERROR(__xludf.DUMMYFUNCTION("""COMPUTED_VALUE"""),"DRE BREVES")</f>
        <v>DRE BREVES</v>
      </c>
      <c r="C503" s="2" t="str">
        <f ca="1">IFERROR(__xludf.DUMMYFUNCTION("""COMPUTED_VALUE"""),"DRE - BREVES")</f>
        <v>DRE - BREVES</v>
      </c>
      <c r="D503" s="1"/>
      <c r="E503" s="2" t="str">
        <f ca="1">IFERROR(__xludf.DUMMYFUNCTION("""COMPUTED_VALUE"""),"DRE - BREVES")</f>
        <v>DRE - BREVES</v>
      </c>
      <c r="F503" s="1">
        <f ca="1">IFERROR(__xludf.DUMMYFUNCTION("""COMPUTED_VALUE"""),2)</f>
        <v>2</v>
      </c>
      <c r="G503" s="1" t="str">
        <f ca="1">IFERROR(__xludf.DUMMYFUNCTION("""COMPUTED_VALUE"""),"DRE BREVES")</f>
        <v>DRE BREVES</v>
      </c>
      <c r="H503" s="1" t="str">
        <f ca="1">IFERROR(__xludf.DUMMYFUNCTION("""COMPUTED_VALUE"""),"13A URE - BREVES")</f>
        <v>13A URE - BREVES</v>
      </c>
      <c r="I503" s="1"/>
      <c r="J503" s="1" t="str">
        <f ca="1">IFERROR(__xludf.DUMMYFUNCTION("""COMPUTED_VALUE"""),"PORTEL")</f>
        <v>PORTEL</v>
      </c>
      <c r="K503" s="1">
        <f ca="1">IFERROR(__xludf.DUMMYFUNCTION("""COMPUTED_VALUE"""),15021564)</f>
        <v>15021564</v>
      </c>
      <c r="L503" s="2" t="str">
        <f ca="1">IFERROR(__xludf.DUMMYFUNCTION("""COMPUTED_VALUE"""),"001920911560000")</f>
        <v>001920911560000</v>
      </c>
      <c r="M503" s="2" t="str">
        <f ca="1">IFERROR(__xludf.DUMMYFUNCTION("""COMPUTED_VALUE"""),"1920911560000")</f>
        <v>1920911560000</v>
      </c>
      <c r="N503" s="1" t="str">
        <f ca="1">IFERROR(__xludf.DUMMYFUNCTION("""COMPUTED_VALUE"""),"EEEM PAULINO DE BRITO SEDE")</f>
        <v>EEEM PAULINO DE BRITO SEDE</v>
      </c>
      <c r="O503" s="1"/>
      <c r="P503" s="1"/>
      <c r="Q503" s="1" t="s">
        <v>490</v>
      </c>
    </row>
    <row r="504" spans="1:17" x14ac:dyDescent="0.25">
      <c r="A504" s="2" t="str">
        <f ca="1">IFERROR(__xludf.DUMMYFUNCTION("""COMPUTED_VALUE"""),"REG DE INTEGRA DO MARAJO")</f>
        <v>REG DE INTEGRA DO MARAJO</v>
      </c>
      <c r="B504" s="1" t="str">
        <f ca="1">IFERROR(__xludf.DUMMYFUNCTION("""COMPUTED_VALUE"""),"DRE BREVES")</f>
        <v>DRE BREVES</v>
      </c>
      <c r="C504" s="2" t="str">
        <f ca="1">IFERROR(__xludf.DUMMYFUNCTION("""COMPUTED_VALUE"""),"DRE - BREVES")</f>
        <v>DRE - BREVES</v>
      </c>
      <c r="D504" s="1"/>
      <c r="E504" s="2" t="str">
        <f ca="1">IFERROR(__xludf.DUMMYFUNCTION("""COMPUTED_VALUE"""),"DRE - BREVES")</f>
        <v>DRE - BREVES</v>
      </c>
      <c r="F504" s="1"/>
      <c r="G504" s="1"/>
      <c r="H504" s="1" t="str">
        <f ca="1">IFERROR(__xludf.DUMMYFUNCTION("""COMPUTED_VALUE"""),"13A URE - BREVES")</f>
        <v>13A URE - BREVES</v>
      </c>
      <c r="I504" s="1"/>
      <c r="J504" s="1" t="str">
        <f ca="1">IFERROR(__xludf.DUMMYFUNCTION("""COMPUTED_VALUE"""),"PORTEL")</f>
        <v>PORTEL</v>
      </c>
      <c r="K504" s="1"/>
      <c r="L504" s="2" t="str">
        <f ca="1">IFERROR(__xludf.DUMMYFUNCTION("""COMPUTED_VALUE"""),"001921027000000")</f>
        <v>001921027000000</v>
      </c>
      <c r="M504" s="2" t="str">
        <f ca="1">IFERROR(__xludf.DUMMYFUNCTION("""COMPUTED_VALUE"""),"1921027000000")</f>
        <v>1921027000000</v>
      </c>
      <c r="N504" s="1" t="str">
        <f ca="1">IFERROR(__xludf.DUMMYFUNCTION("""COMPUTED_VALUE"""),"ESCOLA ESTADUAL RURAL DE PORTEL")</f>
        <v>ESCOLA ESTADUAL RURAL DE PORTEL</v>
      </c>
      <c r="O504" s="1"/>
      <c r="P504" s="1"/>
      <c r="Q504" s="1" t="s">
        <v>490</v>
      </c>
    </row>
    <row r="505" spans="1:17" x14ac:dyDescent="0.25">
      <c r="A505" s="2" t="str">
        <f ca="1">IFERROR(__xludf.DUMMYFUNCTION("""COMPUTED_VALUE"""),"REG DE INTEGRA DO MARAJO")</f>
        <v>REG DE INTEGRA DO MARAJO</v>
      </c>
      <c r="B505" s="1" t="str">
        <f ca="1">IFERROR(__xludf.DUMMYFUNCTION("""COMPUTED_VALUE"""),"DRE CACHOEIRA DO ARARI")</f>
        <v>DRE CACHOEIRA DO ARARI</v>
      </c>
      <c r="C505" s="2" t="str">
        <f ca="1">IFERROR(__xludf.DUMMYFUNCTION("""COMPUTED_VALUE"""),"DRE - CACHOEIRA DO ARARI")</f>
        <v>DRE - CACHOEIRA DO ARARI</v>
      </c>
      <c r="D505" s="1"/>
      <c r="E505" s="2" t="str">
        <f ca="1">IFERROR(__xludf.DUMMYFUNCTION("""COMPUTED_VALUE"""),"DRE - CACHOEIRA DO ARARI")</f>
        <v>DRE - CACHOEIRA DO ARARI</v>
      </c>
      <c r="F505" s="1">
        <f ca="1">IFERROR(__xludf.DUMMYFUNCTION("""COMPUTED_VALUE"""),2)</f>
        <v>2</v>
      </c>
      <c r="G505" s="1" t="str">
        <f ca="1">IFERROR(__xludf.DUMMYFUNCTION("""COMPUTED_VALUE"""),"DRE REGIAO DAS ILHAS")</f>
        <v>DRE REGIAO DAS ILHAS</v>
      </c>
      <c r="H505" s="1" t="str">
        <f ca="1">IFERROR(__xludf.DUMMYFUNCTION("""COMPUTED_VALUE"""),"20A URE - REGIAO DAS ILHAS")</f>
        <v>20A URE - REGIAO DAS ILHAS</v>
      </c>
      <c r="I505" s="1"/>
      <c r="J505" s="1" t="str">
        <f ca="1">IFERROR(__xludf.DUMMYFUNCTION("""COMPUTED_VALUE"""),"CACHOEIRA DO ARARI")</f>
        <v>CACHOEIRA DO ARARI</v>
      </c>
      <c r="K505" s="1">
        <f ca="1">IFERROR(__xludf.DUMMYFUNCTION("""COMPUTED_VALUE"""),15028577)</f>
        <v>15028577</v>
      </c>
      <c r="L505" s="2" t="str">
        <f ca="1">IFERROR(__xludf.DUMMYFUNCTION("""COMPUTED_VALUE"""),"001920923020001")</f>
        <v>001920923020001</v>
      </c>
      <c r="M505" s="2" t="str">
        <f ca="1">IFERROR(__xludf.DUMMYFUNCTION("""COMPUTED_VALUE"""),"1920923020001")</f>
        <v>1920923020001</v>
      </c>
      <c r="N505" s="1" t="str">
        <f ca="1">IFERROR(__xludf.DUMMYFUNCTION("""COMPUTED_VALUE"""),"ANEXO DA EEEFM UMARIZAL")</f>
        <v>ANEXO DA EEEFM UMARIZAL</v>
      </c>
      <c r="O505" s="1"/>
      <c r="P505" s="1"/>
      <c r="Q505" s="1" t="s">
        <v>515</v>
      </c>
    </row>
    <row r="506" spans="1:17" x14ac:dyDescent="0.25">
      <c r="A506" s="2" t="str">
        <f ca="1">IFERROR(__xludf.DUMMYFUNCTION("""COMPUTED_VALUE"""),"REG DE INTEGRA DO MARAJO")</f>
        <v>REG DE INTEGRA DO MARAJO</v>
      </c>
      <c r="B506" s="1" t="str">
        <f ca="1">IFERROR(__xludf.DUMMYFUNCTION("""COMPUTED_VALUE"""),"DRE CACHOEIRA DO ARARI")</f>
        <v>DRE CACHOEIRA DO ARARI</v>
      </c>
      <c r="C506" s="2" t="str">
        <f ca="1">IFERROR(__xludf.DUMMYFUNCTION("""COMPUTED_VALUE"""),"DRE - CACHOEIRA DO ARARI")</f>
        <v>DRE - CACHOEIRA DO ARARI</v>
      </c>
      <c r="D506" s="1"/>
      <c r="E506" s="2" t="str">
        <f ca="1">IFERROR(__xludf.DUMMYFUNCTION("""COMPUTED_VALUE"""),"DRE - CACHOEIRA DO ARARI")</f>
        <v>DRE - CACHOEIRA DO ARARI</v>
      </c>
      <c r="F506" s="1">
        <f ca="1">IFERROR(__xludf.DUMMYFUNCTION("""COMPUTED_VALUE"""),2)</f>
        <v>2</v>
      </c>
      <c r="G506" s="1"/>
      <c r="H506" s="1" t="str">
        <f ca="1">IFERROR(__xludf.DUMMYFUNCTION("""COMPUTED_VALUE"""),"20A URE - REGIAO DAS ILHAS")</f>
        <v>20A URE - REGIAO DAS ILHAS</v>
      </c>
      <c r="I506" s="1"/>
      <c r="J506" s="1" t="str">
        <f ca="1">IFERROR(__xludf.DUMMYFUNCTION("""COMPUTED_VALUE"""),"CACHOEIRA DO ARARI")</f>
        <v>CACHOEIRA DO ARARI</v>
      </c>
      <c r="K506" s="1">
        <f ca="1">IFERROR(__xludf.DUMMYFUNCTION("""COMPUTED_VALUE"""),15177572)</f>
        <v>15177572</v>
      </c>
      <c r="L506" s="2" t="str">
        <f ca="1">IFERROR(__xludf.DUMMYFUNCTION("""COMPUTED_VALUE"""),"001920923070001")</f>
        <v>001920923070001</v>
      </c>
      <c r="M506" s="2" t="str">
        <f ca="1">IFERROR(__xludf.DUMMYFUNCTION("""COMPUTED_VALUE"""),"1920923070001")</f>
        <v>1920923070001</v>
      </c>
      <c r="N506" s="1" t="str">
        <f ca="1">IFERROR(__xludf.DUMMYFUNCTION("""COMPUTED_VALUE"""),"ANEXO RURAL  RETIRO GRANDE")</f>
        <v>ANEXO RURAL  RETIRO GRANDE</v>
      </c>
      <c r="O506" s="1"/>
      <c r="P506" s="1"/>
      <c r="Q506" s="1" t="s">
        <v>515</v>
      </c>
    </row>
    <row r="507" spans="1:17" x14ac:dyDescent="0.25">
      <c r="A507" s="2" t="str">
        <f ca="1">IFERROR(__xludf.DUMMYFUNCTION("""COMPUTED_VALUE"""),"REG DE INTEGRA DO MARAJO")</f>
        <v>REG DE INTEGRA DO MARAJO</v>
      </c>
      <c r="B507" s="1" t="str">
        <f ca="1">IFERROR(__xludf.DUMMYFUNCTION("""COMPUTED_VALUE"""),"DRE CACHOEIRA DO ARARI")</f>
        <v>DRE CACHOEIRA DO ARARI</v>
      </c>
      <c r="C507" s="2" t="str">
        <f ca="1">IFERROR(__xludf.DUMMYFUNCTION("""COMPUTED_VALUE"""),"DRE - CACHOEIRA DO ARARI")</f>
        <v>DRE - CACHOEIRA DO ARARI</v>
      </c>
      <c r="D507" s="1"/>
      <c r="E507" s="2" t="str">
        <f ca="1">IFERROR(__xludf.DUMMYFUNCTION("""COMPUTED_VALUE"""),"DRE - CACHOEIRA DO ARARI")</f>
        <v>DRE - CACHOEIRA DO ARARI</v>
      </c>
      <c r="F507" s="1">
        <f ca="1">IFERROR(__xludf.DUMMYFUNCTION("""COMPUTED_VALUE"""),2)</f>
        <v>2</v>
      </c>
      <c r="G507" s="1" t="str">
        <f ca="1">IFERROR(__xludf.DUMMYFUNCTION("""COMPUTED_VALUE"""),"DRE REGIAO DAS ILHAS")</f>
        <v>DRE REGIAO DAS ILHAS</v>
      </c>
      <c r="H507" s="1" t="str">
        <f ca="1">IFERROR(__xludf.DUMMYFUNCTION("""COMPUTED_VALUE"""),"20A URE - REGIAO DAS ILHAS")</f>
        <v>20A URE - REGIAO DAS ILHAS</v>
      </c>
      <c r="I507" s="1"/>
      <c r="J507" s="1" t="str">
        <f ca="1">IFERROR(__xludf.DUMMYFUNCTION("""COMPUTED_VALUE"""),"CACHOEIRA DO ARARI")</f>
        <v>CACHOEIRA DO ARARI</v>
      </c>
      <c r="K507" s="1">
        <f ca="1">IFERROR(__xludf.DUMMYFUNCTION("""COMPUTED_VALUE"""),15028534)</f>
        <v>15028534</v>
      </c>
      <c r="L507" s="2" t="str">
        <f ca="1">IFERROR(__xludf.DUMMYFUNCTION("""COMPUTED_VALUE"""),"001920923030000")</f>
        <v>001920923030000</v>
      </c>
      <c r="M507" s="2" t="str">
        <f ca="1">IFERROR(__xludf.DUMMYFUNCTION("""COMPUTED_VALUE"""),"1920923030000")</f>
        <v>1920923030000</v>
      </c>
      <c r="N507" s="1" t="str">
        <f ca="1">IFERROR(__xludf.DUMMYFUNCTION("""COMPUTED_VALUE"""),"EEEF CAMARA")</f>
        <v>EEEF CAMARA</v>
      </c>
      <c r="O507" s="1"/>
      <c r="P507" s="1"/>
      <c r="Q507" s="1" t="s">
        <v>515</v>
      </c>
    </row>
    <row r="508" spans="1:17" x14ac:dyDescent="0.25">
      <c r="A508" s="2" t="str">
        <f ca="1">IFERROR(__xludf.DUMMYFUNCTION("""COMPUTED_VALUE"""),"REG DE INTEGRA DO MARAJO")</f>
        <v>REG DE INTEGRA DO MARAJO</v>
      </c>
      <c r="B508" s="1" t="str">
        <f ca="1">IFERROR(__xludf.DUMMYFUNCTION("""COMPUTED_VALUE"""),"DRE CACHOEIRA DO ARARI")</f>
        <v>DRE CACHOEIRA DO ARARI</v>
      </c>
      <c r="C508" s="2" t="str">
        <f ca="1">IFERROR(__xludf.DUMMYFUNCTION("""COMPUTED_VALUE"""),"DRE - CACHOEIRA DO ARARI")</f>
        <v>DRE - CACHOEIRA DO ARARI</v>
      </c>
      <c r="D508" s="1"/>
      <c r="E508" s="2" t="str">
        <f ca="1">IFERROR(__xludf.DUMMYFUNCTION("""COMPUTED_VALUE"""),"DRE - CACHOEIRA DO ARARI")</f>
        <v>DRE - CACHOEIRA DO ARARI</v>
      </c>
      <c r="F508" s="1">
        <f ca="1">IFERROR(__xludf.DUMMYFUNCTION("""COMPUTED_VALUE"""),2)</f>
        <v>2</v>
      </c>
      <c r="G508" s="1" t="str">
        <f ca="1">IFERROR(__xludf.DUMMYFUNCTION("""COMPUTED_VALUE"""),"DRE REGIAO DAS ILHAS")</f>
        <v>DRE REGIAO DAS ILHAS</v>
      </c>
      <c r="H508" s="1" t="str">
        <f ca="1">IFERROR(__xludf.DUMMYFUNCTION("""COMPUTED_VALUE"""),"20A URE - REGIAO DAS ILHAS")</f>
        <v>20A URE - REGIAO DAS ILHAS</v>
      </c>
      <c r="I508" s="1"/>
      <c r="J508" s="1" t="str">
        <f ca="1">IFERROR(__xludf.DUMMYFUNCTION("""COMPUTED_VALUE"""),"CACHOEIRA DO ARARI")</f>
        <v>CACHOEIRA DO ARARI</v>
      </c>
      <c r="K508" s="1">
        <f ca="1">IFERROR(__xludf.DUMMYFUNCTION("""COMPUTED_VALUE"""),15028542)</f>
        <v>15028542</v>
      </c>
      <c r="L508" s="2" t="str">
        <f ca="1">IFERROR(__xludf.DUMMYFUNCTION("""COMPUTED_VALUE"""),"001920923040000")</f>
        <v>001920923040000</v>
      </c>
      <c r="M508" s="2" t="str">
        <f ca="1">IFERROR(__xludf.DUMMYFUNCTION("""COMPUTED_VALUE"""),"1920923040000")</f>
        <v>1920923040000</v>
      </c>
      <c r="N508" s="1" t="str">
        <f ca="1">IFERROR(__xludf.DUMMYFUNCTION("""COMPUTED_VALUE"""),"EEEF DE CHIPAIA")</f>
        <v>EEEF DE CHIPAIA</v>
      </c>
      <c r="O508" s="1"/>
      <c r="P508" s="1"/>
      <c r="Q508" s="1" t="s">
        <v>515</v>
      </c>
    </row>
    <row r="509" spans="1:17" x14ac:dyDescent="0.25">
      <c r="A509" s="2" t="str">
        <f ca="1">IFERROR(__xludf.DUMMYFUNCTION("""COMPUTED_VALUE"""),"REG DE INTEGRA DO MARAJO")</f>
        <v>REG DE INTEGRA DO MARAJO</v>
      </c>
      <c r="B509" s="1" t="str">
        <f ca="1">IFERROR(__xludf.DUMMYFUNCTION("""COMPUTED_VALUE"""),"DRE CACHOEIRA DO ARARI")</f>
        <v>DRE CACHOEIRA DO ARARI</v>
      </c>
      <c r="C509" s="2" t="str">
        <f ca="1">IFERROR(__xludf.DUMMYFUNCTION("""COMPUTED_VALUE"""),"DRE - CACHOEIRA DO ARARI")</f>
        <v>DRE - CACHOEIRA DO ARARI</v>
      </c>
      <c r="D509" s="1"/>
      <c r="E509" s="2" t="str">
        <f ca="1">IFERROR(__xludf.DUMMYFUNCTION("""COMPUTED_VALUE"""),"DRE - CACHOEIRA DO ARARI")</f>
        <v>DRE - CACHOEIRA DO ARARI</v>
      </c>
      <c r="F509" s="1">
        <f ca="1">IFERROR(__xludf.DUMMYFUNCTION("""COMPUTED_VALUE"""),2)</f>
        <v>2</v>
      </c>
      <c r="G509" s="1" t="str">
        <f ca="1">IFERROR(__xludf.DUMMYFUNCTION("""COMPUTED_VALUE"""),"DRE REGIAO DAS ILHAS")</f>
        <v>DRE REGIAO DAS ILHAS</v>
      </c>
      <c r="H509" s="1" t="str">
        <f ca="1">IFERROR(__xludf.DUMMYFUNCTION("""COMPUTED_VALUE"""),"20A URE - REGIAO DAS ILHAS")</f>
        <v>20A URE - REGIAO DAS ILHAS</v>
      </c>
      <c r="I509" s="1"/>
      <c r="J509" s="1" t="str">
        <f ca="1">IFERROR(__xludf.DUMMYFUNCTION("""COMPUTED_VALUE"""),"CACHOEIRA DO ARARI")</f>
        <v>CACHOEIRA DO ARARI</v>
      </c>
      <c r="K509" s="1">
        <f ca="1">IFERROR(__xludf.DUMMYFUNCTION("""COMPUTED_VALUE"""),15171043)</f>
        <v>15171043</v>
      </c>
      <c r="L509" s="2" t="str">
        <f ca="1">IFERROR(__xludf.DUMMYFUNCTION("""COMPUTED_VALUE"""),"001920937840000")</f>
        <v>001920937840000</v>
      </c>
      <c r="M509" s="2" t="str">
        <f ca="1">IFERROR(__xludf.DUMMYFUNCTION("""COMPUTED_VALUE"""),"1920937840000")</f>
        <v>1920937840000</v>
      </c>
      <c r="N509" s="1" t="str">
        <f ca="1">IFERROR(__xludf.DUMMYFUNCTION("""COMPUTED_VALUE"""),"EEEF MAGNO DA SILVA BAHIA")</f>
        <v>EEEF MAGNO DA SILVA BAHIA</v>
      </c>
      <c r="O509" s="1"/>
      <c r="P509" s="1"/>
      <c r="Q509" s="1" t="s">
        <v>515</v>
      </c>
    </row>
    <row r="510" spans="1:17" x14ac:dyDescent="0.25">
      <c r="A510" s="2" t="str">
        <f ca="1">IFERROR(__xludf.DUMMYFUNCTION("""COMPUTED_VALUE"""),"REG DE INTEGRA DO MARAJO")</f>
        <v>REG DE INTEGRA DO MARAJO</v>
      </c>
      <c r="B510" s="1" t="str">
        <f ca="1">IFERROR(__xludf.DUMMYFUNCTION("""COMPUTED_VALUE"""),"DRE CACHOEIRA DO ARARI")</f>
        <v>DRE CACHOEIRA DO ARARI</v>
      </c>
      <c r="C510" s="2" t="str">
        <f ca="1">IFERROR(__xludf.DUMMYFUNCTION("""COMPUTED_VALUE"""),"DRE - CACHOEIRA DO ARARI")</f>
        <v>DRE - CACHOEIRA DO ARARI</v>
      </c>
      <c r="D510" s="1"/>
      <c r="E510" s="2" t="str">
        <f ca="1">IFERROR(__xludf.DUMMYFUNCTION("""COMPUTED_VALUE"""),"DRE - CACHOEIRA DO ARARI")</f>
        <v>DRE - CACHOEIRA DO ARARI</v>
      </c>
      <c r="F510" s="1">
        <f ca="1">IFERROR(__xludf.DUMMYFUNCTION("""COMPUTED_VALUE"""),2)</f>
        <v>2</v>
      </c>
      <c r="G510" s="1" t="str">
        <f ca="1">IFERROR(__xludf.DUMMYFUNCTION("""COMPUTED_VALUE"""),"DRE REGIAO DAS ILHAS")</f>
        <v>DRE REGIAO DAS ILHAS</v>
      </c>
      <c r="H510" s="1" t="str">
        <f ca="1">IFERROR(__xludf.DUMMYFUNCTION("""COMPUTED_VALUE"""),"20A URE - REGIAO DAS ILHAS")</f>
        <v>20A URE - REGIAO DAS ILHAS</v>
      </c>
      <c r="I510" s="1"/>
      <c r="J510" s="1" t="str">
        <f ca="1">IFERROR(__xludf.DUMMYFUNCTION("""COMPUTED_VALUE"""),"CACHOEIRA DO ARARI")</f>
        <v>CACHOEIRA DO ARARI</v>
      </c>
      <c r="K510" s="1">
        <f ca="1">IFERROR(__xludf.DUMMYFUNCTION("""COMPUTED_VALUE"""),15028593)</f>
        <v>15028593</v>
      </c>
      <c r="L510" s="2" t="str">
        <f ca="1">IFERROR(__xludf.DUMMYFUNCTION("""COMPUTED_VALUE"""),"001920922990000")</f>
        <v>001920922990000</v>
      </c>
      <c r="M510" s="2" t="str">
        <f ca="1">IFERROR(__xludf.DUMMYFUNCTION("""COMPUTED_VALUE"""),"1920922990000")</f>
        <v>1920922990000</v>
      </c>
      <c r="N510" s="1" t="str">
        <f ca="1">IFERROR(__xludf.DUMMYFUNCTION("""COMPUTED_VALUE"""),"EEEFM DELGADO LEAO SEDE")</f>
        <v>EEEFM DELGADO LEAO SEDE</v>
      </c>
      <c r="O510" s="1"/>
      <c r="P510" s="1"/>
      <c r="Q510" s="1" t="s">
        <v>515</v>
      </c>
    </row>
    <row r="511" spans="1:17" x14ac:dyDescent="0.25">
      <c r="A511" s="2" t="str">
        <f ca="1">IFERROR(__xludf.DUMMYFUNCTION("""COMPUTED_VALUE"""),"REG DE INTEGRA DO MARAJO")</f>
        <v>REG DE INTEGRA DO MARAJO</v>
      </c>
      <c r="B511" s="1" t="str">
        <f ca="1">IFERROR(__xludf.DUMMYFUNCTION("""COMPUTED_VALUE"""),"DRE CACHOEIRA DO ARARI")</f>
        <v>DRE CACHOEIRA DO ARARI</v>
      </c>
      <c r="C511" s="2" t="str">
        <f ca="1">IFERROR(__xludf.DUMMYFUNCTION("""COMPUTED_VALUE"""),"DRE - CACHOEIRA DO ARARI")</f>
        <v>DRE - CACHOEIRA DO ARARI</v>
      </c>
      <c r="D511" s="1"/>
      <c r="E511" s="2" t="str">
        <f ca="1">IFERROR(__xludf.DUMMYFUNCTION("""COMPUTED_VALUE"""),"DRE - CACHOEIRA DO ARARI")</f>
        <v>DRE - CACHOEIRA DO ARARI</v>
      </c>
      <c r="F511" s="1">
        <f ca="1">IFERROR(__xludf.DUMMYFUNCTION("""COMPUTED_VALUE"""),2)</f>
        <v>2</v>
      </c>
      <c r="G511" s="1" t="str">
        <f ca="1">IFERROR(__xludf.DUMMYFUNCTION("""COMPUTED_VALUE"""),"DRE REGIAO DAS ILHAS")</f>
        <v>DRE REGIAO DAS ILHAS</v>
      </c>
      <c r="H511" s="1" t="str">
        <f ca="1">IFERROR(__xludf.DUMMYFUNCTION("""COMPUTED_VALUE"""),"20A URE - REGIAO DAS ILHAS")</f>
        <v>20A URE - REGIAO DAS ILHAS</v>
      </c>
      <c r="I511" s="1"/>
      <c r="J511" s="1" t="str">
        <f ca="1">IFERROR(__xludf.DUMMYFUNCTION("""COMPUTED_VALUE"""),"CACHOEIRA DO ARARI")</f>
        <v>CACHOEIRA DO ARARI</v>
      </c>
      <c r="K511" s="1">
        <f ca="1">IFERROR(__xludf.DUMMYFUNCTION("""COMPUTED_VALUE"""),15028488)</f>
        <v>15028488</v>
      </c>
      <c r="L511" s="2" t="str">
        <f ca="1">IFERROR(__xludf.DUMMYFUNCTION("""COMPUTED_VALUE"""),"001920923000000")</f>
        <v>001920923000000</v>
      </c>
      <c r="M511" s="2" t="str">
        <f ca="1">IFERROR(__xludf.DUMMYFUNCTION("""COMPUTED_VALUE"""),"1920923000000")</f>
        <v>1920923000000</v>
      </c>
      <c r="N511" s="1" t="str">
        <f ca="1">IFERROR(__xludf.DUMMYFUNCTION("""COMPUTED_VALUE"""),"EEEFM JOSE RODRIGUES VIANA")</f>
        <v>EEEFM JOSE RODRIGUES VIANA</v>
      </c>
      <c r="O511" s="1"/>
      <c r="P511" s="1"/>
      <c r="Q511" s="1" t="s">
        <v>515</v>
      </c>
    </row>
    <row r="512" spans="1:17" x14ac:dyDescent="0.25">
      <c r="A512" s="2" t="str">
        <f ca="1">IFERROR(__xludf.DUMMYFUNCTION("""COMPUTED_VALUE"""),"REG DE INTEGRA DO MARAJO")</f>
        <v>REG DE INTEGRA DO MARAJO</v>
      </c>
      <c r="B512" s="1" t="str">
        <f ca="1">IFERROR(__xludf.DUMMYFUNCTION("""COMPUTED_VALUE"""),"DRE CACHOEIRA DO ARARI")</f>
        <v>DRE CACHOEIRA DO ARARI</v>
      </c>
      <c r="C512" s="2" t="str">
        <f ca="1">IFERROR(__xludf.DUMMYFUNCTION("""COMPUTED_VALUE"""),"DRE - CACHOEIRA DO ARARI")</f>
        <v>DRE - CACHOEIRA DO ARARI</v>
      </c>
      <c r="D512" s="1"/>
      <c r="E512" s="2" t="str">
        <f ca="1">IFERROR(__xludf.DUMMYFUNCTION("""COMPUTED_VALUE"""),"DRE - CACHOEIRA DO ARARI")</f>
        <v>DRE - CACHOEIRA DO ARARI</v>
      </c>
      <c r="F512" s="1">
        <f ca="1">IFERROR(__xludf.DUMMYFUNCTION("""COMPUTED_VALUE"""),2)</f>
        <v>2</v>
      </c>
      <c r="G512" s="1" t="str">
        <f ca="1">IFERROR(__xludf.DUMMYFUNCTION("""COMPUTED_VALUE"""),"DRE REGIAO DAS ILHAS")</f>
        <v>DRE REGIAO DAS ILHAS</v>
      </c>
      <c r="H512" s="1" t="str">
        <f ca="1">IFERROR(__xludf.DUMMYFUNCTION("""COMPUTED_VALUE"""),"20A URE - REGIAO DAS ILHAS")</f>
        <v>20A URE - REGIAO DAS ILHAS</v>
      </c>
      <c r="I512" s="1"/>
      <c r="J512" s="1" t="str">
        <f ca="1">IFERROR(__xludf.DUMMYFUNCTION("""COMPUTED_VALUE"""),"CACHOEIRA DO ARARI")</f>
        <v>CACHOEIRA DO ARARI</v>
      </c>
      <c r="K512" s="1">
        <f ca="1">IFERROR(__xludf.DUMMYFUNCTION("""COMPUTED_VALUE"""),15028526)</f>
        <v>15028526</v>
      </c>
      <c r="L512" s="2" t="str">
        <f ca="1">IFERROR(__xludf.DUMMYFUNCTION("""COMPUTED_VALUE"""),"001920923070000")</f>
        <v>001920923070000</v>
      </c>
      <c r="M512" s="2" t="str">
        <f ca="1">IFERROR(__xludf.DUMMYFUNCTION("""COMPUTED_VALUE"""),"1920923070000")</f>
        <v>1920923070000</v>
      </c>
      <c r="N512" s="1" t="str">
        <f ca="1">IFERROR(__xludf.DUMMYFUNCTION("""COMPUTED_VALUE"""),"EEEFM RETIRO GRANDE")</f>
        <v>EEEFM RETIRO GRANDE</v>
      </c>
      <c r="O512" s="1"/>
      <c r="P512" s="1"/>
      <c r="Q512" s="1" t="s">
        <v>515</v>
      </c>
    </row>
    <row r="513" spans="1:17" x14ac:dyDescent="0.25">
      <c r="A513" s="2" t="str">
        <f ca="1">IFERROR(__xludf.DUMMYFUNCTION("""COMPUTED_VALUE"""),"REG DE INTEGRA DO MARAJO")</f>
        <v>REG DE INTEGRA DO MARAJO</v>
      </c>
      <c r="B513" s="1" t="str">
        <f ca="1">IFERROR(__xludf.DUMMYFUNCTION("""COMPUTED_VALUE"""),"DRE CACHOEIRA DO ARARI")</f>
        <v>DRE CACHOEIRA DO ARARI</v>
      </c>
      <c r="C513" s="2" t="str">
        <f ca="1">IFERROR(__xludf.DUMMYFUNCTION("""COMPUTED_VALUE"""),"DRE - CACHOEIRA DO ARARI")</f>
        <v>DRE - CACHOEIRA DO ARARI</v>
      </c>
      <c r="D513" s="1"/>
      <c r="E513" s="2" t="str">
        <f ca="1">IFERROR(__xludf.DUMMYFUNCTION("""COMPUTED_VALUE"""),"DRE - CACHOEIRA DO ARARI")</f>
        <v>DRE - CACHOEIRA DO ARARI</v>
      </c>
      <c r="F513" s="1">
        <f ca="1">IFERROR(__xludf.DUMMYFUNCTION("""COMPUTED_VALUE"""),2)</f>
        <v>2</v>
      </c>
      <c r="G513" s="1" t="str">
        <f ca="1">IFERROR(__xludf.DUMMYFUNCTION("""COMPUTED_VALUE"""),"DRE REGIAO DAS ILHAS")</f>
        <v>DRE REGIAO DAS ILHAS</v>
      </c>
      <c r="H513" s="1" t="str">
        <f ca="1">IFERROR(__xludf.DUMMYFUNCTION("""COMPUTED_VALUE"""),"20A URE - REGIAO DAS ILHAS")</f>
        <v>20A URE - REGIAO DAS ILHAS</v>
      </c>
      <c r="I513" s="1"/>
      <c r="J513" s="1" t="str">
        <f ca="1">IFERROR(__xludf.DUMMYFUNCTION("""COMPUTED_VALUE"""),"CACHOEIRA DO ARARI")</f>
        <v>CACHOEIRA DO ARARI</v>
      </c>
      <c r="K513" s="1">
        <f ca="1">IFERROR(__xludf.DUMMYFUNCTION("""COMPUTED_VALUE"""),15028577)</f>
        <v>15028577</v>
      </c>
      <c r="L513" s="2" t="str">
        <f ca="1">IFERROR(__xludf.DUMMYFUNCTION("""COMPUTED_VALUE"""),"001920923020000")</f>
        <v>001920923020000</v>
      </c>
      <c r="M513" s="2" t="str">
        <f ca="1">IFERROR(__xludf.DUMMYFUNCTION("""COMPUTED_VALUE"""),"1920923020000")</f>
        <v>1920923020000</v>
      </c>
      <c r="N513" s="1" t="str">
        <f ca="1">IFERROR(__xludf.DUMMYFUNCTION("""COMPUTED_VALUE"""),"EEEFM UMARIZAL")</f>
        <v>EEEFM UMARIZAL</v>
      </c>
      <c r="O513" s="1"/>
      <c r="P513" s="1"/>
      <c r="Q513" s="1" t="s">
        <v>515</v>
      </c>
    </row>
    <row r="514" spans="1:17" x14ac:dyDescent="0.25">
      <c r="A514" s="2" t="str">
        <f ca="1">IFERROR(__xludf.DUMMYFUNCTION("""COMPUTED_VALUE"""),"REG DE INTEGRA DO MARAJO")</f>
        <v>REG DE INTEGRA DO MARAJO</v>
      </c>
      <c r="B514" s="1" t="str">
        <f ca="1">IFERROR(__xludf.DUMMYFUNCTION("""COMPUTED_VALUE"""),"DRE CACHOEIRA DO ARARI")</f>
        <v>DRE CACHOEIRA DO ARARI</v>
      </c>
      <c r="C514" s="2" t="str">
        <f ca="1">IFERROR(__xludf.DUMMYFUNCTION("""COMPUTED_VALUE"""),"DRE - CACHOEIRA DO ARARI")</f>
        <v>DRE - CACHOEIRA DO ARARI</v>
      </c>
      <c r="D514" s="1"/>
      <c r="E514" s="2" t="str">
        <f ca="1">IFERROR(__xludf.DUMMYFUNCTION("""COMPUTED_VALUE"""),"DRE - CACHOEIRA DO ARARI")</f>
        <v>DRE - CACHOEIRA DO ARARI</v>
      </c>
      <c r="F514" s="1"/>
      <c r="G514" s="1"/>
      <c r="H514" s="1" t="str">
        <f ca="1">IFERROR(__xludf.DUMMYFUNCTION("""COMPUTED_VALUE"""),"20A URE - REGIAO DAS ILHAS")</f>
        <v>20A URE - REGIAO DAS ILHAS</v>
      </c>
      <c r="I514" s="1"/>
      <c r="J514" s="1" t="str">
        <f ca="1">IFERROR(__xludf.DUMMYFUNCTION("""COMPUTED_VALUE"""),"CACHOEIRA DO ARARI")</f>
        <v>CACHOEIRA DO ARARI</v>
      </c>
      <c r="K514" s="1"/>
      <c r="L514" s="2" t="str">
        <f ca="1">IFERROR(__xludf.DUMMYFUNCTION("""COMPUTED_VALUE"""),"001921047000000")</f>
        <v>001921047000000</v>
      </c>
      <c r="M514" s="2" t="str">
        <f ca="1">IFERROR(__xludf.DUMMYFUNCTION("""COMPUTED_VALUE"""),"1921047000000")</f>
        <v>1921047000000</v>
      </c>
      <c r="N514" s="1" t="str">
        <f ca="1">IFERROR(__xludf.DUMMYFUNCTION("""COMPUTED_VALUE"""),"ESCOLA ESTADUAL RURAL DE CACHOEIRA DO ARARI")</f>
        <v>ESCOLA ESTADUAL RURAL DE CACHOEIRA DO ARARI</v>
      </c>
      <c r="O514" s="1"/>
      <c r="P514" s="1"/>
      <c r="Q514" s="1" t="s">
        <v>515</v>
      </c>
    </row>
    <row r="515" spans="1:17" x14ac:dyDescent="0.25">
      <c r="A515" s="2" t="str">
        <f ca="1">IFERROR(__xludf.DUMMYFUNCTION("""COMPUTED_VALUE"""),"REG DE INTEGRA DO MARAJO")</f>
        <v>REG DE INTEGRA DO MARAJO</v>
      </c>
      <c r="B515" s="1" t="str">
        <f ca="1">IFERROR(__xludf.DUMMYFUNCTION("""COMPUTED_VALUE"""),"DRE CACHOEIRA DO ARARI")</f>
        <v>DRE CACHOEIRA DO ARARI</v>
      </c>
      <c r="C515" s="2" t="str">
        <f ca="1">IFERROR(__xludf.DUMMYFUNCTION("""COMPUTED_VALUE"""),"DRE - CACHOEIRA DO ARARI")</f>
        <v>DRE - CACHOEIRA DO ARARI</v>
      </c>
      <c r="D515" s="1"/>
      <c r="E515" s="2" t="str">
        <f ca="1">IFERROR(__xludf.DUMMYFUNCTION("""COMPUTED_VALUE"""),"DRE - CACHOEIRA DO ARARI")</f>
        <v>DRE - CACHOEIRA DO ARARI</v>
      </c>
      <c r="F515" s="1">
        <f ca="1">IFERROR(__xludf.DUMMYFUNCTION("""COMPUTED_VALUE"""),2)</f>
        <v>2</v>
      </c>
      <c r="G515" s="1" t="str">
        <f ca="1">IFERROR(__xludf.DUMMYFUNCTION("""COMPUTED_VALUE"""),"DRE REGIAO DAS ILHAS")</f>
        <v>DRE REGIAO DAS ILHAS</v>
      </c>
      <c r="H515" s="1" t="str">
        <f ca="1">IFERROR(__xludf.DUMMYFUNCTION("""COMPUTED_VALUE"""),"20A URE - REGIAO DAS ILHAS")</f>
        <v>20A URE - REGIAO DAS ILHAS</v>
      </c>
      <c r="I515" s="1"/>
      <c r="J515" s="1" t="str">
        <f ca="1">IFERROR(__xludf.DUMMYFUNCTION("""COMPUTED_VALUE"""),"SALVATERRA")</f>
        <v>SALVATERRA</v>
      </c>
      <c r="K515" s="1">
        <f ca="1">IFERROR(__xludf.DUMMYFUNCTION("""COMPUTED_VALUE"""),15032744)</f>
        <v>15032744</v>
      </c>
      <c r="L515" s="2" t="str">
        <f ca="1">IFERROR(__xludf.DUMMYFUNCTION("""COMPUTED_VALUE"""),"001920923150000")</f>
        <v>001920923150000</v>
      </c>
      <c r="M515" s="2" t="str">
        <f ca="1">IFERROR(__xludf.DUMMYFUNCTION("""COMPUTED_VALUE"""),"1920923150000")</f>
        <v>1920923150000</v>
      </c>
      <c r="N515" s="1" t="str">
        <f ca="1">IFERROR(__xludf.DUMMYFUNCTION("""COMPUTED_VALUE"""),"EEEM PROF ADEMAR NUNES VASCONCELOS SEDE")</f>
        <v>EEEM PROF ADEMAR NUNES VASCONCELOS SEDE</v>
      </c>
      <c r="O515" s="1"/>
      <c r="P515" s="1"/>
      <c r="Q515" s="1" t="s">
        <v>515</v>
      </c>
    </row>
    <row r="516" spans="1:17" x14ac:dyDescent="0.25">
      <c r="A516" s="2" t="str">
        <f ca="1">IFERROR(__xludf.DUMMYFUNCTION("""COMPUTED_VALUE"""),"REG DE INTEGRA DO MARAJO")</f>
        <v>REG DE INTEGRA DO MARAJO</v>
      </c>
      <c r="B516" s="1" t="str">
        <f ca="1">IFERROR(__xludf.DUMMYFUNCTION("""COMPUTED_VALUE"""),"DRE CACHOEIRA DO ARARI")</f>
        <v>DRE CACHOEIRA DO ARARI</v>
      </c>
      <c r="C516" s="2" t="str">
        <f ca="1">IFERROR(__xludf.DUMMYFUNCTION("""COMPUTED_VALUE"""),"DRE - CACHOEIRA DO ARARI")</f>
        <v>DRE - CACHOEIRA DO ARARI</v>
      </c>
      <c r="D516" s="1"/>
      <c r="E516" s="2" t="str">
        <f ca="1">IFERROR(__xludf.DUMMYFUNCTION("""COMPUTED_VALUE"""),"DRE - CACHOEIRA DO ARARI")</f>
        <v>DRE - CACHOEIRA DO ARARI</v>
      </c>
      <c r="F516" s="1">
        <f ca="1">IFERROR(__xludf.DUMMYFUNCTION("""COMPUTED_VALUE"""),2)</f>
        <v>2</v>
      </c>
      <c r="G516" s="1" t="str">
        <f ca="1">IFERROR(__xludf.DUMMYFUNCTION("""COMPUTED_VALUE"""),"DRE REGIAO DAS ILHAS")</f>
        <v>DRE REGIAO DAS ILHAS</v>
      </c>
      <c r="H516" s="1" t="str">
        <f ca="1">IFERROR(__xludf.DUMMYFUNCTION("""COMPUTED_VALUE"""),"20A URE - REGIAO DAS ILHAS")</f>
        <v>20A URE - REGIAO DAS ILHAS</v>
      </c>
      <c r="I516" s="1"/>
      <c r="J516" s="1" t="str">
        <f ca="1">IFERROR(__xludf.DUMMYFUNCTION("""COMPUTED_VALUE"""),"SALVATERRA")</f>
        <v>SALVATERRA</v>
      </c>
      <c r="K516" s="1">
        <f ca="1">IFERROR(__xludf.DUMMYFUNCTION("""COMPUTED_VALUE"""),15583910)</f>
        <v>15583910</v>
      </c>
      <c r="L516" s="2" t="str">
        <f ca="1">IFERROR(__xludf.DUMMYFUNCTION("""COMPUTED_VALUE"""),"001920936770000")</f>
        <v>001920936770000</v>
      </c>
      <c r="M516" s="2" t="str">
        <f ca="1">IFERROR(__xludf.DUMMYFUNCTION("""COMPUTED_VALUE"""),"1920936770000")</f>
        <v>1920936770000</v>
      </c>
      <c r="N516" s="1" t="str">
        <f ca="1">IFERROR(__xludf.DUMMYFUNCTION("""COMPUTED_VALUE"""),"EEEM SALOMAO MATOS")</f>
        <v>EEEM SALOMAO MATOS</v>
      </c>
      <c r="O516" s="1"/>
      <c r="P516" s="1"/>
      <c r="Q516" s="1" t="s">
        <v>515</v>
      </c>
    </row>
    <row r="517" spans="1:17" x14ac:dyDescent="0.25">
      <c r="A517" s="2" t="str">
        <f ca="1">IFERROR(__xludf.DUMMYFUNCTION("""COMPUTED_VALUE"""),"REG DE INTEGRA DO MARAJO")</f>
        <v>REG DE INTEGRA DO MARAJO</v>
      </c>
      <c r="B517" s="1" t="str">
        <f ca="1">IFERROR(__xludf.DUMMYFUNCTION("""COMPUTED_VALUE"""),"DRE CACHOEIRA DO ARARI")</f>
        <v>DRE CACHOEIRA DO ARARI</v>
      </c>
      <c r="C517" s="2" t="str">
        <f ca="1">IFERROR(__xludf.DUMMYFUNCTION("""COMPUTED_VALUE"""),"DRE - CACHOEIRA DO ARARI")</f>
        <v>DRE - CACHOEIRA DO ARARI</v>
      </c>
      <c r="D517" s="1"/>
      <c r="E517" s="2" t="str">
        <f ca="1">IFERROR(__xludf.DUMMYFUNCTION("""COMPUTED_VALUE"""),"DRE - CACHOEIRA DO ARARI")</f>
        <v>DRE - CACHOEIRA DO ARARI</v>
      </c>
      <c r="F517" s="1">
        <f ca="1">IFERROR(__xludf.DUMMYFUNCTION("""COMPUTED_VALUE"""),2)</f>
        <v>2</v>
      </c>
      <c r="G517" s="1" t="str">
        <f ca="1">IFERROR(__xludf.DUMMYFUNCTION("""COMPUTED_VALUE"""),"DRE REGIAO DAS ILHAS")</f>
        <v>DRE REGIAO DAS ILHAS</v>
      </c>
      <c r="H517" s="1" t="str">
        <f ca="1">IFERROR(__xludf.DUMMYFUNCTION("""COMPUTED_VALUE"""),"20A URE - REGIAO DAS ILHAS")</f>
        <v>20A URE - REGIAO DAS ILHAS</v>
      </c>
      <c r="I517" s="1"/>
      <c r="J517" s="1" t="str">
        <f ca="1">IFERROR(__xludf.DUMMYFUNCTION("""COMPUTED_VALUE"""),"SALVATERRA")</f>
        <v>SALVATERRA</v>
      </c>
      <c r="K517" s="1"/>
      <c r="L517" s="2" t="str">
        <f ca="1">IFERROR(__xludf.DUMMYFUNCTION("""COMPUTED_VALUE"""),"001920923150001")</f>
        <v>001920923150001</v>
      </c>
      <c r="M517" s="2" t="str">
        <f ca="1">IFERROR(__xludf.DUMMYFUNCTION("""COMPUTED_VALUE"""),"1920923150001")</f>
        <v>1920923150001</v>
      </c>
      <c r="N517" s="1" t="str">
        <f ca="1">IFERROR(__xludf.DUMMYFUNCTION("""COMPUTED_VALUE"""),"ANEXO RURAL ADEMAR NUNES VASCONCELOS")</f>
        <v>ANEXO RURAL ADEMAR NUNES VASCONCELOS</v>
      </c>
      <c r="O517" s="1"/>
      <c r="P517" s="1"/>
      <c r="Q517" s="1" t="s">
        <v>515</v>
      </c>
    </row>
    <row r="518" spans="1:17" x14ac:dyDescent="0.25">
      <c r="A518" s="2" t="str">
        <f ca="1">IFERROR(__xludf.DUMMYFUNCTION("""COMPUTED_VALUE"""),"REG DE INTEGRA DO MARAJO")</f>
        <v>REG DE INTEGRA DO MARAJO</v>
      </c>
      <c r="B518" s="1" t="str">
        <f ca="1">IFERROR(__xludf.DUMMYFUNCTION("""COMPUTED_VALUE"""),"DRE CACHOEIRA DO ARARI")</f>
        <v>DRE CACHOEIRA DO ARARI</v>
      </c>
      <c r="C518" s="2" t="str">
        <f ca="1">IFERROR(__xludf.DUMMYFUNCTION("""COMPUTED_VALUE"""),"DRE - CACHOEIRA DO ARARI")</f>
        <v>DRE - CACHOEIRA DO ARARI</v>
      </c>
      <c r="D518" s="1"/>
      <c r="E518" s="2" t="str">
        <f ca="1">IFERROR(__xludf.DUMMYFUNCTION("""COMPUTED_VALUE"""),"DRE - CACHOEIRA DO ARARI")</f>
        <v>DRE - CACHOEIRA DO ARARI</v>
      </c>
      <c r="F518" s="1">
        <f ca="1">IFERROR(__xludf.DUMMYFUNCTION("""COMPUTED_VALUE"""),2)</f>
        <v>2</v>
      </c>
      <c r="G518" s="1" t="str">
        <f ca="1">IFERROR(__xludf.DUMMYFUNCTION("""COMPUTED_VALUE"""),"DRE REGIAO DAS ILHAS")</f>
        <v>DRE REGIAO DAS ILHAS</v>
      </c>
      <c r="H518" s="1" t="str">
        <f ca="1">IFERROR(__xludf.DUMMYFUNCTION("""COMPUTED_VALUE"""),"20A URE - REGIAO DAS ILHAS")</f>
        <v>20A URE - REGIAO DAS ILHAS</v>
      </c>
      <c r="I518" s="1"/>
      <c r="J518" s="1" t="str">
        <f ca="1">IFERROR(__xludf.DUMMYFUNCTION("""COMPUTED_VALUE"""),"SALVATERRA")</f>
        <v>SALVATERRA</v>
      </c>
      <c r="K518" s="1">
        <f ca="1">IFERROR(__xludf.DUMMYFUNCTION("""COMPUTED_VALUE"""),15585972)</f>
        <v>15585972</v>
      </c>
      <c r="L518" s="2" t="str">
        <f ca="1">IFERROR(__xludf.DUMMYFUNCTION("""COMPUTED_VALUE"""),"001920937390000")</f>
        <v>001920937390000</v>
      </c>
      <c r="M518" s="2" t="str">
        <f ca="1">IFERROR(__xludf.DUMMYFUNCTION("""COMPUTED_VALUE"""),"1920937390000")</f>
        <v>1920937390000</v>
      </c>
      <c r="N518" s="1" t="str">
        <f ca="1">IFERROR(__xludf.DUMMYFUNCTION("""COMPUTED_VALUE"""),"EETEPA SALVATERRA")</f>
        <v>EETEPA SALVATERRA</v>
      </c>
      <c r="O518" s="1"/>
      <c r="P518" s="1"/>
      <c r="Q518" s="1" t="s">
        <v>515</v>
      </c>
    </row>
    <row r="519" spans="1:17" x14ac:dyDescent="0.25">
      <c r="A519" s="2" t="str">
        <f ca="1">IFERROR(__xludf.DUMMYFUNCTION("""COMPUTED_VALUE"""),"REG DE INTEGRA DO MARAJO")</f>
        <v>REG DE INTEGRA DO MARAJO</v>
      </c>
      <c r="B519" s="1" t="str">
        <f ca="1">IFERROR(__xludf.DUMMYFUNCTION("""COMPUTED_VALUE"""),"DRE CACHOEIRA DO ARARI")</f>
        <v>DRE CACHOEIRA DO ARARI</v>
      </c>
      <c r="C519" s="2" t="str">
        <f ca="1">IFERROR(__xludf.DUMMYFUNCTION("""COMPUTED_VALUE"""),"DRE - CACHOEIRA DO ARARI")</f>
        <v>DRE - CACHOEIRA DO ARARI</v>
      </c>
      <c r="D519" s="1"/>
      <c r="E519" s="2" t="str">
        <f ca="1">IFERROR(__xludf.DUMMYFUNCTION("""COMPUTED_VALUE"""),"DRE - CACHOEIRA DO ARARI")</f>
        <v>DRE - CACHOEIRA DO ARARI</v>
      </c>
      <c r="F519" s="1">
        <f ca="1">IFERROR(__xludf.DUMMYFUNCTION("""COMPUTED_VALUE"""),2)</f>
        <v>2</v>
      </c>
      <c r="G519" s="1" t="str">
        <f ca="1">IFERROR(__xludf.DUMMYFUNCTION("""COMPUTED_VALUE"""),"DRE REGIAO DAS ILHAS")</f>
        <v>DRE REGIAO DAS ILHAS</v>
      </c>
      <c r="H519" s="1" t="str">
        <f ca="1">IFERROR(__xludf.DUMMYFUNCTION("""COMPUTED_VALUE"""),"20A URE - REGIAO DAS ILHAS")</f>
        <v>20A URE - REGIAO DAS ILHAS</v>
      </c>
      <c r="I519" s="1"/>
      <c r="J519" s="1" t="str">
        <f ca="1">IFERROR(__xludf.DUMMYFUNCTION("""COMPUTED_VALUE"""),"SANTA CRUZ DO ARARI")</f>
        <v>SANTA CRUZ DO ARARI</v>
      </c>
      <c r="K519" s="1">
        <f ca="1">IFERROR(__xludf.DUMMYFUNCTION("""COMPUTED_VALUE"""),15033392)</f>
        <v>15033392</v>
      </c>
      <c r="L519" s="2" t="str">
        <f ca="1">IFERROR(__xludf.DUMMYFUNCTION("""COMPUTED_VALUE"""),"001920923120000")</f>
        <v>001920923120000</v>
      </c>
      <c r="M519" s="2" t="str">
        <f ca="1">IFERROR(__xludf.DUMMYFUNCTION("""COMPUTED_VALUE"""),"1920923120000")</f>
        <v>1920923120000</v>
      </c>
      <c r="N519" s="1" t="str">
        <f ca="1">IFERROR(__xludf.DUMMYFUNCTION("""COMPUTED_VALUE"""),"EEEF JOAO FARIAS BARROS")</f>
        <v>EEEF JOAO FARIAS BARROS</v>
      </c>
      <c r="O519" s="1"/>
      <c r="P519" s="1"/>
      <c r="Q519" s="1" t="s">
        <v>515</v>
      </c>
    </row>
    <row r="520" spans="1:17" x14ac:dyDescent="0.25">
      <c r="A520" s="2" t="str">
        <f ca="1">IFERROR(__xludf.DUMMYFUNCTION("""COMPUTED_VALUE"""),"REG DE INTEGRA DO MARAJO")</f>
        <v>REG DE INTEGRA DO MARAJO</v>
      </c>
      <c r="B520" s="1" t="str">
        <f ca="1">IFERROR(__xludf.DUMMYFUNCTION("""COMPUTED_VALUE"""),"DRE CACHOEIRA DO ARARI")</f>
        <v>DRE CACHOEIRA DO ARARI</v>
      </c>
      <c r="C520" s="2" t="str">
        <f ca="1">IFERROR(__xludf.DUMMYFUNCTION("""COMPUTED_VALUE"""),"DRE - CACHOEIRA DO ARARI")</f>
        <v>DRE - CACHOEIRA DO ARARI</v>
      </c>
      <c r="D520" s="1"/>
      <c r="E520" s="2" t="str">
        <f ca="1">IFERROR(__xludf.DUMMYFUNCTION("""COMPUTED_VALUE"""),"DRE - CACHOEIRA DO ARARI")</f>
        <v>DRE - CACHOEIRA DO ARARI</v>
      </c>
      <c r="F520" s="1">
        <f ca="1">IFERROR(__xludf.DUMMYFUNCTION("""COMPUTED_VALUE"""),2)</f>
        <v>2</v>
      </c>
      <c r="G520" s="1" t="str">
        <f ca="1">IFERROR(__xludf.DUMMYFUNCTION("""COMPUTED_VALUE"""),"DRE REGIAO DAS ILHAS")</f>
        <v>DRE REGIAO DAS ILHAS</v>
      </c>
      <c r="H520" s="1" t="str">
        <f ca="1">IFERROR(__xludf.DUMMYFUNCTION("""COMPUTED_VALUE"""),"20A URE - REGIAO DAS ILHAS")</f>
        <v>20A URE - REGIAO DAS ILHAS</v>
      </c>
      <c r="I520" s="1"/>
      <c r="J520" s="1" t="str">
        <f ca="1">IFERROR(__xludf.DUMMYFUNCTION("""COMPUTED_VALUE"""),"SANTA CRUZ DO ARARI")</f>
        <v>SANTA CRUZ DO ARARI</v>
      </c>
      <c r="K520" s="1">
        <f ca="1">IFERROR(__xludf.DUMMYFUNCTION("""COMPUTED_VALUE"""),15033406)</f>
        <v>15033406</v>
      </c>
      <c r="L520" s="2" t="str">
        <f ca="1">IFERROR(__xludf.DUMMYFUNCTION("""COMPUTED_VALUE"""),"001920923110000")</f>
        <v>001920923110000</v>
      </c>
      <c r="M520" s="2" t="str">
        <f ca="1">IFERROR(__xludf.DUMMYFUNCTION("""COMPUTED_VALUE"""),"1920923110000")</f>
        <v>1920923110000</v>
      </c>
      <c r="N520" s="1" t="str">
        <f ca="1">IFERROR(__xludf.DUMMYFUNCTION("""COMPUTED_VALUE"""),"EEEFM JOAO APOLINARIO BATISTA SEDE")</f>
        <v>EEEFM JOAO APOLINARIO BATISTA SEDE</v>
      </c>
      <c r="O520" s="1"/>
      <c r="P520" s="1"/>
      <c r="Q520" s="1" t="s">
        <v>515</v>
      </c>
    </row>
    <row r="521" spans="1:17" x14ac:dyDescent="0.25">
      <c r="A521" s="2" t="str">
        <f ca="1">IFERROR(__xludf.DUMMYFUNCTION("""COMPUTED_VALUE"""),"REG DE INTEGRA DO MARAJO")</f>
        <v>REG DE INTEGRA DO MARAJO</v>
      </c>
      <c r="B521" s="1" t="str">
        <f ca="1">IFERROR(__xludf.DUMMYFUNCTION("""COMPUTED_VALUE"""),"DRE CACHOEIRA DO ARARI")</f>
        <v>DRE CACHOEIRA DO ARARI</v>
      </c>
      <c r="C521" s="2" t="str">
        <f ca="1">IFERROR(__xludf.DUMMYFUNCTION("""COMPUTED_VALUE"""),"DRE - CACHOEIRA DO ARARI")</f>
        <v>DRE - CACHOEIRA DO ARARI</v>
      </c>
      <c r="D521" s="1"/>
      <c r="E521" s="2" t="str">
        <f ca="1">IFERROR(__xludf.DUMMYFUNCTION("""COMPUTED_VALUE"""),"DRE - CACHOEIRA DO ARARI")</f>
        <v>DRE - CACHOEIRA DO ARARI</v>
      </c>
      <c r="F521" s="1">
        <f ca="1">IFERROR(__xludf.DUMMYFUNCTION("""COMPUTED_VALUE"""),2)</f>
        <v>2</v>
      </c>
      <c r="G521" s="1" t="str">
        <f ca="1">IFERROR(__xludf.DUMMYFUNCTION("""COMPUTED_VALUE"""),"DRE REGIAO DAS ILHAS")</f>
        <v>DRE REGIAO DAS ILHAS</v>
      </c>
      <c r="H521" s="1" t="str">
        <f ca="1">IFERROR(__xludf.DUMMYFUNCTION("""COMPUTED_VALUE"""),"20A URE - REGIAO DAS ILHAS")</f>
        <v>20A URE - REGIAO DAS ILHAS</v>
      </c>
      <c r="I521" s="1"/>
      <c r="J521" s="1" t="str">
        <f ca="1">IFERROR(__xludf.DUMMYFUNCTION("""COMPUTED_VALUE"""),"SOURE")</f>
        <v>SOURE</v>
      </c>
      <c r="K521" s="1">
        <f ca="1">IFERROR(__xludf.DUMMYFUNCTION("""COMPUTED_VALUE"""),15033651)</f>
        <v>15033651</v>
      </c>
      <c r="L521" s="2" t="str">
        <f ca="1">IFERROR(__xludf.DUMMYFUNCTION("""COMPUTED_VALUE"""),"001920923350000")</f>
        <v>001920923350000</v>
      </c>
      <c r="M521" s="2" t="str">
        <f ca="1">IFERROR(__xludf.DUMMYFUNCTION("""COMPUTED_VALUE"""),"1920923350000")</f>
        <v>1920923350000</v>
      </c>
      <c r="N521" s="1" t="str">
        <f ca="1">IFERROR(__xludf.DUMMYFUNCTION("""COMPUTED_VALUE"""),"EEEFM PROF. GASPARINO BATISTA DA SILVA")</f>
        <v>EEEFM PROF. GASPARINO BATISTA DA SILVA</v>
      </c>
      <c r="O521" s="1"/>
      <c r="P521" s="1"/>
      <c r="Q521" s="1" t="s">
        <v>515</v>
      </c>
    </row>
    <row r="522" spans="1:17" x14ac:dyDescent="0.25">
      <c r="A522" s="2" t="str">
        <f ca="1">IFERROR(__xludf.DUMMYFUNCTION("""COMPUTED_VALUE"""),"REG DE INTEGRA DO MARAJO")</f>
        <v>REG DE INTEGRA DO MARAJO</v>
      </c>
      <c r="B522" s="1" t="str">
        <f ca="1">IFERROR(__xludf.DUMMYFUNCTION("""COMPUTED_VALUE"""),"DRE CACHOEIRA DO ARARI")</f>
        <v>DRE CACHOEIRA DO ARARI</v>
      </c>
      <c r="C522" s="2" t="str">
        <f ca="1">IFERROR(__xludf.DUMMYFUNCTION("""COMPUTED_VALUE"""),"DRE - CACHOEIRA DO ARARI")</f>
        <v>DRE - CACHOEIRA DO ARARI</v>
      </c>
      <c r="D522" s="1"/>
      <c r="E522" s="2" t="str">
        <f ca="1">IFERROR(__xludf.DUMMYFUNCTION("""COMPUTED_VALUE"""),"DRE - CACHOEIRA DO ARARI")</f>
        <v>DRE - CACHOEIRA DO ARARI</v>
      </c>
      <c r="F522" s="1">
        <f ca="1">IFERROR(__xludf.DUMMYFUNCTION("""COMPUTED_VALUE"""),2)</f>
        <v>2</v>
      </c>
      <c r="G522" s="1" t="str">
        <f ca="1">IFERROR(__xludf.DUMMYFUNCTION("""COMPUTED_VALUE"""),"DRE REGIAO DAS ILHAS")</f>
        <v>DRE REGIAO DAS ILHAS</v>
      </c>
      <c r="H522" s="1" t="str">
        <f ca="1">IFERROR(__xludf.DUMMYFUNCTION("""COMPUTED_VALUE"""),"20A URE - REGIAO DAS ILHAS")</f>
        <v>20A URE - REGIAO DAS ILHAS</v>
      </c>
      <c r="I522" s="1"/>
      <c r="J522" s="1" t="str">
        <f ca="1">IFERROR(__xludf.DUMMYFUNCTION("""COMPUTED_VALUE"""),"SOURE")</f>
        <v>SOURE</v>
      </c>
      <c r="K522" s="1">
        <f ca="1">IFERROR(__xludf.DUMMYFUNCTION("""COMPUTED_VALUE"""),15033813)</f>
        <v>15033813</v>
      </c>
      <c r="L522" s="2" t="str">
        <f ca="1">IFERROR(__xludf.DUMMYFUNCTION("""COMPUTED_VALUE"""),"001920931560000")</f>
        <v>001920931560000</v>
      </c>
      <c r="M522" s="2" t="str">
        <f ca="1">IFERROR(__xludf.DUMMYFUNCTION("""COMPUTED_VALUE"""),"1920931560000")</f>
        <v>1920931560000</v>
      </c>
      <c r="N522" s="1" t="str">
        <f ca="1">IFERROR(__xludf.DUMMYFUNCTION("""COMPUTED_VALUE"""),"EEEFM STELLA MARIS")</f>
        <v>EEEFM STELLA MARIS</v>
      </c>
      <c r="O522" s="1"/>
      <c r="P522" s="1"/>
      <c r="Q522" s="1" t="s">
        <v>515</v>
      </c>
    </row>
    <row r="523" spans="1:17" x14ac:dyDescent="0.25">
      <c r="A523" s="2" t="str">
        <f ca="1">IFERROR(__xludf.DUMMYFUNCTION("""COMPUTED_VALUE"""),"REG DE INTEGRA DO MARAJO")</f>
        <v>REG DE INTEGRA DO MARAJO</v>
      </c>
      <c r="B523" s="1" t="str">
        <f ca="1">IFERROR(__xludf.DUMMYFUNCTION("""COMPUTED_VALUE"""),"DRE CACHOEIRA DO ARARI")</f>
        <v>DRE CACHOEIRA DO ARARI</v>
      </c>
      <c r="C523" s="2" t="str">
        <f ca="1">IFERROR(__xludf.DUMMYFUNCTION("""COMPUTED_VALUE"""),"DRE - CACHOEIRA DO ARARI")</f>
        <v>DRE - CACHOEIRA DO ARARI</v>
      </c>
      <c r="D523" s="1"/>
      <c r="E523" s="2" t="str">
        <f ca="1">IFERROR(__xludf.DUMMYFUNCTION("""COMPUTED_VALUE"""),"DRE - CACHOEIRA DO ARARI")</f>
        <v>DRE - CACHOEIRA DO ARARI</v>
      </c>
      <c r="F523" s="1">
        <f ca="1">IFERROR(__xludf.DUMMYFUNCTION("""COMPUTED_VALUE"""),2)</f>
        <v>2</v>
      </c>
      <c r="G523" s="1" t="str">
        <f ca="1">IFERROR(__xludf.DUMMYFUNCTION("""COMPUTED_VALUE"""),"DRE REGIAO DAS ILHAS")</f>
        <v>DRE REGIAO DAS ILHAS</v>
      </c>
      <c r="H523" s="1" t="str">
        <f ca="1">IFERROR(__xludf.DUMMYFUNCTION("""COMPUTED_VALUE"""),"20A URE - REGIAO DAS ILHAS")</f>
        <v>20A URE - REGIAO DAS ILHAS</v>
      </c>
      <c r="I523" s="1"/>
      <c r="J523" s="1" t="str">
        <f ca="1">IFERROR(__xludf.DUMMYFUNCTION("""COMPUTED_VALUE"""),"SOURE")</f>
        <v>SOURE</v>
      </c>
      <c r="K523" s="1">
        <f ca="1">IFERROR(__xludf.DUMMYFUNCTION("""COMPUTED_VALUE"""),15033724)</f>
        <v>15033724</v>
      </c>
      <c r="L523" s="2" t="str">
        <f ca="1">IFERROR(__xludf.DUMMYFUNCTION("""COMPUTED_VALUE"""),"001920923430000")</f>
        <v>001920923430000</v>
      </c>
      <c r="M523" s="2" t="str">
        <f ca="1">IFERROR(__xludf.DUMMYFUNCTION("""COMPUTED_VALUE"""),"1920923430000")</f>
        <v>1920923430000</v>
      </c>
      <c r="N523" s="1" t="str">
        <f ca="1">IFERROR(__xludf.DUMMYFUNCTION("""COMPUTED_VALUE"""),"EEEM PROF EDDA DE SOUSA GONCALVES")</f>
        <v>EEEM PROF EDDA DE SOUSA GONCALVES</v>
      </c>
      <c r="O523" s="1"/>
      <c r="P523" s="1"/>
      <c r="Q523" s="1" t="s">
        <v>515</v>
      </c>
    </row>
    <row r="524" spans="1:17" x14ac:dyDescent="0.25">
      <c r="A524" s="2" t="str">
        <f ca="1">IFERROR(__xludf.DUMMYFUNCTION("""COMPUTED_VALUE"""),"REG DE INTEGRA DO MARAJO")</f>
        <v>REG DE INTEGRA DO MARAJO</v>
      </c>
      <c r="B524" s="1" t="str">
        <f ca="1">IFERROR(__xludf.DUMMYFUNCTION("""COMPUTED_VALUE"""),"DRE CACHOEIRA DO ARARI")</f>
        <v>DRE CACHOEIRA DO ARARI</v>
      </c>
      <c r="C524" s="2" t="str">
        <f ca="1">IFERROR(__xludf.DUMMYFUNCTION("""COMPUTED_VALUE"""),"DRE - CACHOEIRA DO ARARI")</f>
        <v>DRE - CACHOEIRA DO ARARI</v>
      </c>
      <c r="D524" s="1"/>
      <c r="E524" s="2" t="str">
        <f ca="1">IFERROR(__xludf.DUMMYFUNCTION("""COMPUTED_VALUE"""),"DRE - CACHOEIRA DO ARARI")</f>
        <v>DRE - CACHOEIRA DO ARARI</v>
      </c>
      <c r="F524" s="1">
        <f ca="1">IFERROR(__xludf.DUMMYFUNCTION("""COMPUTED_VALUE"""),2)</f>
        <v>2</v>
      </c>
      <c r="G524" s="1" t="str">
        <f ca="1">IFERROR(__xludf.DUMMYFUNCTION("""COMPUTED_VALUE"""),"DRE REGIAO DAS ILHAS")</f>
        <v>DRE REGIAO DAS ILHAS</v>
      </c>
      <c r="H524" s="1" t="str">
        <f ca="1">IFERROR(__xludf.DUMMYFUNCTION("""COMPUTED_VALUE"""),"20A URE - REGIAO DAS ILHAS")</f>
        <v>20A URE - REGIAO DAS ILHAS</v>
      </c>
      <c r="I524" s="1"/>
      <c r="J524" s="1" t="str">
        <f ca="1">IFERROR(__xludf.DUMMYFUNCTION("""COMPUTED_VALUE"""),"SOURE")</f>
        <v>SOURE</v>
      </c>
      <c r="K524" s="1">
        <f ca="1">IFERROR(__xludf.DUMMYFUNCTION("""COMPUTED_VALUE"""),15033643)</f>
        <v>15033643</v>
      </c>
      <c r="L524" s="2" t="str">
        <f ca="1">IFERROR(__xludf.DUMMYFUNCTION("""COMPUTED_VALUE"""),"001920923360000")</f>
        <v>001920923360000</v>
      </c>
      <c r="M524" s="2" t="str">
        <f ca="1">IFERROR(__xludf.DUMMYFUNCTION("""COMPUTED_VALUE"""),"1920923360000")</f>
        <v>1920923360000</v>
      </c>
      <c r="N524" s="1" t="str">
        <f ca="1">IFERROR(__xludf.DUMMYFUNCTION("""COMPUTED_VALUE"""),"ESCOLA ESTADUAL DE ENSINO FUNDAMENTAL JOANA DE LIMA CABRAL")</f>
        <v>ESCOLA ESTADUAL DE ENSINO FUNDAMENTAL JOANA DE LIMA CABRAL</v>
      </c>
      <c r="O524" s="1"/>
      <c r="P524" s="1"/>
      <c r="Q524" s="1" t="s">
        <v>515</v>
      </c>
    </row>
    <row r="525" spans="1:17" x14ac:dyDescent="0.25">
      <c r="A525" s="2" t="str">
        <f ca="1">IFERROR(__xludf.DUMMYFUNCTION("""COMPUTED_VALUE"""),"REG DE INTEGRA DO TOCANTINS")</f>
        <v>REG DE INTEGRA DO TOCANTINS</v>
      </c>
      <c r="B525" s="1" t="str">
        <f ca="1">IFERROR(__xludf.DUMMYFUNCTION("""COMPUTED_VALUE"""),"DRE CAMETA")</f>
        <v>DRE CAMETA</v>
      </c>
      <c r="C525" s="2" t="str">
        <f ca="1">IFERROR(__xludf.DUMMYFUNCTION("""COMPUTED_VALUE"""),"DRE - CAMETA")</f>
        <v>DRE - CAMETA</v>
      </c>
      <c r="D525" s="1"/>
      <c r="E525" s="2" t="str">
        <f ca="1">IFERROR(__xludf.DUMMYFUNCTION("""COMPUTED_VALUE"""),"DRE - CAMETA")</f>
        <v>DRE - CAMETA</v>
      </c>
      <c r="F525" s="1">
        <f ca="1">IFERROR(__xludf.DUMMYFUNCTION("""COMPUTED_VALUE"""),2)</f>
        <v>2</v>
      </c>
      <c r="G525" s="1"/>
      <c r="H525" s="1" t="str">
        <f ca="1">IFERROR(__xludf.DUMMYFUNCTION("""COMPUTED_VALUE"""),"02A URE - CAMETA")</f>
        <v>02A URE - CAMETA</v>
      </c>
      <c r="I525" s="1"/>
      <c r="J525" s="1" t="str">
        <f ca="1">IFERROR(__xludf.DUMMYFUNCTION("""COMPUTED_VALUE"""),"BAIAO")</f>
        <v>BAIAO</v>
      </c>
      <c r="K525" s="1">
        <f ca="1">IFERROR(__xludf.DUMMYFUNCTION("""COMPUTED_VALUE"""),15177602)</f>
        <v>15177602</v>
      </c>
      <c r="L525" s="2" t="str">
        <f ca="1">IFERROR(__xludf.DUMMYFUNCTION("""COMPUTED_VALUE"""),"001920932950003")</f>
        <v>001920932950003</v>
      </c>
      <c r="M525" s="2" t="str">
        <f ca="1">IFERROR(__xludf.DUMMYFUNCTION("""COMPUTED_VALUE"""),"1920932950003")</f>
        <v>1920932950003</v>
      </c>
      <c r="N525" s="1" t="str">
        <f ca="1">IFERROR(__xludf.DUMMYFUNCTION("""COMPUTED_VALUE"""),"ANEXO RURAL FRANCISCA NOGUEIRA DA COSTA RAMOS")</f>
        <v>ANEXO RURAL FRANCISCA NOGUEIRA DA COSTA RAMOS</v>
      </c>
      <c r="O525" s="1"/>
      <c r="P525" s="1"/>
      <c r="Q525" s="1" t="s">
        <v>537</v>
      </c>
    </row>
    <row r="526" spans="1:17" x14ac:dyDescent="0.25">
      <c r="A526" s="2" t="str">
        <f ca="1">IFERROR(__xludf.DUMMYFUNCTION("""COMPUTED_VALUE"""),"REG DE INTEGRA DO TOCANTINS")</f>
        <v>REG DE INTEGRA DO TOCANTINS</v>
      </c>
      <c r="B526" s="1" t="str">
        <f ca="1">IFERROR(__xludf.DUMMYFUNCTION("""COMPUTED_VALUE"""),"DRE CAMETA")</f>
        <v>DRE CAMETA</v>
      </c>
      <c r="C526" s="2" t="str">
        <f ca="1">IFERROR(__xludf.DUMMYFUNCTION("""COMPUTED_VALUE"""),"DRE - CAMETA")</f>
        <v>DRE - CAMETA</v>
      </c>
      <c r="D526" s="1"/>
      <c r="E526" s="2" t="str">
        <f ca="1">IFERROR(__xludf.DUMMYFUNCTION("""COMPUTED_VALUE"""),"DRE - CAMETA")</f>
        <v>DRE - CAMETA</v>
      </c>
      <c r="F526" s="1">
        <f ca="1">IFERROR(__xludf.DUMMYFUNCTION("""COMPUTED_VALUE"""),2)</f>
        <v>2</v>
      </c>
      <c r="G526" s="1" t="str">
        <f ca="1">IFERROR(__xludf.DUMMYFUNCTION("""COMPUTED_VALUE"""),"DRE CAMETA")</f>
        <v>DRE CAMETA</v>
      </c>
      <c r="H526" s="1" t="str">
        <f ca="1">IFERROR(__xludf.DUMMYFUNCTION("""COMPUTED_VALUE"""),"02A URE - CAMETA")</f>
        <v>02A URE - CAMETA</v>
      </c>
      <c r="I526" s="1"/>
      <c r="J526" s="1" t="str">
        <f ca="1">IFERROR(__xludf.DUMMYFUNCTION("""COMPUTED_VALUE"""),"BAIAO")</f>
        <v>BAIAO</v>
      </c>
      <c r="K526" s="1">
        <f ca="1">IFERROR(__xludf.DUMMYFUNCTION("""COMPUTED_VALUE"""),15067564)</f>
        <v>15067564</v>
      </c>
      <c r="L526" s="2" t="str">
        <f ca="1">IFERROR(__xludf.DUMMYFUNCTION("""COMPUTED_VALUE"""),"001920932950000")</f>
        <v>001920932950000</v>
      </c>
      <c r="M526" s="2" t="str">
        <f ca="1">IFERROR(__xludf.DUMMYFUNCTION("""COMPUTED_VALUE"""),"1920932950000")</f>
        <v>1920932950000</v>
      </c>
      <c r="N526" s="1" t="str">
        <f ca="1">IFERROR(__xludf.DUMMYFUNCTION("""COMPUTED_VALUE"""),"EEEM FRANCISCA NOGUEIRA DA COSTA RAMOS")</f>
        <v>EEEM FRANCISCA NOGUEIRA DA COSTA RAMOS</v>
      </c>
      <c r="O526" s="1"/>
      <c r="P526" s="1"/>
      <c r="Q526" s="1" t="s">
        <v>537</v>
      </c>
    </row>
    <row r="527" spans="1:17" x14ac:dyDescent="0.25">
      <c r="A527" s="2" t="str">
        <f ca="1">IFERROR(__xludf.DUMMYFUNCTION("""COMPUTED_VALUE"""),"REG DE INTEGRA DO TOCANTINS")</f>
        <v>REG DE INTEGRA DO TOCANTINS</v>
      </c>
      <c r="B527" s="1" t="str">
        <f ca="1">IFERROR(__xludf.DUMMYFUNCTION("""COMPUTED_VALUE"""),"DRE CAMETA")</f>
        <v>DRE CAMETA</v>
      </c>
      <c r="C527" s="2" t="str">
        <f ca="1">IFERROR(__xludf.DUMMYFUNCTION("""COMPUTED_VALUE"""),"DRE - CAMETA")</f>
        <v>DRE - CAMETA</v>
      </c>
      <c r="D527" s="1"/>
      <c r="E527" s="2" t="str">
        <f ca="1">IFERROR(__xludf.DUMMYFUNCTION("""COMPUTED_VALUE"""),"DRE - CAMETA")</f>
        <v>DRE - CAMETA</v>
      </c>
      <c r="F527" s="1">
        <f ca="1">IFERROR(__xludf.DUMMYFUNCTION("""COMPUTED_VALUE"""),2)</f>
        <v>2</v>
      </c>
      <c r="G527" s="1" t="str">
        <f ca="1">IFERROR(__xludf.DUMMYFUNCTION("""COMPUTED_VALUE"""),"DRE CAMETA")</f>
        <v>DRE CAMETA</v>
      </c>
      <c r="H527" s="1" t="str">
        <f ca="1">IFERROR(__xludf.DUMMYFUNCTION("""COMPUTED_VALUE"""),"02A URE - CAMETA")</f>
        <v>02A URE - CAMETA</v>
      </c>
      <c r="I527" s="1"/>
      <c r="J527" s="1" t="str">
        <f ca="1">IFERROR(__xludf.DUMMYFUNCTION("""COMPUTED_VALUE"""),"BAIAO")</f>
        <v>BAIAO</v>
      </c>
      <c r="K527" s="1">
        <f ca="1">IFERROR(__xludf.DUMMYFUNCTION("""COMPUTED_VALUE"""),15168824)</f>
        <v>15168824</v>
      </c>
      <c r="L527" s="2" t="str">
        <f ca="1">IFERROR(__xludf.DUMMYFUNCTION("""COMPUTED_VALUE"""),"001920932950002")</f>
        <v>001920932950002</v>
      </c>
      <c r="M527" s="2" t="str">
        <f ca="1">IFERROR(__xludf.DUMMYFUNCTION("""COMPUTED_VALUE"""),"1920932950002")</f>
        <v>1920932950002</v>
      </c>
      <c r="N527" s="1" t="str">
        <f ca="1">IFERROR(__xludf.DUMMYFUNCTION("""COMPUTED_VALUE"""),"EEEM FRANCISCA NOGUEIRA DA COSTA RAMOS ANEXO III")</f>
        <v>EEEM FRANCISCA NOGUEIRA DA COSTA RAMOS ANEXO III</v>
      </c>
      <c r="O527" s="1"/>
      <c r="P527" s="1"/>
      <c r="Q527" s="1" t="s">
        <v>537</v>
      </c>
    </row>
    <row r="528" spans="1:17" x14ac:dyDescent="0.25">
      <c r="A528" s="2" t="str">
        <f ca="1">IFERROR(__xludf.DUMMYFUNCTION("""COMPUTED_VALUE"""),"REG DE INTEGRA DO TOCANTINS")</f>
        <v>REG DE INTEGRA DO TOCANTINS</v>
      </c>
      <c r="B528" s="1" t="str">
        <f ca="1">IFERROR(__xludf.DUMMYFUNCTION("""COMPUTED_VALUE"""),"DRE CAMETA")</f>
        <v>DRE CAMETA</v>
      </c>
      <c r="C528" s="2" t="str">
        <f ca="1">IFERROR(__xludf.DUMMYFUNCTION("""COMPUTED_VALUE"""),"DRE - CAMETA")</f>
        <v>DRE - CAMETA</v>
      </c>
      <c r="D528" s="1"/>
      <c r="E528" s="2" t="str">
        <f ca="1">IFERROR(__xludf.DUMMYFUNCTION("""COMPUTED_VALUE"""),"DRE - CAMETA")</f>
        <v>DRE - CAMETA</v>
      </c>
      <c r="F528" s="1"/>
      <c r="G528" s="1"/>
      <c r="H528" s="1" t="str">
        <f ca="1">IFERROR(__xludf.DUMMYFUNCTION("""COMPUTED_VALUE"""),"02A URE - CAMETA")</f>
        <v>02A URE - CAMETA</v>
      </c>
      <c r="I528" s="1"/>
      <c r="J528" s="1" t="str">
        <f ca="1">IFERROR(__xludf.DUMMYFUNCTION("""COMPUTED_VALUE"""),"BAIAO")</f>
        <v>BAIAO</v>
      </c>
      <c r="K528" s="1"/>
      <c r="L528" s="2" t="str">
        <f ca="1">IFERROR(__xludf.DUMMYFUNCTION("""COMPUTED_VALUE"""),"001920965000000")</f>
        <v>001920965000000</v>
      </c>
      <c r="M528" s="2" t="str">
        <f ca="1">IFERROR(__xludf.DUMMYFUNCTION("""COMPUTED_VALUE"""),"1920965000000")</f>
        <v>1920965000000</v>
      </c>
      <c r="N528" s="1" t="str">
        <f ca="1">IFERROR(__xludf.DUMMYFUNCTION("""COMPUTED_VALUE"""),"ESCOLA ESTADUAL RURAL DE BAIAO")</f>
        <v>ESCOLA ESTADUAL RURAL DE BAIAO</v>
      </c>
      <c r="O528" s="1"/>
      <c r="P528" s="1"/>
      <c r="Q528" s="1" t="s">
        <v>537</v>
      </c>
    </row>
    <row r="529" spans="1:17" x14ac:dyDescent="0.25">
      <c r="A529" s="2" t="str">
        <f ca="1">IFERROR(__xludf.DUMMYFUNCTION("""COMPUTED_VALUE"""),"REG DE INTEGRA DO TOCANTINS")</f>
        <v>REG DE INTEGRA DO TOCANTINS</v>
      </c>
      <c r="B529" s="1" t="str">
        <f ca="1">IFERROR(__xludf.DUMMYFUNCTION("""COMPUTED_VALUE"""),"DRE CAMETA")</f>
        <v>DRE CAMETA</v>
      </c>
      <c r="C529" s="2" t="str">
        <f ca="1">IFERROR(__xludf.DUMMYFUNCTION("""COMPUTED_VALUE"""),"DRE - CAMETA")</f>
        <v>DRE - CAMETA</v>
      </c>
      <c r="D529" s="1"/>
      <c r="E529" s="2" t="str">
        <f ca="1">IFERROR(__xludf.DUMMYFUNCTION("""COMPUTED_VALUE"""),"DRE - CAMETA")</f>
        <v>DRE - CAMETA</v>
      </c>
      <c r="F529" s="1">
        <f ca="1">IFERROR(__xludf.DUMMYFUNCTION("""COMPUTED_VALUE"""),2)</f>
        <v>2</v>
      </c>
      <c r="G529" s="1" t="str">
        <f ca="1">IFERROR(__xludf.DUMMYFUNCTION("""COMPUTED_VALUE"""),"DRE CAMETA")</f>
        <v>DRE CAMETA</v>
      </c>
      <c r="H529" s="1" t="str">
        <f ca="1">IFERROR(__xludf.DUMMYFUNCTION("""COMPUTED_VALUE"""),"02A URE - CAMETA")</f>
        <v>02A URE - CAMETA</v>
      </c>
      <c r="I529" s="1"/>
      <c r="J529" s="1" t="str">
        <f ca="1">IFERROR(__xludf.DUMMYFUNCTION("""COMPUTED_VALUE"""),"CAMETA")</f>
        <v>CAMETA</v>
      </c>
      <c r="K529" s="1"/>
      <c r="L529" s="2" t="str">
        <f ca="1">IFERROR(__xludf.DUMMYFUNCTION("""COMPUTED_VALUE"""),"001920900020000")</f>
        <v>001920900020000</v>
      </c>
      <c r="M529" s="2" t="str">
        <f ca="1">IFERROR(__xludf.DUMMYFUNCTION("""COMPUTED_VALUE"""),"1920900020000")</f>
        <v>1920900020000</v>
      </c>
      <c r="N529" s="1" t="str">
        <f ca="1">IFERROR(__xludf.DUMMYFUNCTION("""COMPUTED_VALUE"""),"2 URE")</f>
        <v>2 URE</v>
      </c>
      <c r="O529" s="1"/>
      <c r="P529" s="1"/>
      <c r="Q529" s="1" t="s">
        <v>537</v>
      </c>
    </row>
    <row r="530" spans="1:17" x14ac:dyDescent="0.25">
      <c r="A530" s="2" t="str">
        <f ca="1">IFERROR(__xludf.DUMMYFUNCTION("""COMPUTED_VALUE"""),"REG DE INTEGRA DO TOCANTINS")</f>
        <v>REG DE INTEGRA DO TOCANTINS</v>
      </c>
      <c r="B530" s="1" t="str">
        <f ca="1">IFERROR(__xludf.DUMMYFUNCTION("""COMPUTED_VALUE"""),"DRE CAMETA")</f>
        <v>DRE CAMETA</v>
      </c>
      <c r="C530" s="2" t="str">
        <f ca="1">IFERROR(__xludf.DUMMYFUNCTION("""COMPUTED_VALUE"""),"DRE - CAMETA")</f>
        <v>DRE - CAMETA</v>
      </c>
      <c r="D530" s="1"/>
      <c r="E530" s="2" t="str">
        <f ca="1">IFERROR(__xludf.DUMMYFUNCTION("""COMPUTED_VALUE"""),"DRE - CAMETA")</f>
        <v>DRE - CAMETA</v>
      </c>
      <c r="F530" s="1">
        <f ca="1">IFERROR(__xludf.DUMMYFUNCTION("""COMPUTED_VALUE"""),2)</f>
        <v>2</v>
      </c>
      <c r="G530" s="1"/>
      <c r="H530" s="1" t="str">
        <f ca="1">IFERROR(__xludf.DUMMYFUNCTION("""COMPUTED_VALUE"""),"02A URE - CAMETA")</f>
        <v>02A URE - CAMETA</v>
      </c>
      <c r="I530" s="1"/>
      <c r="J530" s="1" t="str">
        <f ca="1">IFERROR(__xludf.DUMMYFUNCTION("""COMPUTED_VALUE"""),"CAMETA")</f>
        <v>CAMETA</v>
      </c>
      <c r="K530" s="1">
        <f ca="1">IFERROR(__xludf.DUMMYFUNCTION("""COMPUTED_VALUE"""),15177670)</f>
        <v>15177670</v>
      </c>
      <c r="L530" s="2" t="str">
        <f ca="1">IFERROR(__xludf.DUMMYFUNCTION("""COMPUTED_VALUE"""),"001920938400001")</f>
        <v>001920938400001</v>
      </c>
      <c r="M530" s="2" t="str">
        <f ca="1">IFERROR(__xludf.DUMMYFUNCTION("""COMPUTED_VALUE"""),"1920938400001")</f>
        <v>1920938400001</v>
      </c>
      <c r="N530" s="1" t="str">
        <f ca="1">IFERROR(__xludf.DUMMYFUNCTION("""COMPUTED_VALUE"""),"ANEXO RURAL HERIBERTO BARROSO ARAGAO")</f>
        <v>ANEXO RURAL HERIBERTO BARROSO ARAGAO</v>
      </c>
      <c r="O530" s="1"/>
      <c r="P530" s="1"/>
      <c r="Q530" s="1" t="s">
        <v>537</v>
      </c>
    </row>
    <row r="531" spans="1:17" x14ac:dyDescent="0.25">
      <c r="A531" s="2" t="str">
        <f ca="1">IFERROR(__xludf.DUMMYFUNCTION("""COMPUTED_VALUE"""),"REG DE INTEGRA DO TOCANTINS")</f>
        <v>REG DE INTEGRA DO TOCANTINS</v>
      </c>
      <c r="B531" s="1" t="str">
        <f ca="1">IFERROR(__xludf.DUMMYFUNCTION("""COMPUTED_VALUE"""),"DRE CAMETA")</f>
        <v>DRE CAMETA</v>
      </c>
      <c r="C531" s="2" t="str">
        <f ca="1">IFERROR(__xludf.DUMMYFUNCTION("""COMPUTED_VALUE"""),"DRE - CAMETA")</f>
        <v>DRE - CAMETA</v>
      </c>
      <c r="D531" s="1"/>
      <c r="E531" s="2" t="str">
        <f ca="1">IFERROR(__xludf.DUMMYFUNCTION("""COMPUTED_VALUE"""),"DRE - CAMETA")</f>
        <v>DRE - CAMETA</v>
      </c>
      <c r="F531" s="1">
        <f ca="1">IFERROR(__xludf.DUMMYFUNCTION("""COMPUTED_VALUE"""),2)</f>
        <v>2</v>
      </c>
      <c r="G531" s="1" t="str">
        <f ca="1">IFERROR(__xludf.DUMMYFUNCTION("""COMPUTED_VALUE"""),"DRE CAMETA")</f>
        <v>DRE CAMETA</v>
      </c>
      <c r="H531" s="1" t="str">
        <f ca="1">IFERROR(__xludf.DUMMYFUNCTION("""COMPUTED_VALUE"""),"02A URE - CAMETA")</f>
        <v>02A URE - CAMETA</v>
      </c>
      <c r="I531" s="1"/>
      <c r="J531" s="1" t="str">
        <f ca="1">IFERROR(__xludf.DUMMYFUNCTION("""COMPUTED_VALUE"""),"CAMETA")</f>
        <v>CAMETA</v>
      </c>
      <c r="K531" s="1">
        <f ca="1">IFERROR(__xludf.DUMMYFUNCTION("""COMPUTED_VALUE"""),15587878)</f>
        <v>15587878</v>
      </c>
      <c r="L531" s="2" t="str">
        <f ca="1">IFERROR(__xludf.DUMMYFUNCTION("""COMPUTED_VALUE"""),"001920936550000")</f>
        <v>001920936550000</v>
      </c>
      <c r="M531" s="2" t="str">
        <f ca="1">IFERROR(__xludf.DUMMYFUNCTION("""COMPUTED_VALUE"""),"1920936550000")</f>
        <v>1920936550000</v>
      </c>
      <c r="N531" s="1" t="str">
        <f ca="1">IFERROR(__xludf.DUMMYFUNCTION("""COMPUTED_VALUE"""),"CENTRO INTEGRADO DE EDUC DO BAIXO TOCANTINS")</f>
        <v>CENTRO INTEGRADO DE EDUC DO BAIXO TOCANTINS</v>
      </c>
      <c r="O531" s="1"/>
      <c r="P531" s="1"/>
      <c r="Q531" s="1" t="s">
        <v>537</v>
      </c>
    </row>
    <row r="532" spans="1:17" x14ac:dyDescent="0.25">
      <c r="A532" s="2" t="str">
        <f ca="1">IFERROR(__xludf.DUMMYFUNCTION("""COMPUTED_VALUE"""),"REG DE INTEGRA DO TOCANTINS")</f>
        <v>REG DE INTEGRA DO TOCANTINS</v>
      </c>
      <c r="B532" s="1" t="str">
        <f ca="1">IFERROR(__xludf.DUMMYFUNCTION("""COMPUTED_VALUE"""),"DRE CAMETA")</f>
        <v>DRE CAMETA</v>
      </c>
      <c r="C532" s="2" t="str">
        <f ca="1">IFERROR(__xludf.DUMMYFUNCTION("""COMPUTED_VALUE"""),"DRE - CAMETA")</f>
        <v>DRE - CAMETA</v>
      </c>
      <c r="D532" s="1"/>
      <c r="E532" s="2" t="str">
        <f ca="1">IFERROR(__xludf.DUMMYFUNCTION("""COMPUTED_VALUE"""),"DRE - CAMETA")</f>
        <v>DRE - CAMETA</v>
      </c>
      <c r="F532" s="1">
        <f ca="1">IFERROR(__xludf.DUMMYFUNCTION("""COMPUTED_VALUE"""),2)</f>
        <v>2</v>
      </c>
      <c r="G532" s="1" t="str">
        <f ca="1">IFERROR(__xludf.DUMMYFUNCTION("""COMPUTED_VALUE"""),"DRE CAMETA")</f>
        <v>DRE CAMETA</v>
      </c>
      <c r="H532" s="1" t="str">
        <f ca="1">IFERROR(__xludf.DUMMYFUNCTION("""COMPUTED_VALUE"""),"02A URE - CAMETA")</f>
        <v>02A URE - CAMETA</v>
      </c>
      <c r="I532" s="1"/>
      <c r="J532" s="1" t="str">
        <f ca="1">IFERROR(__xludf.DUMMYFUNCTION("""COMPUTED_VALUE"""),"CAMETA")</f>
        <v>CAMETA</v>
      </c>
      <c r="K532" s="1">
        <f ca="1">IFERROR(__xludf.DUMMYFUNCTION("""COMPUTED_VALUE"""),15068234)</f>
        <v>15068234</v>
      </c>
      <c r="L532" s="2" t="str">
        <f ca="1">IFERROR(__xludf.DUMMYFUNCTION("""COMPUTED_VALUE"""),"001920907770000")</f>
        <v>001920907770000</v>
      </c>
      <c r="M532" s="2" t="str">
        <f ca="1">IFERROR(__xludf.DUMMYFUNCTION("""COMPUTED_VALUE"""),"1920907770000")</f>
        <v>1920907770000</v>
      </c>
      <c r="N532" s="1" t="str">
        <f ca="1">IFERROR(__xludf.DUMMYFUNCTION("""COMPUTED_VALUE"""),"CENTRO INTEGRADO DE FORMACAO PROFISSIONAL DE CAMETA")</f>
        <v>CENTRO INTEGRADO DE FORMACAO PROFISSIONAL DE CAMETA</v>
      </c>
      <c r="O532" s="1"/>
      <c r="P532" s="1"/>
      <c r="Q532" s="1" t="s">
        <v>537</v>
      </c>
    </row>
    <row r="533" spans="1:17" x14ac:dyDescent="0.25">
      <c r="A533" s="2" t="str">
        <f ca="1">IFERROR(__xludf.DUMMYFUNCTION("""COMPUTED_VALUE"""),"REG DE INTEGRA DO TOCANTINS")</f>
        <v>REG DE INTEGRA DO TOCANTINS</v>
      </c>
      <c r="B533" s="1" t="str">
        <f ca="1">IFERROR(__xludf.DUMMYFUNCTION("""COMPUTED_VALUE"""),"DRE CAMETA")</f>
        <v>DRE CAMETA</v>
      </c>
      <c r="C533" s="2" t="str">
        <f ca="1">IFERROR(__xludf.DUMMYFUNCTION("""COMPUTED_VALUE"""),"DRE - CAMETA")</f>
        <v>DRE - CAMETA</v>
      </c>
      <c r="D533" s="1"/>
      <c r="E533" s="2" t="str">
        <f ca="1">IFERROR(__xludf.DUMMYFUNCTION("""COMPUTED_VALUE"""),"DRE - CAMETA")</f>
        <v>DRE - CAMETA</v>
      </c>
      <c r="F533" s="1">
        <f ca="1">IFERROR(__xludf.DUMMYFUNCTION("""COMPUTED_VALUE"""),2)</f>
        <v>2</v>
      </c>
      <c r="G533" s="1" t="str">
        <f ca="1">IFERROR(__xludf.DUMMYFUNCTION("""COMPUTED_VALUE"""),"DRE CAMETA")</f>
        <v>DRE CAMETA</v>
      </c>
      <c r="H533" s="1" t="str">
        <f ca="1">IFERROR(__xludf.DUMMYFUNCTION("""COMPUTED_VALUE"""),"02A URE - CAMETA")</f>
        <v>02A URE - CAMETA</v>
      </c>
      <c r="I533" s="1"/>
      <c r="J533" s="1" t="str">
        <f ca="1">IFERROR(__xludf.DUMMYFUNCTION("""COMPUTED_VALUE"""),"CAMETA")</f>
        <v>CAMETA</v>
      </c>
      <c r="K533" s="1">
        <f ca="1">IFERROR(__xludf.DUMMYFUNCTION("""COMPUTED_VALUE"""),15213803)</f>
        <v>15213803</v>
      </c>
      <c r="L533" s="2" t="str">
        <f ca="1">IFERROR(__xludf.DUMMYFUNCTION("""COMPUTED_VALUE"""),"001920937230000")</f>
        <v>001920937230000</v>
      </c>
      <c r="M533" s="2" t="str">
        <f ca="1">IFERROR(__xludf.DUMMYFUNCTION("""COMPUTED_VALUE"""),"1920937230000")</f>
        <v>1920937230000</v>
      </c>
      <c r="N533" s="1" t="str">
        <f ca="1">IFERROR(__xludf.DUMMYFUNCTION("""COMPUTED_VALUE"""),"EEEM ABRAAO SIMAO JATENE")</f>
        <v>EEEM ABRAAO SIMAO JATENE</v>
      </c>
      <c r="O533" s="1"/>
      <c r="P533" s="1"/>
      <c r="Q533" s="1" t="s">
        <v>537</v>
      </c>
    </row>
    <row r="534" spans="1:17" x14ac:dyDescent="0.25">
      <c r="A534" s="2" t="str">
        <f ca="1">IFERROR(__xludf.DUMMYFUNCTION("""COMPUTED_VALUE"""),"REG DE INTEGRA DO TOCANTINS")</f>
        <v>REG DE INTEGRA DO TOCANTINS</v>
      </c>
      <c r="B534" s="1" t="str">
        <f ca="1">IFERROR(__xludf.DUMMYFUNCTION("""COMPUTED_VALUE"""),"DRE CAMETA")</f>
        <v>DRE CAMETA</v>
      </c>
      <c r="C534" s="2" t="str">
        <f ca="1">IFERROR(__xludf.DUMMYFUNCTION("""COMPUTED_VALUE"""),"DRE - CAMETA")</f>
        <v>DRE - CAMETA</v>
      </c>
      <c r="D534" s="1"/>
      <c r="E534" s="2" t="str">
        <f ca="1">IFERROR(__xludf.DUMMYFUNCTION("""COMPUTED_VALUE"""),"DRE - CAMETA")</f>
        <v>DRE - CAMETA</v>
      </c>
      <c r="F534" s="1">
        <f ca="1">IFERROR(__xludf.DUMMYFUNCTION("""COMPUTED_VALUE"""),2)</f>
        <v>2</v>
      </c>
      <c r="G534" s="1" t="str">
        <f ca="1">IFERROR(__xludf.DUMMYFUNCTION("""COMPUTED_VALUE"""),"DRE CAMETA")</f>
        <v>DRE CAMETA</v>
      </c>
      <c r="H534" s="1" t="str">
        <f ca="1">IFERROR(__xludf.DUMMYFUNCTION("""COMPUTED_VALUE"""),"02A URE - CAMETA")</f>
        <v>02A URE - CAMETA</v>
      </c>
      <c r="I534" s="1"/>
      <c r="J534" s="1" t="str">
        <f ca="1">IFERROR(__xludf.DUMMYFUNCTION("""COMPUTED_VALUE"""),"CAMETA")</f>
        <v>CAMETA</v>
      </c>
      <c r="K534" s="1">
        <f ca="1">IFERROR(__xludf.DUMMYFUNCTION("""COMPUTED_VALUE"""),15170438)</f>
        <v>15170438</v>
      </c>
      <c r="L534" s="2" t="str">
        <f ca="1">IFERROR(__xludf.DUMMYFUNCTION("""COMPUTED_VALUE"""),"001920938400000")</f>
        <v>001920938400000</v>
      </c>
      <c r="M534" s="2" t="str">
        <f ca="1">IFERROR(__xludf.DUMMYFUNCTION("""COMPUTED_VALUE"""),"1920938400000")</f>
        <v>1920938400000</v>
      </c>
      <c r="N534" s="1" t="str">
        <f ca="1">IFERROR(__xludf.DUMMYFUNCTION("""COMPUTED_VALUE"""),"EEEM HERIBERTO BARROSO ARAGAO")</f>
        <v>EEEM HERIBERTO BARROSO ARAGAO</v>
      </c>
      <c r="O534" s="1"/>
      <c r="P534" s="1"/>
      <c r="Q534" s="1" t="s">
        <v>537</v>
      </c>
    </row>
    <row r="535" spans="1:17" x14ac:dyDescent="0.25">
      <c r="A535" s="2" t="str">
        <f ca="1">IFERROR(__xludf.DUMMYFUNCTION("""COMPUTED_VALUE"""),"REG DE INTEGRA DO TOCANTINS")</f>
        <v>REG DE INTEGRA DO TOCANTINS</v>
      </c>
      <c r="B535" s="1" t="str">
        <f ca="1">IFERROR(__xludf.DUMMYFUNCTION("""COMPUTED_VALUE"""),"DRE CAMETA")</f>
        <v>DRE CAMETA</v>
      </c>
      <c r="C535" s="2" t="str">
        <f ca="1">IFERROR(__xludf.DUMMYFUNCTION("""COMPUTED_VALUE"""),"DRE - CAMETA")</f>
        <v>DRE - CAMETA</v>
      </c>
      <c r="D535" s="1"/>
      <c r="E535" s="2" t="str">
        <f ca="1">IFERROR(__xludf.DUMMYFUNCTION("""COMPUTED_VALUE"""),"DRE - CAMETA")</f>
        <v>DRE - CAMETA</v>
      </c>
      <c r="F535" s="1">
        <f ca="1">IFERROR(__xludf.DUMMYFUNCTION("""COMPUTED_VALUE"""),2)</f>
        <v>2</v>
      </c>
      <c r="G535" s="1" t="str">
        <f ca="1">IFERROR(__xludf.DUMMYFUNCTION("""COMPUTED_VALUE"""),"DRE CAMETA")</f>
        <v>DRE CAMETA</v>
      </c>
      <c r="H535" s="1" t="str">
        <f ca="1">IFERROR(__xludf.DUMMYFUNCTION("""COMPUTED_VALUE"""),"02A URE - CAMETA")</f>
        <v>02A URE - CAMETA</v>
      </c>
      <c r="I535" s="1"/>
      <c r="J535" s="1" t="str">
        <f ca="1">IFERROR(__xludf.DUMMYFUNCTION("""COMPUTED_VALUE"""),"CAMETA")</f>
        <v>CAMETA</v>
      </c>
      <c r="K535" s="1">
        <f ca="1">IFERROR(__xludf.DUMMYFUNCTION("""COMPUTED_VALUE"""),15068390)</f>
        <v>15068390</v>
      </c>
      <c r="L535" s="2" t="str">
        <f ca="1">IFERROR(__xludf.DUMMYFUNCTION("""COMPUTED_VALUE"""),"001920907640000")</f>
        <v>001920907640000</v>
      </c>
      <c r="M535" s="2" t="str">
        <f ca="1">IFERROR(__xludf.DUMMYFUNCTION("""COMPUTED_VALUE"""),"1920907640000")</f>
        <v>1920907640000</v>
      </c>
      <c r="N535" s="1" t="str">
        <f ca="1">IFERROR(__xludf.DUMMYFUNCTION("""COMPUTED_VALUE"""),"EEEM JULIA PASSARINHO")</f>
        <v>EEEM JULIA PASSARINHO</v>
      </c>
      <c r="O535" s="1"/>
      <c r="P535" s="1"/>
      <c r="Q535" s="1" t="s">
        <v>537</v>
      </c>
    </row>
    <row r="536" spans="1:17" x14ac:dyDescent="0.25">
      <c r="A536" s="2" t="str">
        <f ca="1">IFERROR(__xludf.DUMMYFUNCTION("""COMPUTED_VALUE"""),"REG DE INTEGRA DO TOCANTINS")</f>
        <v>REG DE INTEGRA DO TOCANTINS</v>
      </c>
      <c r="B536" s="1" t="str">
        <f ca="1">IFERROR(__xludf.DUMMYFUNCTION("""COMPUTED_VALUE"""),"DRE CAMETA")</f>
        <v>DRE CAMETA</v>
      </c>
      <c r="C536" s="2" t="str">
        <f ca="1">IFERROR(__xludf.DUMMYFUNCTION("""COMPUTED_VALUE"""),"DRE - CAMETA")</f>
        <v>DRE - CAMETA</v>
      </c>
      <c r="D536" s="1"/>
      <c r="E536" s="2" t="str">
        <f ca="1">IFERROR(__xludf.DUMMYFUNCTION("""COMPUTED_VALUE"""),"DRE - CAMETA")</f>
        <v>DRE - CAMETA</v>
      </c>
      <c r="F536" s="1">
        <f ca="1">IFERROR(__xludf.DUMMYFUNCTION("""COMPUTED_VALUE"""),2)</f>
        <v>2</v>
      </c>
      <c r="G536" s="1" t="str">
        <f ca="1">IFERROR(__xludf.DUMMYFUNCTION("""COMPUTED_VALUE"""),"DRE CAMETA")</f>
        <v>DRE CAMETA</v>
      </c>
      <c r="H536" s="1" t="str">
        <f ca="1">IFERROR(__xludf.DUMMYFUNCTION("""COMPUTED_VALUE"""),"02A URE - CAMETA")</f>
        <v>02A URE - CAMETA</v>
      </c>
      <c r="I536" s="1"/>
      <c r="J536" s="1" t="str">
        <f ca="1">IFERROR(__xludf.DUMMYFUNCTION("""COMPUTED_VALUE"""),"CAMETA")</f>
        <v>CAMETA</v>
      </c>
      <c r="K536" s="1">
        <f ca="1">IFERROR(__xludf.DUMMYFUNCTION("""COMPUTED_VALUE"""),15070980)</f>
        <v>15070980</v>
      </c>
      <c r="L536" s="2" t="str">
        <f ca="1">IFERROR(__xludf.DUMMYFUNCTION("""COMPUTED_VALUE"""),"001920907840000")</f>
        <v>001920907840000</v>
      </c>
      <c r="M536" s="2" t="str">
        <f ca="1">IFERROR(__xludf.DUMMYFUNCTION("""COMPUTED_VALUE"""),"1920907840000")</f>
        <v>1920907840000</v>
      </c>
      <c r="N536" s="1" t="str">
        <f ca="1">IFERROR(__xludf.DUMMYFUNCTION("""COMPUTED_VALUE"""),"EEEM MAGALHAES BARATA")</f>
        <v>EEEM MAGALHAES BARATA</v>
      </c>
      <c r="O536" s="1"/>
      <c r="P536" s="1"/>
      <c r="Q536" s="1" t="s">
        <v>537</v>
      </c>
    </row>
    <row r="537" spans="1:17" x14ac:dyDescent="0.25">
      <c r="A537" s="2" t="str">
        <f ca="1">IFERROR(__xludf.DUMMYFUNCTION("""COMPUTED_VALUE"""),"REG DE INTEGRA DO TOCANTINS")</f>
        <v>REG DE INTEGRA DO TOCANTINS</v>
      </c>
      <c r="B537" s="1" t="str">
        <f ca="1">IFERROR(__xludf.DUMMYFUNCTION("""COMPUTED_VALUE"""),"DRE CAMETA")</f>
        <v>DRE CAMETA</v>
      </c>
      <c r="C537" s="2" t="str">
        <f ca="1">IFERROR(__xludf.DUMMYFUNCTION("""COMPUTED_VALUE"""),"DRE - CAMETA")</f>
        <v>DRE - CAMETA</v>
      </c>
      <c r="D537" s="1"/>
      <c r="E537" s="2" t="str">
        <f ca="1">IFERROR(__xludf.DUMMYFUNCTION("""COMPUTED_VALUE"""),"DRE - CAMETA")</f>
        <v>DRE - CAMETA</v>
      </c>
      <c r="F537" s="1">
        <f ca="1">IFERROR(__xludf.DUMMYFUNCTION("""COMPUTED_VALUE"""),2)</f>
        <v>2</v>
      </c>
      <c r="G537" s="1" t="str">
        <f ca="1">IFERROR(__xludf.DUMMYFUNCTION("""COMPUTED_VALUE"""),"DRE CAMETA")</f>
        <v>DRE CAMETA</v>
      </c>
      <c r="H537" s="1" t="str">
        <f ca="1">IFERROR(__xludf.DUMMYFUNCTION("""COMPUTED_VALUE"""),"02A URE - CAMETA")</f>
        <v>02A URE - CAMETA</v>
      </c>
      <c r="I537" s="1"/>
      <c r="J537" s="1" t="str">
        <f ca="1">IFERROR(__xludf.DUMMYFUNCTION("""COMPUTED_VALUE"""),"CAMETA")</f>
        <v>CAMETA</v>
      </c>
      <c r="K537" s="1">
        <f ca="1">IFERROR(__xludf.DUMMYFUNCTION("""COMPUTED_VALUE"""),15068439)</f>
        <v>15068439</v>
      </c>
      <c r="L537" s="2" t="str">
        <f ca="1">IFERROR(__xludf.DUMMYFUNCTION("""COMPUTED_VALUE"""),"001920927460000")</f>
        <v>001920927460000</v>
      </c>
      <c r="M537" s="2" t="str">
        <f ca="1">IFERROR(__xludf.DUMMYFUNCTION("""COMPUTED_VALUE"""),"1920927460000")</f>
        <v>1920927460000</v>
      </c>
      <c r="N537" s="1" t="str">
        <f ca="1">IFERROR(__xludf.DUMMYFUNCTION("""COMPUTED_VALUE"""),"EEEM OSVALDINA MUNIZ")</f>
        <v>EEEM OSVALDINA MUNIZ</v>
      </c>
      <c r="O537" s="1"/>
      <c r="P537" s="1"/>
      <c r="Q537" s="1" t="s">
        <v>537</v>
      </c>
    </row>
    <row r="538" spans="1:17" x14ac:dyDescent="0.25">
      <c r="A538" s="2" t="str">
        <f ca="1">IFERROR(__xludf.DUMMYFUNCTION("""COMPUTED_VALUE"""),"REG DE INTEGRA DO TOCANTINS")</f>
        <v>REG DE INTEGRA DO TOCANTINS</v>
      </c>
      <c r="B538" s="1" t="str">
        <f ca="1">IFERROR(__xludf.DUMMYFUNCTION("""COMPUTED_VALUE"""),"DRE CAMETA")</f>
        <v>DRE CAMETA</v>
      </c>
      <c r="C538" s="2" t="str">
        <f ca="1">IFERROR(__xludf.DUMMYFUNCTION("""COMPUTED_VALUE"""),"DRE - CAMETA")</f>
        <v>DRE - CAMETA</v>
      </c>
      <c r="D538" s="1"/>
      <c r="E538" s="2" t="str">
        <f ca="1">IFERROR(__xludf.DUMMYFUNCTION("""COMPUTED_VALUE"""),"DRE - CAMETA")</f>
        <v>DRE - CAMETA</v>
      </c>
      <c r="F538" s="1">
        <f ca="1">IFERROR(__xludf.DUMMYFUNCTION("""COMPUTED_VALUE"""),2)</f>
        <v>2</v>
      </c>
      <c r="G538" s="1" t="str">
        <f ca="1">IFERROR(__xludf.DUMMYFUNCTION("""COMPUTED_VALUE"""),"DRE CAMETA")</f>
        <v>DRE CAMETA</v>
      </c>
      <c r="H538" s="1" t="str">
        <f ca="1">IFERROR(__xludf.DUMMYFUNCTION("""COMPUTED_VALUE"""),"02A URE - CAMETA")</f>
        <v>02A URE - CAMETA</v>
      </c>
      <c r="I538" s="1"/>
      <c r="J538" s="1" t="str">
        <f ca="1">IFERROR(__xludf.DUMMYFUNCTION("""COMPUTED_VALUE"""),"CAMETA")</f>
        <v>CAMETA</v>
      </c>
      <c r="K538" s="1">
        <f ca="1">IFERROR(__xludf.DUMMYFUNCTION("""COMPUTED_VALUE"""),15218007)</f>
        <v>15218007</v>
      </c>
      <c r="L538" s="2" t="str">
        <f ca="1">IFERROR(__xludf.DUMMYFUNCTION("""COMPUTED_VALUE"""),"001920937470000")</f>
        <v>001920937470000</v>
      </c>
      <c r="M538" s="2" t="str">
        <f ca="1">IFERROR(__xludf.DUMMYFUNCTION("""COMPUTED_VALUE"""),"1920937470000")</f>
        <v>1920937470000</v>
      </c>
      <c r="N538" s="1" t="str">
        <f ca="1">IFERROR(__xludf.DUMMYFUNCTION("""COMPUTED_VALUE"""),"EEEM PADRE JOAO BOONEKAMP")</f>
        <v>EEEM PADRE JOAO BOONEKAMP</v>
      </c>
      <c r="O538" s="1"/>
      <c r="P538" s="1"/>
      <c r="Q538" s="1" t="s">
        <v>537</v>
      </c>
    </row>
    <row r="539" spans="1:17" x14ac:dyDescent="0.25">
      <c r="A539" s="2" t="str">
        <f ca="1">IFERROR(__xludf.DUMMYFUNCTION("""COMPUTED_VALUE"""),"REG DE INTEGRA DO TOCANTINS")</f>
        <v>REG DE INTEGRA DO TOCANTINS</v>
      </c>
      <c r="B539" s="1" t="str">
        <f ca="1">IFERROR(__xludf.DUMMYFUNCTION("""COMPUTED_VALUE"""),"DRE CAMETA")</f>
        <v>DRE CAMETA</v>
      </c>
      <c r="C539" s="2" t="str">
        <f ca="1">IFERROR(__xludf.DUMMYFUNCTION("""COMPUTED_VALUE"""),"DRE - CAMETA")</f>
        <v>DRE - CAMETA</v>
      </c>
      <c r="D539" s="1"/>
      <c r="E539" s="2" t="str">
        <f ca="1">IFERROR(__xludf.DUMMYFUNCTION("""COMPUTED_VALUE"""),"DRE - CAMETA")</f>
        <v>DRE - CAMETA</v>
      </c>
      <c r="F539" s="1"/>
      <c r="G539" s="1"/>
      <c r="H539" s="1" t="str">
        <f ca="1">IFERROR(__xludf.DUMMYFUNCTION("""COMPUTED_VALUE"""),"02A URE - CAMETA")</f>
        <v>02A URE - CAMETA</v>
      </c>
      <c r="I539" s="1"/>
      <c r="J539" s="1" t="str">
        <f ca="1">IFERROR(__xludf.DUMMYFUNCTION("""COMPUTED_VALUE"""),"CAMETA")</f>
        <v>CAMETA</v>
      </c>
      <c r="K539" s="1"/>
      <c r="L539" s="2" t="str">
        <f ca="1">IFERROR(__xludf.DUMMYFUNCTION("""COMPUTED_VALUE"""),"001920966000000")</f>
        <v>001920966000000</v>
      </c>
      <c r="M539" s="2" t="str">
        <f ca="1">IFERROR(__xludf.DUMMYFUNCTION("""COMPUTED_VALUE"""),"1920966000000")</f>
        <v>1920966000000</v>
      </c>
      <c r="N539" s="1" t="str">
        <f ca="1">IFERROR(__xludf.DUMMYFUNCTION("""COMPUTED_VALUE"""),"ESCOLA ESTADUAL RURAL DE CAMETA")</f>
        <v>ESCOLA ESTADUAL RURAL DE CAMETA</v>
      </c>
      <c r="O539" s="1"/>
      <c r="P539" s="1"/>
      <c r="Q539" s="1" t="s">
        <v>537</v>
      </c>
    </row>
    <row r="540" spans="1:17" x14ac:dyDescent="0.25">
      <c r="A540" s="2" t="str">
        <f ca="1">IFERROR(__xludf.DUMMYFUNCTION("""COMPUTED_VALUE"""),"REG DE INTEGRA DO TOCANTINS")</f>
        <v>REG DE INTEGRA DO TOCANTINS</v>
      </c>
      <c r="B540" s="1" t="str">
        <f ca="1">IFERROR(__xludf.DUMMYFUNCTION("""COMPUTED_VALUE"""),"DRE CAMETA")</f>
        <v>DRE CAMETA</v>
      </c>
      <c r="C540" s="2" t="str">
        <f ca="1">IFERROR(__xludf.DUMMYFUNCTION("""COMPUTED_VALUE"""),"DRE - CAMETA")</f>
        <v>DRE - CAMETA</v>
      </c>
      <c r="D540" s="1"/>
      <c r="E540" s="2" t="str">
        <f ca="1">IFERROR(__xludf.DUMMYFUNCTION("""COMPUTED_VALUE"""),"DRE - CAMETA")</f>
        <v>DRE - CAMETA</v>
      </c>
      <c r="F540" s="1">
        <f ca="1">IFERROR(__xludf.DUMMYFUNCTION("""COMPUTED_VALUE"""),2)</f>
        <v>2</v>
      </c>
      <c r="G540" s="1"/>
      <c r="H540" s="1" t="str">
        <f ca="1">IFERROR(__xludf.DUMMYFUNCTION("""COMPUTED_VALUE"""),"02A URE - CAMETA")</f>
        <v>02A URE - CAMETA</v>
      </c>
      <c r="I540" s="1"/>
      <c r="J540" s="1" t="str">
        <f ca="1">IFERROR(__xludf.DUMMYFUNCTION("""COMPUTED_VALUE"""),"LIMOEIRO DO AJURU")</f>
        <v>LIMOEIRO DO AJURU</v>
      </c>
      <c r="K540" s="1">
        <f ca="1">IFERROR(__xludf.DUMMYFUNCTION("""COMPUTED_VALUE"""),15177700)</f>
        <v>15177700</v>
      </c>
      <c r="L540" s="2" t="str">
        <f ca="1">IFERROR(__xludf.DUMMYFUNCTION("""COMPUTED_VALUE"""),"001920909200001")</f>
        <v>001920909200001</v>
      </c>
      <c r="M540" s="2" t="str">
        <f ca="1">IFERROR(__xludf.DUMMYFUNCTION("""COMPUTED_VALUE"""),"1920909200001")</f>
        <v>1920909200001</v>
      </c>
      <c r="N540" s="1" t="str">
        <f ca="1">IFERROR(__xludf.DUMMYFUNCTION("""COMPUTED_VALUE"""),"ANEXO RURAL JERONIMO MILHOMEM TAVARES")</f>
        <v>ANEXO RURAL JERONIMO MILHOMEM TAVARES</v>
      </c>
      <c r="O540" s="1"/>
      <c r="P540" s="1"/>
      <c r="Q540" s="1" t="s">
        <v>537</v>
      </c>
    </row>
    <row r="541" spans="1:17" x14ac:dyDescent="0.25">
      <c r="A541" s="2" t="str">
        <f ca="1">IFERROR(__xludf.DUMMYFUNCTION("""COMPUTED_VALUE"""),"REG DE INTEGRA DO TOCANTINS")</f>
        <v>REG DE INTEGRA DO TOCANTINS</v>
      </c>
      <c r="B541" s="1" t="str">
        <f ca="1">IFERROR(__xludf.DUMMYFUNCTION("""COMPUTED_VALUE"""),"DRE CAMETA")</f>
        <v>DRE CAMETA</v>
      </c>
      <c r="C541" s="2" t="str">
        <f ca="1">IFERROR(__xludf.DUMMYFUNCTION("""COMPUTED_VALUE"""),"DRE - CAMETA")</f>
        <v>DRE - CAMETA</v>
      </c>
      <c r="D541" s="1"/>
      <c r="E541" s="2" t="str">
        <f ca="1">IFERROR(__xludf.DUMMYFUNCTION("""COMPUTED_VALUE"""),"DRE - CAMETA")</f>
        <v>DRE - CAMETA</v>
      </c>
      <c r="F541" s="1">
        <f ca="1">IFERROR(__xludf.DUMMYFUNCTION("""COMPUTED_VALUE"""),2)</f>
        <v>2</v>
      </c>
      <c r="G541" s="1" t="str">
        <f ca="1">IFERROR(__xludf.DUMMYFUNCTION("""COMPUTED_VALUE"""),"DRE CAMETA")</f>
        <v>DRE CAMETA</v>
      </c>
      <c r="H541" s="1" t="str">
        <f ca="1">IFERROR(__xludf.DUMMYFUNCTION("""COMPUTED_VALUE"""),"02A URE - CAMETA")</f>
        <v>02A URE - CAMETA</v>
      </c>
      <c r="I541" s="1"/>
      <c r="J541" s="1" t="str">
        <f ca="1">IFERROR(__xludf.DUMMYFUNCTION("""COMPUTED_VALUE"""),"LIMOEIRO DO AJURU")</f>
        <v>LIMOEIRO DO AJURU</v>
      </c>
      <c r="K541" s="1">
        <f ca="1">IFERROR(__xludf.DUMMYFUNCTION("""COMPUTED_VALUE"""),15075109)</f>
        <v>15075109</v>
      </c>
      <c r="L541" s="2" t="str">
        <f ca="1">IFERROR(__xludf.DUMMYFUNCTION("""COMPUTED_VALUE"""),"001920909200000")</f>
        <v>001920909200000</v>
      </c>
      <c r="M541" s="2" t="str">
        <f ca="1">IFERROR(__xludf.DUMMYFUNCTION("""COMPUTED_VALUE"""),"1920909200000")</f>
        <v>1920909200000</v>
      </c>
      <c r="N541" s="1" t="str">
        <f ca="1">IFERROR(__xludf.DUMMYFUNCTION("""COMPUTED_VALUE"""),"EEEFM JERONIMO MILHOMEM TAVARES")</f>
        <v>EEEFM JERONIMO MILHOMEM TAVARES</v>
      </c>
      <c r="O541" s="1"/>
      <c r="P541" s="1"/>
      <c r="Q541" s="1" t="s">
        <v>537</v>
      </c>
    </row>
    <row r="542" spans="1:17" x14ac:dyDescent="0.25">
      <c r="A542" s="2" t="str">
        <f ca="1">IFERROR(__xludf.DUMMYFUNCTION("""COMPUTED_VALUE"""),"REG DE INTEGRA DO TOCANTINS")</f>
        <v>REG DE INTEGRA DO TOCANTINS</v>
      </c>
      <c r="B542" s="1" t="str">
        <f ca="1">IFERROR(__xludf.DUMMYFUNCTION("""COMPUTED_VALUE"""),"DRE CAMETA")</f>
        <v>DRE CAMETA</v>
      </c>
      <c r="C542" s="2" t="str">
        <f ca="1">IFERROR(__xludf.DUMMYFUNCTION("""COMPUTED_VALUE"""),"DRE - CAMETA")</f>
        <v>DRE - CAMETA</v>
      </c>
      <c r="D542" s="1"/>
      <c r="E542" s="2" t="str">
        <f ca="1">IFERROR(__xludf.DUMMYFUNCTION("""COMPUTED_VALUE"""),"DRE - CAMETA")</f>
        <v>DRE - CAMETA</v>
      </c>
      <c r="F542" s="1">
        <f ca="1">IFERROR(__xludf.DUMMYFUNCTION("""COMPUTED_VALUE"""),2)</f>
        <v>2</v>
      </c>
      <c r="G542" s="1" t="str">
        <f ca="1">IFERROR(__xludf.DUMMYFUNCTION("""COMPUTED_VALUE"""),"DRE CAMETA")</f>
        <v>DRE CAMETA</v>
      </c>
      <c r="H542" s="1" t="str">
        <f ca="1">IFERROR(__xludf.DUMMYFUNCTION("""COMPUTED_VALUE"""),"02A URE - CAMETA")</f>
        <v>02A URE - CAMETA</v>
      </c>
      <c r="I542" s="1"/>
      <c r="J542" s="1" t="str">
        <f ca="1">IFERROR(__xludf.DUMMYFUNCTION("""COMPUTED_VALUE"""),"LIMOEIRO DO AJURU")</f>
        <v>LIMOEIRO DO AJURU</v>
      </c>
      <c r="K542" s="1">
        <f ca="1">IFERROR(__xludf.DUMMYFUNCTION("""COMPUTED_VALUE"""),15529606)</f>
        <v>15529606</v>
      </c>
      <c r="L542" s="2" t="str">
        <f ca="1">IFERROR(__xludf.DUMMYFUNCTION("""COMPUTED_VALUE"""),"001920929130000")</f>
        <v>001920929130000</v>
      </c>
      <c r="M542" s="2" t="str">
        <f ca="1">IFERROR(__xludf.DUMMYFUNCTION("""COMPUTED_VALUE"""),"1920929130000")</f>
        <v>1920929130000</v>
      </c>
      <c r="N542" s="1" t="str">
        <f ca="1">IFERROR(__xludf.DUMMYFUNCTION("""COMPUTED_VALUE"""),"EEEFM PROF JOAO LUDOVICO")</f>
        <v>EEEFM PROF JOAO LUDOVICO</v>
      </c>
      <c r="O542" s="1"/>
      <c r="P542" s="1"/>
      <c r="Q542" s="1" t="s">
        <v>537</v>
      </c>
    </row>
    <row r="543" spans="1:17" x14ac:dyDescent="0.25">
      <c r="A543" s="2" t="str">
        <f ca="1">IFERROR(__xludf.DUMMYFUNCTION("""COMPUTED_VALUE"""),"REG DE INTEGRA DO TOCANTINS")</f>
        <v>REG DE INTEGRA DO TOCANTINS</v>
      </c>
      <c r="B543" s="1" t="str">
        <f ca="1">IFERROR(__xludf.DUMMYFUNCTION("""COMPUTED_VALUE"""),"DRE CAMETA")</f>
        <v>DRE CAMETA</v>
      </c>
      <c r="C543" s="2" t="str">
        <f ca="1">IFERROR(__xludf.DUMMYFUNCTION("""COMPUTED_VALUE"""),"DRE - CAMETA")</f>
        <v>DRE - CAMETA</v>
      </c>
      <c r="D543" s="1"/>
      <c r="E543" s="2" t="str">
        <f ca="1">IFERROR(__xludf.DUMMYFUNCTION("""COMPUTED_VALUE"""),"DRE - CAMETA")</f>
        <v>DRE - CAMETA</v>
      </c>
      <c r="F543" s="1"/>
      <c r="G543" s="1"/>
      <c r="H543" s="1" t="str">
        <f ca="1">IFERROR(__xludf.DUMMYFUNCTION("""COMPUTED_VALUE"""),"02A URE - CAMETA")</f>
        <v>02A URE - CAMETA</v>
      </c>
      <c r="I543" s="1"/>
      <c r="J543" s="1" t="str">
        <f ca="1">IFERROR(__xludf.DUMMYFUNCTION("""COMPUTED_VALUE"""),"LIMOEIRO DO AJURU")</f>
        <v>LIMOEIRO DO AJURU</v>
      </c>
      <c r="K543" s="1"/>
      <c r="L543" s="2" t="str">
        <f ca="1">IFERROR(__xludf.DUMMYFUNCTION("""COMPUTED_VALUE"""),"001920967000000")</f>
        <v>001920967000000</v>
      </c>
      <c r="M543" s="2" t="str">
        <f ca="1">IFERROR(__xludf.DUMMYFUNCTION("""COMPUTED_VALUE"""),"1920967000000")</f>
        <v>1920967000000</v>
      </c>
      <c r="N543" s="1" t="str">
        <f ca="1">IFERROR(__xludf.DUMMYFUNCTION("""COMPUTED_VALUE"""),"ESCOLA ESTADUAL RURAL DE LIMOEIRO DO AJURU")</f>
        <v>ESCOLA ESTADUAL RURAL DE LIMOEIRO DO AJURU</v>
      </c>
      <c r="O543" s="1"/>
      <c r="P543" s="1"/>
      <c r="Q543" s="1" t="s">
        <v>537</v>
      </c>
    </row>
    <row r="544" spans="1:17" x14ac:dyDescent="0.25">
      <c r="A544" s="2" t="str">
        <f ca="1">IFERROR(__xludf.DUMMYFUNCTION("""COMPUTED_VALUE"""),"REG DE INTEGRA DO TOCANTINS")</f>
        <v>REG DE INTEGRA DO TOCANTINS</v>
      </c>
      <c r="B544" s="1" t="str">
        <f ca="1">IFERROR(__xludf.DUMMYFUNCTION("""COMPUTED_VALUE"""),"DRE CAMETA")</f>
        <v>DRE CAMETA</v>
      </c>
      <c r="C544" s="2" t="str">
        <f ca="1">IFERROR(__xludf.DUMMYFUNCTION("""COMPUTED_VALUE"""),"DRE - CAMETA")</f>
        <v>DRE - CAMETA</v>
      </c>
      <c r="D544" s="1"/>
      <c r="E544" s="2" t="str">
        <f ca="1">IFERROR(__xludf.DUMMYFUNCTION("""COMPUTED_VALUE"""),"DRE - CAMETA")</f>
        <v>DRE - CAMETA</v>
      </c>
      <c r="F544" s="1">
        <f ca="1">IFERROR(__xludf.DUMMYFUNCTION("""COMPUTED_VALUE"""),2)</f>
        <v>2</v>
      </c>
      <c r="G544" s="1"/>
      <c r="H544" s="1" t="str">
        <f ca="1">IFERROR(__xludf.DUMMYFUNCTION("""COMPUTED_VALUE"""),"02A URE - CAMETA")</f>
        <v>02A URE - CAMETA</v>
      </c>
      <c r="I544" s="1"/>
      <c r="J544" s="1" t="str">
        <f ca="1">IFERROR(__xludf.DUMMYFUNCTION("""COMPUTED_VALUE"""),"MOCAJUBA")</f>
        <v>MOCAJUBA</v>
      </c>
      <c r="K544" s="1">
        <f ca="1">IFERROR(__xludf.DUMMYFUNCTION("""COMPUTED_VALUE"""),15177718)</f>
        <v>15177718</v>
      </c>
      <c r="L544" s="2" t="str">
        <f ca="1">IFERROR(__xludf.DUMMYFUNCTION("""COMPUTED_VALUE"""),"001920927300001")</f>
        <v>001920927300001</v>
      </c>
      <c r="M544" s="2" t="str">
        <f ca="1">IFERROR(__xludf.DUMMYFUNCTION("""COMPUTED_VALUE"""),"1920927300001")</f>
        <v>1920927300001</v>
      </c>
      <c r="N544" s="1" t="str">
        <f ca="1">IFERROR(__xludf.DUMMYFUNCTION("""COMPUTED_VALUE"""),"ANEXO RURAL PROF ISAURA BAHIA")</f>
        <v>ANEXO RURAL PROF ISAURA BAHIA</v>
      </c>
      <c r="O544" s="1"/>
      <c r="P544" s="1"/>
      <c r="Q544" s="1" t="s">
        <v>537</v>
      </c>
    </row>
    <row r="545" spans="1:17" x14ac:dyDescent="0.25">
      <c r="A545" s="2" t="str">
        <f ca="1">IFERROR(__xludf.DUMMYFUNCTION("""COMPUTED_VALUE"""),"REG DE INTEGRA DO TOCANTINS")</f>
        <v>REG DE INTEGRA DO TOCANTINS</v>
      </c>
      <c r="B545" s="1" t="str">
        <f ca="1">IFERROR(__xludf.DUMMYFUNCTION("""COMPUTED_VALUE"""),"DRE CAMETA")</f>
        <v>DRE CAMETA</v>
      </c>
      <c r="C545" s="2" t="str">
        <f ca="1">IFERROR(__xludf.DUMMYFUNCTION("""COMPUTED_VALUE"""),"DRE - CAMETA")</f>
        <v>DRE - CAMETA</v>
      </c>
      <c r="D545" s="1"/>
      <c r="E545" s="2" t="str">
        <f ca="1">IFERROR(__xludf.DUMMYFUNCTION("""COMPUTED_VALUE"""),"DRE - CAMETA")</f>
        <v>DRE - CAMETA</v>
      </c>
      <c r="F545" s="1">
        <f ca="1">IFERROR(__xludf.DUMMYFUNCTION("""COMPUTED_VALUE"""),2)</f>
        <v>2</v>
      </c>
      <c r="G545" s="1" t="str">
        <f ca="1">IFERROR(__xludf.DUMMYFUNCTION("""COMPUTED_VALUE"""),"DRE CAMETA")</f>
        <v>DRE CAMETA</v>
      </c>
      <c r="H545" s="1" t="str">
        <f ca="1">IFERROR(__xludf.DUMMYFUNCTION("""COMPUTED_VALUE"""),"02A URE - CAMETA")</f>
        <v>02A URE - CAMETA</v>
      </c>
      <c r="I545" s="1"/>
      <c r="J545" s="1" t="str">
        <f ca="1">IFERROR(__xludf.DUMMYFUNCTION("""COMPUTED_VALUE"""),"MOCAJUBA")</f>
        <v>MOCAJUBA</v>
      </c>
      <c r="K545" s="1">
        <f ca="1">IFERROR(__xludf.DUMMYFUNCTION("""COMPUTED_VALUE"""),15175383)</f>
        <v>15175383</v>
      </c>
      <c r="L545" s="2" t="str">
        <f ca="1">IFERROR(__xludf.DUMMYFUNCTION("""COMPUTED_VALUE"""),"001920948000000")</f>
        <v>001920948000000</v>
      </c>
      <c r="M545" s="2" t="str">
        <f ca="1">IFERROR(__xludf.DUMMYFUNCTION("""COMPUTED_VALUE"""),"1920948000000")</f>
        <v>1920948000000</v>
      </c>
      <c r="N545" s="1" t="str">
        <f ca="1">IFERROR(__xludf.DUMMYFUNCTION("""COMPUTED_VALUE"""),"EEEM BENEDITA MARILDA DA SILVA BRAGA")</f>
        <v>EEEM BENEDITA MARILDA DA SILVA BRAGA</v>
      </c>
      <c r="O545" s="1"/>
      <c r="P545" s="1"/>
      <c r="Q545" s="1" t="s">
        <v>537</v>
      </c>
    </row>
    <row r="546" spans="1:17" x14ac:dyDescent="0.25">
      <c r="A546" s="2" t="str">
        <f ca="1">IFERROR(__xludf.DUMMYFUNCTION("""COMPUTED_VALUE"""),"REG DE INTEGRA DO TOCANTINS")</f>
        <v>REG DE INTEGRA DO TOCANTINS</v>
      </c>
      <c r="B546" s="1" t="str">
        <f ca="1">IFERROR(__xludf.DUMMYFUNCTION("""COMPUTED_VALUE"""),"DRE CAMETA")</f>
        <v>DRE CAMETA</v>
      </c>
      <c r="C546" s="2" t="str">
        <f ca="1">IFERROR(__xludf.DUMMYFUNCTION("""COMPUTED_VALUE"""),"DRE - CAMETA")</f>
        <v>DRE - CAMETA</v>
      </c>
      <c r="D546" s="1"/>
      <c r="E546" s="2" t="str">
        <f ca="1">IFERROR(__xludf.DUMMYFUNCTION("""COMPUTED_VALUE"""),"DRE - CAMETA")</f>
        <v>DRE - CAMETA</v>
      </c>
      <c r="F546" s="1">
        <f ca="1">IFERROR(__xludf.DUMMYFUNCTION("""COMPUTED_VALUE"""),2)</f>
        <v>2</v>
      </c>
      <c r="G546" s="1" t="str">
        <f ca="1">IFERROR(__xludf.DUMMYFUNCTION("""COMPUTED_VALUE"""),"DRE CAMETA")</f>
        <v>DRE CAMETA</v>
      </c>
      <c r="H546" s="1" t="str">
        <f ca="1">IFERROR(__xludf.DUMMYFUNCTION("""COMPUTED_VALUE"""),"02A URE - CAMETA")</f>
        <v>02A URE - CAMETA</v>
      </c>
      <c r="I546" s="1"/>
      <c r="J546" s="1" t="str">
        <f ca="1">IFERROR(__xludf.DUMMYFUNCTION("""COMPUTED_VALUE"""),"MOCAJUBA")</f>
        <v>MOCAJUBA</v>
      </c>
      <c r="K546" s="1">
        <f ca="1">IFERROR(__xludf.DUMMYFUNCTION("""COMPUTED_VALUE"""),15076580)</f>
        <v>15076580</v>
      </c>
      <c r="L546" s="2" t="str">
        <f ca="1">IFERROR(__xludf.DUMMYFUNCTION("""COMPUTED_VALUE"""),"001920927300000")</f>
        <v>001920927300000</v>
      </c>
      <c r="M546" s="2" t="str">
        <f ca="1">IFERROR(__xludf.DUMMYFUNCTION("""COMPUTED_VALUE"""),"1920927300000")</f>
        <v>1920927300000</v>
      </c>
      <c r="N546" s="1" t="str">
        <f ca="1">IFERROR(__xludf.DUMMYFUNCTION("""COMPUTED_VALUE"""),"EEEM PROF ISAURA BAHIA")</f>
        <v>EEEM PROF ISAURA BAHIA</v>
      </c>
      <c r="O546" s="1"/>
      <c r="P546" s="1"/>
      <c r="Q546" s="1" t="s">
        <v>537</v>
      </c>
    </row>
    <row r="547" spans="1:17" x14ac:dyDescent="0.25">
      <c r="A547" s="2" t="str">
        <f ca="1">IFERROR(__xludf.DUMMYFUNCTION("""COMPUTED_VALUE"""),"REG DE INTEGRA DO TOCANTINS")</f>
        <v>REG DE INTEGRA DO TOCANTINS</v>
      </c>
      <c r="B547" s="1" t="str">
        <f ca="1">IFERROR(__xludf.DUMMYFUNCTION("""COMPUTED_VALUE"""),"DRE CAMETA")</f>
        <v>DRE CAMETA</v>
      </c>
      <c r="C547" s="2" t="str">
        <f ca="1">IFERROR(__xludf.DUMMYFUNCTION("""COMPUTED_VALUE"""),"DRE - CAMETA")</f>
        <v>DRE - CAMETA</v>
      </c>
      <c r="D547" s="1"/>
      <c r="E547" s="2" t="str">
        <f ca="1">IFERROR(__xludf.DUMMYFUNCTION("""COMPUTED_VALUE"""),"DRE - CAMETA")</f>
        <v>DRE - CAMETA</v>
      </c>
      <c r="F547" s="1"/>
      <c r="G547" s="1"/>
      <c r="H547" s="1" t="str">
        <f ca="1">IFERROR(__xludf.DUMMYFUNCTION("""COMPUTED_VALUE"""),"02A URE - CAMETA")</f>
        <v>02A URE - CAMETA</v>
      </c>
      <c r="I547" s="1"/>
      <c r="J547" s="1" t="str">
        <f ca="1">IFERROR(__xludf.DUMMYFUNCTION("""COMPUTED_VALUE"""),"MOCAJUBA")</f>
        <v>MOCAJUBA</v>
      </c>
      <c r="K547" s="1"/>
      <c r="L547" s="2" t="str">
        <f ca="1">IFERROR(__xludf.DUMMYFUNCTION("""COMPUTED_VALUE"""),"001920968000000")</f>
        <v>001920968000000</v>
      </c>
      <c r="M547" s="2" t="str">
        <f ca="1">IFERROR(__xludf.DUMMYFUNCTION("""COMPUTED_VALUE"""),"1920968000000")</f>
        <v>1920968000000</v>
      </c>
      <c r="N547" s="1" t="str">
        <f ca="1">IFERROR(__xludf.DUMMYFUNCTION("""COMPUTED_VALUE"""),"ESCOLA ESTADUAL RURAL DE MOCAJUBA")</f>
        <v>ESCOLA ESTADUAL RURAL DE MOCAJUBA</v>
      </c>
      <c r="O547" s="1"/>
      <c r="P547" s="1"/>
      <c r="Q547" s="1" t="s">
        <v>537</v>
      </c>
    </row>
    <row r="548" spans="1:17" x14ac:dyDescent="0.25">
      <c r="A548" s="2" t="str">
        <f ca="1">IFERROR(__xludf.DUMMYFUNCTION("""COMPUTED_VALUE"""),"REG DE INTEGRA DO RIO CAITE")</f>
        <v>REG DE INTEGRA DO RIO CAITE</v>
      </c>
      <c r="B548" s="1" t="str">
        <f ca="1">IFERROR(__xludf.DUMMYFUNCTION("""COMPUTED_VALUE"""),"DRE CAPANEMA")</f>
        <v>DRE CAPANEMA</v>
      </c>
      <c r="C548" s="2" t="str">
        <f ca="1">IFERROR(__xludf.DUMMYFUNCTION("""COMPUTED_VALUE"""),"DRE - CAPANEMA")</f>
        <v>DRE - CAPANEMA</v>
      </c>
      <c r="D548" s="1"/>
      <c r="E548" s="2" t="str">
        <f ca="1">IFERROR(__xludf.DUMMYFUNCTION("""COMPUTED_VALUE"""),"DRE - CAPANEMA")</f>
        <v>DRE - CAPANEMA</v>
      </c>
      <c r="F548" s="1">
        <f ca="1">IFERROR(__xludf.DUMMYFUNCTION("""COMPUTED_VALUE"""),3)</f>
        <v>3</v>
      </c>
      <c r="G548" s="1" t="str">
        <f ca="1">IFERROR(__xludf.DUMMYFUNCTION("""COMPUTED_VALUE"""),"DRE CAPANEMA")</f>
        <v>DRE CAPANEMA</v>
      </c>
      <c r="H548" s="1" t="str">
        <f ca="1">IFERROR(__xludf.DUMMYFUNCTION("""COMPUTED_VALUE"""),"14A URE - CAPANEMA")</f>
        <v>14A URE - CAPANEMA</v>
      </c>
      <c r="I548" s="1"/>
      <c r="J548" s="1" t="str">
        <f ca="1">IFERROR(__xludf.DUMMYFUNCTION("""COMPUTED_VALUE"""),"BONITO")</f>
        <v>BONITO</v>
      </c>
      <c r="K548" s="1">
        <f ca="1">IFERROR(__xludf.DUMMYFUNCTION("""COMPUTED_VALUE"""),15056155)</f>
        <v>15056155</v>
      </c>
      <c r="L548" s="2" t="str">
        <f ca="1">IFERROR(__xludf.DUMMYFUNCTION("""COMPUTED_VALUE"""),"001920915960000")</f>
        <v>001920915960000</v>
      </c>
      <c r="M548" s="2" t="str">
        <f ca="1">IFERROR(__xludf.DUMMYFUNCTION("""COMPUTED_VALUE"""),"1920915960000")</f>
        <v>1920915960000</v>
      </c>
      <c r="N548" s="1" t="str">
        <f ca="1">IFERROR(__xludf.DUMMYFUNCTION("""COMPUTED_VALUE"""),"EEEF SANTO ANTONIO DO CUMARU")</f>
        <v>EEEF SANTO ANTONIO DO CUMARU</v>
      </c>
      <c r="O548" s="1"/>
      <c r="P548" s="1"/>
      <c r="Q548" s="1" t="s">
        <v>559</v>
      </c>
    </row>
    <row r="549" spans="1:17" x14ac:dyDescent="0.25">
      <c r="A549" s="2" t="str">
        <f ca="1">IFERROR(__xludf.DUMMYFUNCTION("""COMPUTED_VALUE"""),"REG DE INTEGRA DO RIO CAITE")</f>
        <v>REG DE INTEGRA DO RIO CAITE</v>
      </c>
      <c r="B549" s="1" t="str">
        <f ca="1">IFERROR(__xludf.DUMMYFUNCTION("""COMPUTED_VALUE"""),"DRE CAPANEMA")</f>
        <v>DRE CAPANEMA</v>
      </c>
      <c r="C549" s="2" t="str">
        <f ca="1">IFERROR(__xludf.DUMMYFUNCTION("""COMPUTED_VALUE"""),"DRE - CAPANEMA")</f>
        <v>DRE - CAPANEMA</v>
      </c>
      <c r="D549" s="1"/>
      <c r="E549" s="2" t="str">
        <f ca="1">IFERROR(__xludf.DUMMYFUNCTION("""COMPUTED_VALUE"""),"DRE - CAPANEMA")</f>
        <v>DRE - CAPANEMA</v>
      </c>
      <c r="F549" s="1">
        <f ca="1">IFERROR(__xludf.DUMMYFUNCTION("""COMPUTED_VALUE"""),3)</f>
        <v>3</v>
      </c>
      <c r="G549" s="1" t="str">
        <f ca="1">IFERROR(__xludf.DUMMYFUNCTION("""COMPUTED_VALUE"""),"DRE CAPANEMA")</f>
        <v>DRE CAPANEMA</v>
      </c>
      <c r="H549" s="1" t="str">
        <f ca="1">IFERROR(__xludf.DUMMYFUNCTION("""COMPUTED_VALUE"""),"14A URE - CAPANEMA")</f>
        <v>14A URE - CAPANEMA</v>
      </c>
      <c r="I549" s="1"/>
      <c r="J549" s="1" t="str">
        <f ca="1">IFERROR(__xludf.DUMMYFUNCTION("""COMPUTED_VALUE"""),"BONITO")</f>
        <v>BONITO</v>
      </c>
      <c r="K549" s="1">
        <f ca="1">IFERROR(__xludf.DUMMYFUNCTION("""COMPUTED_VALUE"""),15056007)</f>
        <v>15056007</v>
      </c>
      <c r="L549" s="2" t="str">
        <f ca="1">IFERROR(__xludf.DUMMYFUNCTION("""COMPUTED_VALUE"""),"001920915950000")</f>
        <v>001920915950000</v>
      </c>
      <c r="M549" s="2" t="str">
        <f ca="1">IFERROR(__xludf.DUMMYFUNCTION("""COMPUTED_VALUE"""),"1920915950000")</f>
        <v>1920915950000</v>
      </c>
      <c r="N549" s="1" t="str">
        <f ca="1">IFERROR(__xludf.DUMMYFUNCTION("""COMPUTED_VALUE"""),"EEEFM CHARLES ASSAD")</f>
        <v>EEEFM CHARLES ASSAD</v>
      </c>
      <c r="O549" s="1"/>
      <c r="P549" s="1"/>
      <c r="Q549" s="1" t="s">
        <v>559</v>
      </c>
    </row>
    <row r="550" spans="1:17" x14ac:dyDescent="0.25">
      <c r="A550" s="2" t="str">
        <f ca="1">IFERROR(__xludf.DUMMYFUNCTION("""COMPUTED_VALUE"""),"REG DE INTEGRA DO RIO CAITE")</f>
        <v>REG DE INTEGRA DO RIO CAITE</v>
      </c>
      <c r="B550" s="1" t="str">
        <f ca="1">IFERROR(__xludf.DUMMYFUNCTION("""COMPUTED_VALUE"""),"DRE CAPANEMA")</f>
        <v>DRE CAPANEMA</v>
      </c>
      <c r="C550" s="2" t="str">
        <f ca="1">IFERROR(__xludf.DUMMYFUNCTION("""COMPUTED_VALUE"""),"DRE - CAPANEMA")</f>
        <v>DRE - CAPANEMA</v>
      </c>
      <c r="D550" s="1"/>
      <c r="E550" s="2" t="str">
        <f ca="1">IFERROR(__xludf.DUMMYFUNCTION("""COMPUTED_VALUE"""),"DRE - CAPANEMA")</f>
        <v>DRE - CAPANEMA</v>
      </c>
      <c r="F550" s="1">
        <f ca="1">IFERROR(__xludf.DUMMYFUNCTION("""COMPUTED_VALUE"""),3)</f>
        <v>3</v>
      </c>
      <c r="G550" s="1" t="str">
        <f ca="1">IFERROR(__xludf.DUMMYFUNCTION("""COMPUTED_VALUE"""),"DRE CAPANEMA")</f>
        <v>DRE CAPANEMA</v>
      </c>
      <c r="H550" s="1" t="str">
        <f ca="1">IFERROR(__xludf.DUMMYFUNCTION("""COMPUTED_VALUE"""),"14A URE - CAPANEMA")</f>
        <v>14A URE - CAPANEMA</v>
      </c>
      <c r="I550" s="1"/>
      <c r="J550" s="1" t="str">
        <f ca="1">IFERROR(__xludf.DUMMYFUNCTION("""COMPUTED_VALUE"""),"BONITO")</f>
        <v>BONITO</v>
      </c>
      <c r="K550" s="1">
        <f ca="1">IFERROR(__xludf.DUMMYFUNCTION("""COMPUTED_VALUE"""),15157636)</f>
        <v>15157636</v>
      </c>
      <c r="L550" s="2" t="str">
        <f ca="1">IFERROR(__xludf.DUMMYFUNCTION("""COMPUTED_VALUE"""),"001920937560000")</f>
        <v>001920937560000</v>
      </c>
      <c r="M550" s="2" t="str">
        <f ca="1">IFERROR(__xludf.DUMMYFUNCTION("""COMPUTED_VALUE"""),"1920937560000")</f>
        <v>1920937560000</v>
      </c>
      <c r="N550" s="1" t="str">
        <f ca="1">IFERROR(__xludf.DUMMYFUNCTION("""COMPUTED_VALUE"""),"EEEFM MARIA DE NAZARE ASSAD ELIAS")</f>
        <v>EEEFM MARIA DE NAZARE ASSAD ELIAS</v>
      </c>
      <c r="O550" s="1"/>
      <c r="P550" s="1"/>
      <c r="Q550" s="1" t="s">
        <v>559</v>
      </c>
    </row>
    <row r="551" spans="1:17" x14ac:dyDescent="0.25">
      <c r="A551" s="2" t="str">
        <f ca="1">IFERROR(__xludf.DUMMYFUNCTION("""COMPUTED_VALUE"""),"REG DE INTEGRA DO RIO CAITE")</f>
        <v>REG DE INTEGRA DO RIO CAITE</v>
      </c>
      <c r="B551" s="1" t="str">
        <f ca="1">IFERROR(__xludf.DUMMYFUNCTION("""COMPUTED_VALUE"""),"DRE CAPANEMA")</f>
        <v>DRE CAPANEMA</v>
      </c>
      <c r="C551" s="2" t="str">
        <f ca="1">IFERROR(__xludf.DUMMYFUNCTION("""COMPUTED_VALUE"""),"DRE - CAPANEMA")</f>
        <v>DRE - CAPANEMA</v>
      </c>
      <c r="D551" s="1"/>
      <c r="E551" s="2" t="str">
        <f ca="1">IFERROR(__xludf.DUMMYFUNCTION("""COMPUTED_VALUE"""),"DRE - CAPANEMA")</f>
        <v>DRE - CAPANEMA</v>
      </c>
      <c r="F551" s="1">
        <f ca="1">IFERROR(__xludf.DUMMYFUNCTION("""COMPUTED_VALUE"""),3)</f>
        <v>3</v>
      </c>
      <c r="G551" s="1" t="str">
        <f ca="1">IFERROR(__xludf.DUMMYFUNCTION("""COMPUTED_VALUE"""),"DRE CAPANEMA")</f>
        <v>DRE CAPANEMA</v>
      </c>
      <c r="H551" s="1" t="str">
        <f ca="1">IFERROR(__xludf.DUMMYFUNCTION("""COMPUTED_VALUE"""),"14A URE - CAPANEMA")</f>
        <v>14A URE - CAPANEMA</v>
      </c>
      <c r="I551" s="1"/>
      <c r="J551" s="1" t="str">
        <f ca="1">IFERROR(__xludf.DUMMYFUNCTION("""COMPUTED_VALUE"""),"CAPANEMA")</f>
        <v>CAPANEMA</v>
      </c>
      <c r="K551" s="1"/>
      <c r="L551" s="2" t="str">
        <f ca="1">IFERROR(__xludf.DUMMYFUNCTION("""COMPUTED_VALUE"""),"001920900140000")</f>
        <v>001920900140000</v>
      </c>
      <c r="M551" s="2" t="str">
        <f ca="1">IFERROR(__xludf.DUMMYFUNCTION("""COMPUTED_VALUE"""),"1920900140000")</f>
        <v>1920900140000</v>
      </c>
      <c r="N551" s="1" t="str">
        <f ca="1">IFERROR(__xludf.DUMMYFUNCTION("""COMPUTED_VALUE"""),"14 URE")</f>
        <v>14 URE</v>
      </c>
      <c r="O551" s="1"/>
      <c r="P551" s="1"/>
      <c r="Q551" s="1" t="s">
        <v>559</v>
      </c>
    </row>
    <row r="552" spans="1:17" x14ac:dyDescent="0.25">
      <c r="A552" s="2" t="str">
        <f ca="1">IFERROR(__xludf.DUMMYFUNCTION("""COMPUTED_VALUE"""),"REG DE INTEGRA DO RIO CAITE")</f>
        <v>REG DE INTEGRA DO RIO CAITE</v>
      </c>
      <c r="B552" s="1" t="str">
        <f ca="1">IFERROR(__xludf.DUMMYFUNCTION("""COMPUTED_VALUE"""),"DRE CAPANEMA")</f>
        <v>DRE CAPANEMA</v>
      </c>
      <c r="C552" s="2" t="str">
        <f ca="1">IFERROR(__xludf.DUMMYFUNCTION("""COMPUTED_VALUE"""),"DRE - CAPANEMA")</f>
        <v>DRE - CAPANEMA</v>
      </c>
      <c r="D552" s="1"/>
      <c r="E552" s="2" t="str">
        <f ca="1">IFERROR(__xludf.DUMMYFUNCTION("""COMPUTED_VALUE"""),"DRE - CAPANEMA")</f>
        <v>DRE - CAPANEMA</v>
      </c>
      <c r="F552" s="1">
        <f ca="1">IFERROR(__xludf.DUMMYFUNCTION("""COMPUTED_VALUE"""),3)</f>
        <v>3</v>
      </c>
      <c r="G552" s="1" t="str">
        <f ca="1">IFERROR(__xludf.DUMMYFUNCTION("""COMPUTED_VALUE"""),"DRE CAPANEMA")</f>
        <v>DRE CAPANEMA</v>
      </c>
      <c r="H552" s="1" t="str">
        <f ca="1">IFERROR(__xludf.DUMMYFUNCTION("""COMPUTED_VALUE"""),"14A URE - CAPANEMA")</f>
        <v>14A URE - CAPANEMA</v>
      </c>
      <c r="I552" s="1"/>
      <c r="J552" s="1" t="str">
        <f ca="1">IFERROR(__xludf.DUMMYFUNCTION("""COMPUTED_VALUE"""),"CAPANEMA")</f>
        <v>CAPANEMA</v>
      </c>
      <c r="K552" s="1">
        <f ca="1">IFERROR(__xludf.DUMMYFUNCTION("""COMPUTED_VALUE"""),15059820)</f>
        <v>15059820</v>
      </c>
      <c r="L552" s="2" t="str">
        <f ca="1">IFERROR(__xludf.DUMMYFUNCTION("""COMPUTED_VALUE"""),"001920918020000")</f>
        <v>001920918020000</v>
      </c>
      <c r="M552" s="2" t="str">
        <f ca="1">IFERROR(__xludf.DUMMYFUNCTION("""COMPUTED_VALUE"""),"1920918020000")</f>
        <v>1920918020000</v>
      </c>
      <c r="N552" s="1" t="str">
        <f ca="1">IFERROR(__xludf.DUMMYFUNCTION("""COMPUTED_VALUE"""),"EEEF KM 2")</f>
        <v>EEEF KM 2</v>
      </c>
      <c r="O552" s="1"/>
      <c r="P552" s="1"/>
      <c r="Q552" s="1" t="s">
        <v>559</v>
      </c>
    </row>
    <row r="553" spans="1:17" x14ac:dyDescent="0.25">
      <c r="A553" s="2" t="str">
        <f ca="1">IFERROR(__xludf.DUMMYFUNCTION("""COMPUTED_VALUE"""),"REG DE INTEGRA DO RIO CAITE")</f>
        <v>REG DE INTEGRA DO RIO CAITE</v>
      </c>
      <c r="B553" s="1" t="str">
        <f ca="1">IFERROR(__xludf.DUMMYFUNCTION("""COMPUTED_VALUE"""),"DRE CAPANEMA")</f>
        <v>DRE CAPANEMA</v>
      </c>
      <c r="C553" s="2" t="str">
        <f ca="1">IFERROR(__xludf.DUMMYFUNCTION("""COMPUTED_VALUE"""),"DRE - CAPANEMA")</f>
        <v>DRE - CAPANEMA</v>
      </c>
      <c r="D553" s="1"/>
      <c r="E553" s="2" t="str">
        <f ca="1">IFERROR(__xludf.DUMMYFUNCTION("""COMPUTED_VALUE"""),"DRE - CAPANEMA")</f>
        <v>DRE - CAPANEMA</v>
      </c>
      <c r="F553" s="1">
        <f ca="1">IFERROR(__xludf.DUMMYFUNCTION("""COMPUTED_VALUE"""),3)</f>
        <v>3</v>
      </c>
      <c r="G553" s="1" t="str">
        <f ca="1">IFERROR(__xludf.DUMMYFUNCTION("""COMPUTED_VALUE"""),"DRE CAPANEMA")</f>
        <v>DRE CAPANEMA</v>
      </c>
      <c r="H553" s="1" t="str">
        <f ca="1">IFERROR(__xludf.DUMMYFUNCTION("""COMPUTED_VALUE"""),"14A URE - CAPANEMA")</f>
        <v>14A URE - CAPANEMA</v>
      </c>
      <c r="I553" s="1"/>
      <c r="J553" s="1" t="str">
        <f ca="1">IFERROR(__xludf.DUMMYFUNCTION("""COMPUTED_VALUE"""),"CAPANEMA")</f>
        <v>CAPANEMA</v>
      </c>
      <c r="K553" s="1">
        <f ca="1">IFERROR(__xludf.DUMMYFUNCTION("""COMPUTED_VALUE"""),15059626)</f>
        <v>15059626</v>
      </c>
      <c r="L553" s="2" t="str">
        <f ca="1">IFERROR(__xludf.DUMMYFUNCTION("""COMPUTED_VALUE"""),"001920917870000")</f>
        <v>001920917870000</v>
      </c>
      <c r="M553" s="2" t="str">
        <f ca="1">IFERROR(__xludf.DUMMYFUNCTION("""COMPUTED_VALUE"""),"1920917870000")</f>
        <v>1920917870000</v>
      </c>
      <c r="N553" s="1" t="str">
        <f ca="1">IFERROR(__xludf.DUMMYFUNCTION("""COMPUTED_VALUE"""),"EEEF PROFA AMERICA LEAO CONDURU")</f>
        <v>EEEF PROFA AMERICA LEAO CONDURU</v>
      </c>
      <c r="O553" s="1"/>
      <c r="P553" s="1"/>
      <c r="Q553" s="1" t="s">
        <v>559</v>
      </c>
    </row>
    <row r="554" spans="1:17" x14ac:dyDescent="0.25">
      <c r="A554" s="2" t="str">
        <f ca="1">IFERROR(__xludf.DUMMYFUNCTION("""COMPUTED_VALUE"""),"REG DE INTEGRA DO RIO CAITE")</f>
        <v>REG DE INTEGRA DO RIO CAITE</v>
      </c>
      <c r="B554" s="1" t="str">
        <f ca="1">IFERROR(__xludf.DUMMYFUNCTION("""COMPUTED_VALUE"""),"DRE CAPANEMA")</f>
        <v>DRE CAPANEMA</v>
      </c>
      <c r="C554" s="2" t="str">
        <f ca="1">IFERROR(__xludf.DUMMYFUNCTION("""COMPUTED_VALUE"""),"DRE - CAPANEMA")</f>
        <v>DRE - CAPANEMA</v>
      </c>
      <c r="D554" s="1"/>
      <c r="E554" s="2" t="str">
        <f ca="1">IFERROR(__xludf.DUMMYFUNCTION("""COMPUTED_VALUE"""),"DRE - CAPANEMA")</f>
        <v>DRE - CAPANEMA</v>
      </c>
      <c r="F554" s="1">
        <f ca="1">IFERROR(__xludf.DUMMYFUNCTION("""COMPUTED_VALUE"""),3)</f>
        <v>3</v>
      </c>
      <c r="G554" s="1" t="str">
        <f ca="1">IFERROR(__xludf.DUMMYFUNCTION("""COMPUTED_VALUE"""),"DRE CAPANEMA")</f>
        <v>DRE CAPANEMA</v>
      </c>
      <c r="H554" s="1" t="str">
        <f ca="1">IFERROR(__xludf.DUMMYFUNCTION("""COMPUTED_VALUE"""),"14A URE - CAPANEMA")</f>
        <v>14A URE - CAPANEMA</v>
      </c>
      <c r="I554" s="1"/>
      <c r="J554" s="1" t="str">
        <f ca="1">IFERROR(__xludf.DUMMYFUNCTION("""COMPUTED_VALUE"""),"CAPANEMA")</f>
        <v>CAPANEMA</v>
      </c>
      <c r="K554" s="1">
        <f ca="1">IFERROR(__xludf.DUMMYFUNCTION("""COMPUTED_VALUE"""),15059510)</f>
        <v>15059510</v>
      </c>
      <c r="L554" s="2" t="str">
        <f ca="1">IFERROR(__xludf.DUMMYFUNCTION("""COMPUTED_VALUE"""),"001920931620000")</f>
        <v>001920931620000</v>
      </c>
      <c r="M554" s="2" t="str">
        <f ca="1">IFERROR(__xludf.DUMMYFUNCTION("""COMPUTED_VALUE"""),"1920931620000")</f>
        <v>1920931620000</v>
      </c>
      <c r="N554" s="1" t="str">
        <f ca="1">IFERROR(__xludf.DUMMYFUNCTION("""COMPUTED_VALUE"""),"EEEF SAO PIO X")</f>
        <v>EEEF SAO PIO X</v>
      </c>
      <c r="O554" s="1"/>
      <c r="P554" s="1"/>
      <c r="Q554" s="1" t="s">
        <v>559</v>
      </c>
    </row>
    <row r="555" spans="1:17" x14ac:dyDescent="0.25">
      <c r="A555" s="2" t="str">
        <f ca="1">IFERROR(__xludf.DUMMYFUNCTION("""COMPUTED_VALUE"""),"REG DE INTEGRA DO RIO CAITE")</f>
        <v>REG DE INTEGRA DO RIO CAITE</v>
      </c>
      <c r="B555" s="1" t="str">
        <f ca="1">IFERROR(__xludf.DUMMYFUNCTION("""COMPUTED_VALUE"""),"DRE CAPANEMA")</f>
        <v>DRE CAPANEMA</v>
      </c>
      <c r="C555" s="2" t="str">
        <f ca="1">IFERROR(__xludf.DUMMYFUNCTION("""COMPUTED_VALUE"""),"DRE - CAPANEMA")</f>
        <v>DRE - CAPANEMA</v>
      </c>
      <c r="D555" s="1"/>
      <c r="E555" s="2" t="str">
        <f ca="1">IFERROR(__xludf.DUMMYFUNCTION("""COMPUTED_VALUE"""),"DRE - CAPANEMA")</f>
        <v>DRE - CAPANEMA</v>
      </c>
      <c r="F555" s="1">
        <f ca="1">IFERROR(__xludf.DUMMYFUNCTION("""COMPUTED_VALUE"""),3)</f>
        <v>3</v>
      </c>
      <c r="G555" s="1" t="str">
        <f ca="1">IFERROR(__xludf.DUMMYFUNCTION("""COMPUTED_VALUE"""),"DRE CAPANEMA")</f>
        <v>DRE CAPANEMA</v>
      </c>
      <c r="H555" s="1" t="str">
        <f ca="1">IFERROR(__xludf.DUMMYFUNCTION("""COMPUTED_VALUE"""),"14A URE - CAPANEMA")</f>
        <v>14A URE - CAPANEMA</v>
      </c>
      <c r="I555" s="1"/>
      <c r="J555" s="1" t="str">
        <f ca="1">IFERROR(__xludf.DUMMYFUNCTION("""COMPUTED_VALUE"""),"CAPANEMA")</f>
        <v>CAPANEMA</v>
      </c>
      <c r="K555" s="1">
        <f ca="1">IFERROR(__xludf.DUMMYFUNCTION("""COMPUTED_VALUE"""),15059871)</f>
        <v>15059871</v>
      </c>
      <c r="L555" s="2" t="str">
        <f ca="1">IFERROR(__xludf.DUMMYFUNCTION("""COMPUTED_VALUE"""),"001920917910000")</f>
        <v>001920917910000</v>
      </c>
      <c r="M555" s="2" t="str">
        <f ca="1">IFERROR(__xludf.DUMMYFUNCTION("""COMPUTED_VALUE"""),"1920917910000")</f>
        <v>1920917910000</v>
      </c>
      <c r="N555" s="1" t="str">
        <f ca="1">IFERROR(__xludf.DUMMYFUNCTION("""COMPUTED_VALUE"""),"EEEF SILVESTRE CARNEIRO")</f>
        <v>EEEF SILVESTRE CARNEIRO</v>
      </c>
      <c r="O555" s="1"/>
      <c r="P555" s="1"/>
      <c r="Q555" s="1" t="s">
        <v>559</v>
      </c>
    </row>
    <row r="556" spans="1:17" x14ac:dyDescent="0.25">
      <c r="A556" s="2" t="str">
        <f ca="1">IFERROR(__xludf.DUMMYFUNCTION("""COMPUTED_VALUE"""),"REG DE INTEGRA DO RIO CAITE")</f>
        <v>REG DE INTEGRA DO RIO CAITE</v>
      </c>
      <c r="B556" s="1" t="str">
        <f ca="1">IFERROR(__xludf.DUMMYFUNCTION("""COMPUTED_VALUE"""),"DRE CAPANEMA")</f>
        <v>DRE CAPANEMA</v>
      </c>
      <c r="C556" s="2" t="str">
        <f ca="1">IFERROR(__xludf.DUMMYFUNCTION("""COMPUTED_VALUE"""),"DRE - CAPANEMA")</f>
        <v>DRE - CAPANEMA</v>
      </c>
      <c r="D556" s="1"/>
      <c r="E556" s="2" t="str">
        <f ca="1">IFERROR(__xludf.DUMMYFUNCTION("""COMPUTED_VALUE"""),"DRE - CAPANEMA")</f>
        <v>DRE - CAPANEMA</v>
      </c>
      <c r="F556" s="1">
        <f ca="1">IFERROR(__xludf.DUMMYFUNCTION("""COMPUTED_VALUE"""),3)</f>
        <v>3</v>
      </c>
      <c r="G556" s="1" t="str">
        <f ca="1">IFERROR(__xludf.DUMMYFUNCTION("""COMPUTED_VALUE"""),"DRE CAPANEMA")</f>
        <v>DRE CAPANEMA</v>
      </c>
      <c r="H556" s="1" t="str">
        <f ca="1">IFERROR(__xludf.DUMMYFUNCTION("""COMPUTED_VALUE"""),"14A URE - CAPANEMA")</f>
        <v>14A URE - CAPANEMA</v>
      </c>
      <c r="I556" s="1"/>
      <c r="J556" s="1" t="str">
        <f ca="1">IFERROR(__xludf.DUMMYFUNCTION("""COMPUTED_VALUE"""),"CAPANEMA")</f>
        <v>CAPANEMA</v>
      </c>
      <c r="K556" s="1">
        <f ca="1">IFERROR(__xludf.DUMMYFUNCTION("""COMPUTED_VALUE"""),15059634)</f>
        <v>15059634</v>
      </c>
      <c r="L556" s="2" t="str">
        <f ca="1">IFERROR(__xludf.DUMMYFUNCTION("""COMPUTED_VALUE"""),"001920917860000")</f>
        <v>001920917860000</v>
      </c>
      <c r="M556" s="2" t="str">
        <f ca="1">IFERROR(__xludf.DUMMYFUNCTION("""COMPUTED_VALUE"""),"1920917860000")</f>
        <v>1920917860000</v>
      </c>
      <c r="N556" s="1" t="str">
        <f ca="1">IFERROR(__xludf.DUMMYFUNCTION("""COMPUTED_VALUE"""),"EEEFM DOM JOAO VI")</f>
        <v>EEEFM DOM JOAO VI</v>
      </c>
      <c r="O556" s="1"/>
      <c r="P556" s="1"/>
      <c r="Q556" s="1" t="s">
        <v>559</v>
      </c>
    </row>
    <row r="557" spans="1:17" x14ac:dyDescent="0.25">
      <c r="A557" s="2" t="str">
        <f ca="1">IFERROR(__xludf.DUMMYFUNCTION("""COMPUTED_VALUE"""),"REG DE INTEGRA DO RIO CAITE")</f>
        <v>REG DE INTEGRA DO RIO CAITE</v>
      </c>
      <c r="B557" s="1" t="str">
        <f ca="1">IFERROR(__xludf.DUMMYFUNCTION("""COMPUTED_VALUE"""),"DRE CAPANEMA")</f>
        <v>DRE CAPANEMA</v>
      </c>
      <c r="C557" s="2" t="str">
        <f ca="1">IFERROR(__xludf.DUMMYFUNCTION("""COMPUTED_VALUE"""),"DRE - CAPANEMA")</f>
        <v>DRE - CAPANEMA</v>
      </c>
      <c r="D557" s="1"/>
      <c r="E557" s="2" t="str">
        <f ca="1">IFERROR(__xludf.DUMMYFUNCTION("""COMPUTED_VALUE"""),"DRE - CAPANEMA")</f>
        <v>DRE - CAPANEMA</v>
      </c>
      <c r="F557" s="1">
        <f ca="1">IFERROR(__xludf.DUMMYFUNCTION("""COMPUTED_VALUE"""),3)</f>
        <v>3</v>
      </c>
      <c r="G557" s="1" t="str">
        <f ca="1">IFERROR(__xludf.DUMMYFUNCTION("""COMPUTED_VALUE"""),"DRE CAPANEMA")</f>
        <v>DRE CAPANEMA</v>
      </c>
      <c r="H557" s="1" t="str">
        <f ca="1">IFERROR(__xludf.DUMMYFUNCTION("""COMPUTED_VALUE"""),"14A URE - CAPANEMA")</f>
        <v>14A URE - CAPANEMA</v>
      </c>
      <c r="I557" s="1"/>
      <c r="J557" s="1" t="str">
        <f ca="1">IFERROR(__xludf.DUMMYFUNCTION("""COMPUTED_VALUE"""),"CAPANEMA")</f>
        <v>CAPANEMA</v>
      </c>
      <c r="K557" s="1">
        <f ca="1">IFERROR(__xludf.DUMMYFUNCTION("""COMPUTED_VALUE"""),15059642)</f>
        <v>15059642</v>
      </c>
      <c r="L557" s="2" t="str">
        <f ca="1">IFERROR(__xludf.DUMMYFUNCTION("""COMPUTED_VALUE"""),"001920917880000")</f>
        <v>001920917880000</v>
      </c>
      <c r="M557" s="2" t="str">
        <f ca="1">IFERROR(__xludf.DUMMYFUNCTION("""COMPUTED_VALUE"""),"1920917880000")</f>
        <v>1920917880000</v>
      </c>
      <c r="N557" s="1" t="str">
        <f ca="1">IFERROR(__xludf.DUMMYFUNCTION("""COMPUTED_VALUE"""),"EEEFM JOAO SANTOS")</f>
        <v>EEEFM JOAO SANTOS</v>
      </c>
      <c r="O557" s="1"/>
      <c r="P557" s="1"/>
      <c r="Q557" s="1" t="s">
        <v>559</v>
      </c>
    </row>
    <row r="558" spans="1:17" x14ac:dyDescent="0.25">
      <c r="A558" s="2" t="str">
        <f ca="1">IFERROR(__xludf.DUMMYFUNCTION("""COMPUTED_VALUE"""),"REG DE INTEGRA DO RIO CAITE")</f>
        <v>REG DE INTEGRA DO RIO CAITE</v>
      </c>
      <c r="B558" s="1" t="str">
        <f ca="1">IFERROR(__xludf.DUMMYFUNCTION("""COMPUTED_VALUE"""),"DRE CAPANEMA")</f>
        <v>DRE CAPANEMA</v>
      </c>
      <c r="C558" s="2" t="str">
        <f ca="1">IFERROR(__xludf.DUMMYFUNCTION("""COMPUTED_VALUE"""),"DRE - CAPANEMA")</f>
        <v>DRE - CAPANEMA</v>
      </c>
      <c r="D558" s="1"/>
      <c r="E558" s="2" t="str">
        <f ca="1">IFERROR(__xludf.DUMMYFUNCTION("""COMPUTED_VALUE"""),"DRE - CAPANEMA")</f>
        <v>DRE - CAPANEMA</v>
      </c>
      <c r="F558" s="1">
        <f ca="1">IFERROR(__xludf.DUMMYFUNCTION("""COMPUTED_VALUE"""),3)</f>
        <v>3</v>
      </c>
      <c r="G558" s="1" t="str">
        <f ca="1">IFERROR(__xludf.DUMMYFUNCTION("""COMPUTED_VALUE"""),"DRE CAPANEMA")</f>
        <v>DRE CAPANEMA</v>
      </c>
      <c r="H558" s="1" t="str">
        <f ca="1">IFERROR(__xludf.DUMMYFUNCTION("""COMPUTED_VALUE"""),"14A URE - CAPANEMA")</f>
        <v>14A URE - CAPANEMA</v>
      </c>
      <c r="I558" s="1"/>
      <c r="J558" s="1" t="str">
        <f ca="1">IFERROR(__xludf.DUMMYFUNCTION("""COMPUTED_VALUE"""),"CAPANEMA")</f>
        <v>CAPANEMA</v>
      </c>
      <c r="K558" s="1">
        <f ca="1">IFERROR(__xludf.DUMMYFUNCTION("""COMPUTED_VALUE"""),15533255)</f>
        <v>15533255</v>
      </c>
      <c r="L558" s="2" t="str">
        <f ca="1">IFERROR(__xludf.DUMMYFUNCTION("""COMPUTED_VALUE"""),"001920929470000")</f>
        <v>001920929470000</v>
      </c>
      <c r="M558" s="2" t="str">
        <f ca="1">IFERROR(__xludf.DUMMYFUNCTION("""COMPUTED_VALUE"""),"1920929470000")</f>
        <v>1920929470000</v>
      </c>
      <c r="N558" s="1" t="str">
        <f ca="1">IFERROR(__xludf.DUMMYFUNCTION("""COMPUTED_VALUE"""),"EEEFM MESTRE LUCINDO")</f>
        <v>EEEFM MESTRE LUCINDO</v>
      </c>
      <c r="O558" s="1"/>
      <c r="P558" s="1"/>
      <c r="Q558" s="1" t="s">
        <v>559</v>
      </c>
    </row>
    <row r="559" spans="1:17" x14ac:dyDescent="0.25">
      <c r="A559" s="2" t="str">
        <f ca="1">IFERROR(__xludf.DUMMYFUNCTION("""COMPUTED_VALUE"""),"REG DE INTEGRA DO RIO CAITE")</f>
        <v>REG DE INTEGRA DO RIO CAITE</v>
      </c>
      <c r="B559" s="1" t="str">
        <f ca="1">IFERROR(__xludf.DUMMYFUNCTION("""COMPUTED_VALUE"""),"DRE CAPANEMA")</f>
        <v>DRE CAPANEMA</v>
      </c>
      <c r="C559" s="2" t="str">
        <f ca="1">IFERROR(__xludf.DUMMYFUNCTION("""COMPUTED_VALUE"""),"DRE - CAPANEMA")</f>
        <v>DRE - CAPANEMA</v>
      </c>
      <c r="D559" s="1"/>
      <c r="E559" s="2" t="str">
        <f ca="1">IFERROR(__xludf.DUMMYFUNCTION("""COMPUTED_VALUE"""),"DRE - CAPANEMA")</f>
        <v>DRE - CAPANEMA</v>
      </c>
      <c r="F559" s="1">
        <f ca="1">IFERROR(__xludf.DUMMYFUNCTION("""COMPUTED_VALUE"""),3)</f>
        <v>3</v>
      </c>
      <c r="G559" s="1" t="str">
        <f ca="1">IFERROR(__xludf.DUMMYFUNCTION("""COMPUTED_VALUE"""),"DRE CAPANEMA")</f>
        <v>DRE CAPANEMA</v>
      </c>
      <c r="H559" s="1" t="str">
        <f ca="1">IFERROR(__xludf.DUMMYFUNCTION("""COMPUTED_VALUE"""),"14A URE - CAPANEMA")</f>
        <v>14A URE - CAPANEMA</v>
      </c>
      <c r="I559" s="1"/>
      <c r="J559" s="1" t="str">
        <f ca="1">IFERROR(__xludf.DUMMYFUNCTION("""COMPUTED_VALUE"""),"CAPANEMA")</f>
        <v>CAPANEMA</v>
      </c>
      <c r="K559" s="1">
        <f ca="1">IFERROR(__xludf.DUMMYFUNCTION("""COMPUTED_VALUE"""),15059650)</f>
        <v>15059650</v>
      </c>
      <c r="L559" s="2" t="str">
        <f ca="1">IFERROR(__xludf.DUMMYFUNCTION("""COMPUTED_VALUE"""),"001920917890000")</f>
        <v>001920917890000</v>
      </c>
      <c r="M559" s="2" t="str">
        <f ca="1">IFERROR(__xludf.DUMMYFUNCTION("""COMPUTED_VALUE"""),"1920917890000")</f>
        <v>1920917890000</v>
      </c>
      <c r="N559" s="1" t="str">
        <f ca="1">IFERROR(__xludf.DUMMYFUNCTION("""COMPUTED_VALUE"""),"EEEFM PADRE SALES")</f>
        <v>EEEFM PADRE SALES</v>
      </c>
      <c r="O559" s="1"/>
      <c r="P559" s="1"/>
      <c r="Q559" s="1" t="s">
        <v>559</v>
      </c>
    </row>
    <row r="560" spans="1:17" x14ac:dyDescent="0.25">
      <c r="A560" s="2" t="str">
        <f ca="1">IFERROR(__xludf.DUMMYFUNCTION("""COMPUTED_VALUE"""),"REG DE INTEGRA DO RIO CAITE")</f>
        <v>REG DE INTEGRA DO RIO CAITE</v>
      </c>
      <c r="B560" s="1" t="str">
        <f ca="1">IFERROR(__xludf.DUMMYFUNCTION("""COMPUTED_VALUE"""),"DRE CAPANEMA")</f>
        <v>DRE CAPANEMA</v>
      </c>
      <c r="C560" s="2" t="str">
        <f ca="1">IFERROR(__xludf.DUMMYFUNCTION("""COMPUTED_VALUE"""),"DRE - CAPANEMA")</f>
        <v>DRE - CAPANEMA</v>
      </c>
      <c r="D560" s="1"/>
      <c r="E560" s="2" t="str">
        <f ca="1">IFERROR(__xludf.DUMMYFUNCTION("""COMPUTED_VALUE"""),"DRE - CAPANEMA")</f>
        <v>DRE - CAPANEMA</v>
      </c>
      <c r="F560" s="1">
        <f ca="1">IFERROR(__xludf.DUMMYFUNCTION("""COMPUTED_VALUE"""),3)</f>
        <v>3</v>
      </c>
      <c r="G560" s="1" t="str">
        <f ca="1">IFERROR(__xludf.DUMMYFUNCTION("""COMPUTED_VALUE"""),"DRE CAPANEMA")</f>
        <v>DRE CAPANEMA</v>
      </c>
      <c r="H560" s="1" t="str">
        <f ca="1">IFERROR(__xludf.DUMMYFUNCTION("""COMPUTED_VALUE"""),"14A URE - CAPANEMA")</f>
        <v>14A URE - CAPANEMA</v>
      </c>
      <c r="I560" s="1"/>
      <c r="J560" s="1" t="str">
        <f ca="1">IFERROR(__xludf.DUMMYFUNCTION("""COMPUTED_VALUE"""),"CAPANEMA")</f>
        <v>CAPANEMA</v>
      </c>
      <c r="K560" s="1">
        <f ca="1">IFERROR(__xludf.DUMMYFUNCTION("""COMPUTED_VALUE"""),15060306)</f>
        <v>15060306</v>
      </c>
      <c r="L560" s="2" t="str">
        <f ca="1">IFERROR(__xludf.DUMMYFUNCTION("""COMPUTED_VALUE"""),"001920917900000")</f>
        <v>001920917900000</v>
      </c>
      <c r="M560" s="2" t="str">
        <f ca="1">IFERROR(__xludf.DUMMYFUNCTION("""COMPUTED_VALUE"""),"1920917900000")</f>
        <v>1920917900000</v>
      </c>
      <c r="N560" s="1" t="str">
        <f ca="1">IFERROR(__xludf.DUMMYFUNCTION("""COMPUTED_VALUE"""),"EEEFM PROF CESAR PINHEIRO")</f>
        <v>EEEFM PROF CESAR PINHEIRO</v>
      </c>
      <c r="O560" s="1"/>
      <c r="P560" s="1"/>
      <c r="Q560" s="1" t="s">
        <v>559</v>
      </c>
    </row>
    <row r="561" spans="1:17" x14ac:dyDescent="0.25">
      <c r="A561" s="2" t="str">
        <f ca="1">IFERROR(__xludf.DUMMYFUNCTION("""COMPUTED_VALUE"""),"REG DE INTEGRA DO RIO CAITE")</f>
        <v>REG DE INTEGRA DO RIO CAITE</v>
      </c>
      <c r="B561" s="1" t="str">
        <f ca="1">IFERROR(__xludf.DUMMYFUNCTION("""COMPUTED_VALUE"""),"DRE CAPANEMA")</f>
        <v>DRE CAPANEMA</v>
      </c>
      <c r="C561" s="2" t="str">
        <f ca="1">IFERROR(__xludf.DUMMYFUNCTION("""COMPUTED_VALUE"""),"DRE - CAPANEMA")</f>
        <v>DRE - CAPANEMA</v>
      </c>
      <c r="D561" s="1"/>
      <c r="E561" s="2" t="str">
        <f ca="1">IFERROR(__xludf.DUMMYFUNCTION("""COMPUTED_VALUE"""),"DRE - CAPANEMA")</f>
        <v>DRE - CAPANEMA</v>
      </c>
      <c r="F561" s="1">
        <f ca="1">IFERROR(__xludf.DUMMYFUNCTION("""COMPUTED_VALUE"""),3)</f>
        <v>3</v>
      </c>
      <c r="G561" s="1" t="str">
        <f ca="1">IFERROR(__xludf.DUMMYFUNCTION("""COMPUTED_VALUE"""),"DRE CAPANEMA")</f>
        <v>DRE CAPANEMA</v>
      </c>
      <c r="H561" s="1" t="str">
        <f ca="1">IFERROR(__xludf.DUMMYFUNCTION("""COMPUTED_VALUE"""),"14A URE - CAPANEMA")</f>
        <v>14A URE - CAPANEMA</v>
      </c>
      <c r="I561" s="1"/>
      <c r="J561" s="1" t="str">
        <f ca="1">IFERROR(__xludf.DUMMYFUNCTION("""COMPUTED_VALUE"""),"CAPANEMA")</f>
        <v>CAPANEMA</v>
      </c>
      <c r="K561" s="1">
        <f ca="1">IFERROR(__xludf.DUMMYFUNCTION("""COMPUTED_VALUE"""),15059677)</f>
        <v>15059677</v>
      </c>
      <c r="L561" s="2" t="str">
        <f ca="1">IFERROR(__xludf.DUMMYFUNCTION("""COMPUTED_VALUE"""),"001920917980000")</f>
        <v>001920917980000</v>
      </c>
      <c r="M561" s="2" t="str">
        <f ca="1">IFERROR(__xludf.DUMMYFUNCTION("""COMPUTED_VALUE"""),"1920917980000")</f>
        <v>1920917980000</v>
      </c>
      <c r="N561" s="1" t="str">
        <f ca="1">IFERROR(__xludf.DUMMYFUNCTION("""COMPUTED_VALUE"""),"EEEFM PROF OLIVEIRA BRITO")</f>
        <v>EEEFM PROF OLIVEIRA BRITO</v>
      </c>
      <c r="O561" s="1"/>
      <c r="P561" s="1"/>
      <c r="Q561" s="1" t="s">
        <v>559</v>
      </c>
    </row>
    <row r="562" spans="1:17" x14ac:dyDescent="0.25">
      <c r="A562" s="2" t="str">
        <f ca="1">IFERROR(__xludf.DUMMYFUNCTION("""COMPUTED_VALUE"""),"REG DE INTEGRA DO RIO CAITE")</f>
        <v>REG DE INTEGRA DO RIO CAITE</v>
      </c>
      <c r="B562" s="1" t="str">
        <f ca="1">IFERROR(__xludf.DUMMYFUNCTION("""COMPUTED_VALUE"""),"DRE CAPANEMA")</f>
        <v>DRE CAPANEMA</v>
      </c>
      <c r="C562" s="2" t="str">
        <f ca="1">IFERROR(__xludf.DUMMYFUNCTION("""COMPUTED_VALUE"""),"DRE - CAPANEMA")</f>
        <v>DRE - CAPANEMA</v>
      </c>
      <c r="D562" s="1"/>
      <c r="E562" s="2" t="str">
        <f ca="1">IFERROR(__xludf.DUMMYFUNCTION("""COMPUTED_VALUE"""),"DRE - CAPANEMA")</f>
        <v>DRE - CAPANEMA</v>
      </c>
      <c r="F562" s="1">
        <f ca="1">IFERROR(__xludf.DUMMYFUNCTION("""COMPUTED_VALUE"""),3)</f>
        <v>3</v>
      </c>
      <c r="G562" s="1" t="str">
        <f ca="1">IFERROR(__xludf.DUMMYFUNCTION("""COMPUTED_VALUE"""),"DRE CAPANEMA")</f>
        <v>DRE CAPANEMA</v>
      </c>
      <c r="H562" s="1" t="str">
        <f ca="1">IFERROR(__xludf.DUMMYFUNCTION("""COMPUTED_VALUE"""),"14A URE - CAPANEMA")</f>
        <v>14A URE - CAPANEMA</v>
      </c>
      <c r="I562" s="1"/>
      <c r="J562" s="1" t="str">
        <f ca="1">IFERROR(__xludf.DUMMYFUNCTION("""COMPUTED_VALUE"""),"CAPANEMA")</f>
        <v>CAPANEMA</v>
      </c>
      <c r="K562" s="1">
        <f ca="1">IFERROR(__xludf.DUMMYFUNCTION("""COMPUTED_VALUE"""),15060438)</f>
        <v>15060438</v>
      </c>
      <c r="L562" s="2" t="str">
        <f ca="1">IFERROR(__xludf.DUMMYFUNCTION("""COMPUTED_VALUE"""),"001920917850000")</f>
        <v>001920917850000</v>
      </c>
      <c r="M562" s="2" t="str">
        <f ca="1">IFERROR(__xludf.DUMMYFUNCTION("""COMPUTED_VALUE"""),"1920917850000")</f>
        <v>1920917850000</v>
      </c>
      <c r="N562" s="1" t="str">
        <f ca="1">IFERROR(__xludf.DUMMYFUNCTION("""COMPUTED_VALUE"""),"EEEFM PROFA APOLONIA PINHEIRO DOS SANTOS")</f>
        <v>EEEFM PROFA APOLONIA PINHEIRO DOS SANTOS</v>
      </c>
      <c r="O562" s="1"/>
      <c r="P562" s="1"/>
      <c r="Q562" s="1" t="s">
        <v>559</v>
      </c>
    </row>
    <row r="563" spans="1:17" x14ac:dyDescent="0.25">
      <c r="A563" s="2" t="str">
        <f ca="1">IFERROR(__xludf.DUMMYFUNCTION("""COMPUTED_VALUE"""),"REG DE INTEGRA DO RIO CAITE")</f>
        <v>REG DE INTEGRA DO RIO CAITE</v>
      </c>
      <c r="B563" s="1" t="str">
        <f ca="1">IFERROR(__xludf.DUMMYFUNCTION("""COMPUTED_VALUE"""),"DRE CAPANEMA")</f>
        <v>DRE CAPANEMA</v>
      </c>
      <c r="C563" s="2" t="str">
        <f ca="1">IFERROR(__xludf.DUMMYFUNCTION("""COMPUTED_VALUE"""),"DRE - CAPANEMA")</f>
        <v>DRE - CAPANEMA</v>
      </c>
      <c r="D563" s="1"/>
      <c r="E563" s="2" t="str">
        <f ca="1">IFERROR(__xludf.DUMMYFUNCTION("""COMPUTED_VALUE"""),"DRE - CAPANEMA")</f>
        <v>DRE - CAPANEMA</v>
      </c>
      <c r="F563" s="1">
        <f ca="1">IFERROR(__xludf.DUMMYFUNCTION("""COMPUTED_VALUE"""),3)</f>
        <v>3</v>
      </c>
      <c r="G563" s="1" t="str">
        <f ca="1">IFERROR(__xludf.DUMMYFUNCTION("""COMPUTED_VALUE"""),"DRE CAPANEMA")</f>
        <v>DRE CAPANEMA</v>
      </c>
      <c r="H563" s="1" t="str">
        <f ca="1">IFERROR(__xludf.DUMMYFUNCTION("""COMPUTED_VALUE"""),"14A URE - CAPANEMA")</f>
        <v>14A URE - CAPANEMA</v>
      </c>
      <c r="I563" s="1"/>
      <c r="J563" s="1" t="str">
        <f ca="1">IFERROR(__xludf.DUMMYFUNCTION("""COMPUTED_VALUE"""),"CAPANEMA")</f>
        <v>CAPANEMA</v>
      </c>
      <c r="K563" s="1">
        <f ca="1">IFERROR(__xludf.DUMMYFUNCTION("""COMPUTED_VALUE"""),15059588)</f>
        <v>15059588</v>
      </c>
      <c r="L563" s="2" t="str">
        <f ca="1">IFERROR(__xludf.DUMMYFUNCTION("""COMPUTED_VALUE"""),"001920917840000")</f>
        <v>001920917840000</v>
      </c>
      <c r="M563" s="2" t="str">
        <f ca="1">IFERROR(__xludf.DUMMYFUNCTION("""COMPUTED_VALUE"""),"1920917840000")</f>
        <v>1920917840000</v>
      </c>
      <c r="N563" s="1" t="str">
        <f ca="1">IFERROR(__xludf.DUMMYFUNCTION("""COMPUTED_VALUE"""),"EEEFM PROFA MARIA AMELIA DE VASCONCELOS")</f>
        <v>EEEFM PROFA MARIA AMELIA DE VASCONCELOS</v>
      </c>
      <c r="O563" s="1"/>
      <c r="P563" s="1"/>
      <c r="Q563" s="1" t="s">
        <v>559</v>
      </c>
    </row>
    <row r="564" spans="1:17" x14ac:dyDescent="0.25">
      <c r="A564" s="2" t="str">
        <f ca="1">IFERROR(__xludf.DUMMYFUNCTION("""COMPUTED_VALUE"""),"REG DE INTEGRA DO RIO CAITE")</f>
        <v>REG DE INTEGRA DO RIO CAITE</v>
      </c>
      <c r="B564" s="1" t="str">
        <f ca="1">IFERROR(__xludf.DUMMYFUNCTION("""COMPUTED_VALUE"""),"DRE CAPANEMA")</f>
        <v>DRE CAPANEMA</v>
      </c>
      <c r="C564" s="2" t="str">
        <f ca="1">IFERROR(__xludf.DUMMYFUNCTION("""COMPUTED_VALUE"""),"DRE - CAPANEMA")</f>
        <v>DRE - CAPANEMA</v>
      </c>
      <c r="D564" s="1"/>
      <c r="E564" s="2" t="str">
        <f ca="1">IFERROR(__xludf.DUMMYFUNCTION("""COMPUTED_VALUE"""),"DRE - CAPANEMA")</f>
        <v>DRE - CAPANEMA</v>
      </c>
      <c r="F564" s="1">
        <f ca="1">IFERROR(__xludf.DUMMYFUNCTION("""COMPUTED_VALUE"""),3)</f>
        <v>3</v>
      </c>
      <c r="G564" s="1" t="str">
        <f ca="1">IFERROR(__xludf.DUMMYFUNCTION("""COMPUTED_VALUE"""),"DRE CAPANEMA")</f>
        <v>DRE CAPANEMA</v>
      </c>
      <c r="H564" s="1" t="str">
        <f ca="1">IFERROR(__xludf.DUMMYFUNCTION("""COMPUTED_VALUE"""),"14A URE - CAPANEMA")</f>
        <v>14A URE - CAPANEMA</v>
      </c>
      <c r="I564" s="1"/>
      <c r="J564" s="1" t="str">
        <f ca="1">IFERROR(__xludf.DUMMYFUNCTION("""COMPUTED_VALUE"""),"CAPANEMA")</f>
        <v>CAPANEMA</v>
      </c>
      <c r="K564" s="1">
        <f ca="1">IFERROR(__xludf.DUMMYFUNCTION("""COMPUTED_VALUE"""),15059731)</f>
        <v>15059731</v>
      </c>
      <c r="L564" s="2" t="str">
        <f ca="1">IFERROR(__xludf.DUMMYFUNCTION("""COMPUTED_VALUE"""),"001920924900000")</f>
        <v>001920924900000</v>
      </c>
      <c r="M564" s="2" t="str">
        <f ca="1">IFERROR(__xludf.DUMMYFUNCTION("""COMPUTED_VALUE"""),"1920924900000")</f>
        <v>1920924900000</v>
      </c>
      <c r="N564" s="1" t="str">
        <f ca="1">IFERROR(__xludf.DUMMYFUNCTION("""COMPUTED_VALUE"""),"EEEFM PROFA MARIA MIRTES SIDRIM PESSOA")</f>
        <v>EEEFM PROFA MARIA MIRTES SIDRIM PESSOA</v>
      </c>
      <c r="O564" s="1"/>
      <c r="P564" s="1"/>
      <c r="Q564" s="1" t="s">
        <v>559</v>
      </c>
    </row>
    <row r="565" spans="1:17" x14ac:dyDescent="0.25">
      <c r="A565" s="2" t="str">
        <f ca="1">IFERROR(__xludf.DUMMYFUNCTION("""COMPUTED_VALUE"""),"REG DE INTEGRA DO RIO CAITE")</f>
        <v>REG DE INTEGRA DO RIO CAITE</v>
      </c>
      <c r="B565" s="1" t="str">
        <f ca="1">IFERROR(__xludf.DUMMYFUNCTION("""COMPUTED_VALUE"""),"DRE CAPANEMA")</f>
        <v>DRE CAPANEMA</v>
      </c>
      <c r="C565" s="2" t="str">
        <f ca="1">IFERROR(__xludf.DUMMYFUNCTION("""COMPUTED_VALUE"""),"DRE - CAPANEMA")</f>
        <v>DRE - CAPANEMA</v>
      </c>
      <c r="D565" s="1"/>
      <c r="E565" s="2" t="str">
        <f ca="1">IFERROR(__xludf.DUMMYFUNCTION("""COMPUTED_VALUE"""),"DRE - CAPANEMA")</f>
        <v>DRE - CAPANEMA</v>
      </c>
      <c r="F565" s="1">
        <f ca="1">IFERROR(__xludf.DUMMYFUNCTION("""COMPUTED_VALUE"""),3)</f>
        <v>3</v>
      </c>
      <c r="G565" s="1" t="str">
        <f ca="1">IFERROR(__xludf.DUMMYFUNCTION("""COMPUTED_VALUE"""),"DRE CAPANEMA")</f>
        <v>DRE CAPANEMA</v>
      </c>
      <c r="H565" s="1" t="str">
        <f ca="1">IFERROR(__xludf.DUMMYFUNCTION("""COMPUTED_VALUE"""),"14A URE - CAPANEMA")</f>
        <v>14A URE - CAPANEMA</v>
      </c>
      <c r="I565" s="1"/>
      <c r="J565" s="1" t="str">
        <f ca="1">IFERROR(__xludf.DUMMYFUNCTION("""COMPUTED_VALUE"""),"CAPANEMA")</f>
        <v>CAPANEMA</v>
      </c>
      <c r="K565" s="1">
        <f ca="1">IFERROR(__xludf.DUMMYFUNCTION("""COMPUTED_VALUE"""),15533280)</f>
        <v>15533280</v>
      </c>
      <c r="L565" s="2" t="str">
        <f ca="1">IFERROR(__xludf.DUMMYFUNCTION("""COMPUTED_VALUE"""),"001920932090000")</f>
        <v>001920932090000</v>
      </c>
      <c r="M565" s="2" t="str">
        <f ca="1">IFERROR(__xludf.DUMMYFUNCTION("""COMPUTED_VALUE"""),"1920932090000")</f>
        <v>1920932090000</v>
      </c>
      <c r="N565" s="1" t="str">
        <f ca="1">IFERROR(__xludf.DUMMYFUNCTION("""COMPUTED_VALUE"""),"ERC APAE DE CAPANEMA")</f>
        <v>ERC APAE DE CAPANEMA</v>
      </c>
      <c r="O565" s="1"/>
      <c r="P565" s="1"/>
      <c r="Q565" s="1" t="s">
        <v>559</v>
      </c>
    </row>
    <row r="566" spans="1:17" x14ac:dyDescent="0.25">
      <c r="A566" s="2" t="str">
        <f ca="1">IFERROR(__xludf.DUMMYFUNCTION("""COMPUTED_VALUE"""),"REG DE INTEGRA DO RIO CAITE")</f>
        <v>REG DE INTEGRA DO RIO CAITE</v>
      </c>
      <c r="B566" s="1" t="str">
        <f ca="1">IFERROR(__xludf.DUMMYFUNCTION("""COMPUTED_VALUE"""),"DRE CAPANEMA")</f>
        <v>DRE CAPANEMA</v>
      </c>
      <c r="C566" s="2" t="str">
        <f ca="1">IFERROR(__xludf.DUMMYFUNCTION("""COMPUTED_VALUE"""),"DRE - CAPANEMA")</f>
        <v>DRE - CAPANEMA</v>
      </c>
      <c r="D566" s="1"/>
      <c r="E566" s="2" t="str">
        <f ca="1">IFERROR(__xludf.DUMMYFUNCTION("""COMPUTED_VALUE"""),"DRE - CAPANEMA")</f>
        <v>DRE - CAPANEMA</v>
      </c>
      <c r="F566" s="1">
        <f ca="1">IFERROR(__xludf.DUMMYFUNCTION("""COMPUTED_VALUE"""),3)</f>
        <v>3</v>
      </c>
      <c r="G566" s="1" t="str">
        <f ca="1">IFERROR(__xludf.DUMMYFUNCTION("""COMPUTED_VALUE"""),"DRE CAPANEMA")</f>
        <v>DRE CAPANEMA</v>
      </c>
      <c r="H566" s="1" t="str">
        <f ca="1">IFERROR(__xludf.DUMMYFUNCTION("""COMPUTED_VALUE"""),"14A URE - CAPANEMA")</f>
        <v>14A URE - CAPANEMA</v>
      </c>
      <c r="I566" s="1"/>
      <c r="J566" s="1" t="str">
        <f ca="1">IFERROR(__xludf.DUMMYFUNCTION("""COMPUTED_VALUE"""),"NOVA TIMBOTEUA")</f>
        <v>NOVA TIMBOTEUA</v>
      </c>
      <c r="K566" s="1">
        <f ca="1">IFERROR(__xludf.DUMMYFUNCTION("""COMPUTED_VALUE"""),15061310)</f>
        <v>15061310</v>
      </c>
      <c r="L566" s="2" t="str">
        <f ca="1">IFERROR(__xludf.DUMMYFUNCTION("""COMPUTED_VALUE"""),"001920919180000")</f>
        <v>001920919180000</v>
      </c>
      <c r="M566" s="2" t="str">
        <f ca="1">IFERROR(__xludf.DUMMYFUNCTION("""COMPUTED_VALUE"""),"1920919180000")</f>
        <v>1920919180000</v>
      </c>
      <c r="N566" s="1" t="str">
        <f ca="1">IFERROR(__xludf.DUMMYFUNCTION("""COMPUTED_VALUE"""),"EEEM DES AUGUSTO OLIMPIO")</f>
        <v>EEEM DES AUGUSTO OLIMPIO</v>
      </c>
      <c r="O566" s="1"/>
      <c r="P566" s="1"/>
      <c r="Q566" s="1" t="s">
        <v>559</v>
      </c>
    </row>
    <row r="567" spans="1:17" x14ac:dyDescent="0.25">
      <c r="A567" s="2" t="str">
        <f ca="1">IFERROR(__xludf.DUMMYFUNCTION("""COMPUTED_VALUE"""),"REG DE INTEGRA DO RIO CAITE")</f>
        <v>REG DE INTEGRA DO RIO CAITE</v>
      </c>
      <c r="B567" s="1" t="str">
        <f ca="1">IFERROR(__xludf.DUMMYFUNCTION("""COMPUTED_VALUE"""),"DRE CAPANEMA")</f>
        <v>DRE CAPANEMA</v>
      </c>
      <c r="C567" s="2" t="str">
        <f ca="1">IFERROR(__xludf.DUMMYFUNCTION("""COMPUTED_VALUE"""),"DRE - CAPANEMA")</f>
        <v>DRE - CAPANEMA</v>
      </c>
      <c r="D567" s="1"/>
      <c r="E567" s="2" t="str">
        <f ca="1">IFERROR(__xludf.DUMMYFUNCTION("""COMPUTED_VALUE"""),"DRE - CAPANEMA")</f>
        <v>DRE - CAPANEMA</v>
      </c>
      <c r="F567" s="1">
        <f ca="1">IFERROR(__xludf.DUMMYFUNCTION("""COMPUTED_VALUE"""),3)</f>
        <v>3</v>
      </c>
      <c r="G567" s="1" t="str">
        <f ca="1">IFERROR(__xludf.DUMMYFUNCTION("""COMPUTED_VALUE"""),"DRE CAPANEMA")</f>
        <v>DRE CAPANEMA</v>
      </c>
      <c r="H567" s="1" t="str">
        <f ca="1">IFERROR(__xludf.DUMMYFUNCTION("""COMPUTED_VALUE"""),"14A URE - CAPANEMA")</f>
        <v>14A URE - CAPANEMA</v>
      </c>
      <c r="I567" s="1"/>
      <c r="J567" s="1" t="str">
        <f ca="1">IFERROR(__xludf.DUMMYFUNCTION("""COMPUTED_VALUE"""),"NOVA TIMBOTEUA")</f>
        <v>NOVA TIMBOTEUA</v>
      </c>
      <c r="K567" s="1">
        <f ca="1">IFERROR(__xludf.DUMMYFUNCTION("""COMPUTED_VALUE"""),15170241)</f>
        <v>15170241</v>
      </c>
      <c r="L567" s="2" t="str">
        <f ca="1">IFERROR(__xludf.DUMMYFUNCTION("""COMPUTED_VALUE"""),"001920919180001")</f>
        <v>001920919180001</v>
      </c>
      <c r="M567" s="2" t="str">
        <f ca="1">IFERROR(__xludf.DUMMYFUNCTION("""COMPUTED_VALUE"""),"1920919180001")</f>
        <v>1920919180001</v>
      </c>
      <c r="N567" s="1" t="str">
        <f ca="1">IFERROR(__xludf.DUMMYFUNCTION("""COMPUTED_VALUE"""),"EEEM DES. AUGUSTO OLIMPIO ANEXO I")</f>
        <v>EEEM DES. AUGUSTO OLIMPIO ANEXO I</v>
      </c>
      <c r="O567" s="1"/>
      <c r="P567" s="1"/>
      <c r="Q567" s="1" t="s">
        <v>559</v>
      </c>
    </row>
    <row r="568" spans="1:17" x14ac:dyDescent="0.25">
      <c r="A568" s="2" t="str">
        <f ca="1">IFERROR(__xludf.DUMMYFUNCTION("""COMPUTED_VALUE"""),"REG DE INTEGRA DO RIO CAPIM")</f>
        <v>REG DE INTEGRA DO RIO CAPIM</v>
      </c>
      <c r="B568" s="1" t="str">
        <f ca="1">IFERROR(__xludf.DUMMYFUNCTION("""COMPUTED_VALUE"""),"DRE CAPANEMA")</f>
        <v>DRE CAPANEMA</v>
      </c>
      <c r="C568" s="2" t="str">
        <f ca="1">IFERROR(__xludf.DUMMYFUNCTION("""COMPUTED_VALUE"""),"DRE - CAPANEMA")</f>
        <v>DRE - CAPANEMA</v>
      </c>
      <c r="D568" s="1"/>
      <c r="E568" s="2" t="str">
        <f ca="1">IFERROR(__xludf.DUMMYFUNCTION("""COMPUTED_VALUE"""),"DRE - CAPANEMA")</f>
        <v>DRE - CAPANEMA</v>
      </c>
      <c r="F568" s="1">
        <f ca="1">IFERROR(__xludf.DUMMYFUNCTION("""COMPUTED_VALUE"""),3)</f>
        <v>3</v>
      </c>
      <c r="G568" s="1" t="str">
        <f ca="1">IFERROR(__xludf.DUMMYFUNCTION("""COMPUTED_VALUE"""),"DRE CAPANEMA")</f>
        <v>DRE CAPANEMA</v>
      </c>
      <c r="H568" s="1" t="str">
        <f ca="1">IFERROR(__xludf.DUMMYFUNCTION("""COMPUTED_VALUE"""),"14A URE - CAPANEMA")</f>
        <v>14A URE - CAPANEMA</v>
      </c>
      <c r="I568" s="1"/>
      <c r="J568" s="1" t="str">
        <f ca="1">IFERROR(__xludf.DUMMYFUNCTION("""COMPUTED_VALUE"""),"OUREM")</f>
        <v>OUREM</v>
      </c>
      <c r="K568" s="1">
        <f ca="1">IFERROR(__xludf.DUMMYFUNCTION("""COMPUTED_VALUE"""),15093620)</f>
        <v>15093620</v>
      </c>
      <c r="L568" s="2" t="str">
        <f ca="1">IFERROR(__xludf.DUMMYFUNCTION("""COMPUTED_VALUE"""),"001920915670000")</f>
        <v>001920915670000</v>
      </c>
      <c r="M568" s="2" t="str">
        <f ca="1">IFERROR(__xludf.DUMMYFUNCTION("""COMPUTED_VALUE"""),"1920915670000")</f>
        <v>1920915670000</v>
      </c>
      <c r="N568" s="1" t="str">
        <f ca="1">IFERROR(__xludf.DUMMYFUNCTION("""COMPUTED_VALUE"""),"EEEF PADRE ANGELO MORETTI")</f>
        <v>EEEF PADRE ANGELO MORETTI</v>
      </c>
      <c r="O568" s="1"/>
      <c r="P568" s="1"/>
      <c r="Q568" s="1" t="s">
        <v>559</v>
      </c>
    </row>
    <row r="569" spans="1:17" x14ac:dyDescent="0.25">
      <c r="A569" s="2" t="str">
        <f ca="1">IFERROR(__xludf.DUMMYFUNCTION("""COMPUTED_VALUE"""),"REG DE INTEGRA DO RIO CAPIM")</f>
        <v>REG DE INTEGRA DO RIO CAPIM</v>
      </c>
      <c r="B569" s="1" t="str">
        <f ca="1">IFERROR(__xludf.DUMMYFUNCTION("""COMPUTED_VALUE"""),"DRE CAPANEMA")</f>
        <v>DRE CAPANEMA</v>
      </c>
      <c r="C569" s="2" t="str">
        <f ca="1">IFERROR(__xludf.DUMMYFUNCTION("""COMPUTED_VALUE"""),"DRE - CAPANEMA")</f>
        <v>DRE - CAPANEMA</v>
      </c>
      <c r="D569" s="1"/>
      <c r="E569" s="2" t="str">
        <f ca="1">IFERROR(__xludf.DUMMYFUNCTION("""COMPUTED_VALUE"""),"DRE - CAPANEMA")</f>
        <v>DRE - CAPANEMA</v>
      </c>
      <c r="F569" s="1">
        <f ca="1">IFERROR(__xludf.DUMMYFUNCTION("""COMPUTED_VALUE"""),3)</f>
        <v>3</v>
      </c>
      <c r="G569" s="1" t="str">
        <f ca="1">IFERROR(__xludf.DUMMYFUNCTION("""COMPUTED_VALUE"""),"DRE CAPANEMA")</f>
        <v>DRE CAPANEMA</v>
      </c>
      <c r="H569" s="1" t="str">
        <f ca="1">IFERROR(__xludf.DUMMYFUNCTION("""COMPUTED_VALUE"""),"14A URE - CAPANEMA")</f>
        <v>14A URE - CAPANEMA</v>
      </c>
      <c r="I569" s="1"/>
      <c r="J569" s="1" t="str">
        <f ca="1">IFERROR(__xludf.DUMMYFUNCTION("""COMPUTED_VALUE"""),"OUREM")</f>
        <v>OUREM</v>
      </c>
      <c r="K569" s="1">
        <f ca="1">IFERROR(__xludf.DUMMYFUNCTION("""COMPUTED_VALUE"""),15093581)</f>
        <v>15093581</v>
      </c>
      <c r="L569" s="2" t="str">
        <f ca="1">IFERROR(__xludf.DUMMYFUNCTION("""COMPUTED_VALUE"""),"001920936250000")</f>
        <v>001920936250000</v>
      </c>
      <c r="M569" s="2" t="str">
        <f ca="1">IFERROR(__xludf.DUMMYFUNCTION("""COMPUTED_VALUE"""),"1920936250000")</f>
        <v>1920936250000</v>
      </c>
      <c r="N569" s="1" t="str">
        <f ca="1">IFERROR(__xludf.DUMMYFUNCTION("""COMPUTED_VALUE"""),"EEEFM IRMA SANCHA AUGUSTA DE SOUZA E SILVA")</f>
        <v>EEEFM IRMA SANCHA AUGUSTA DE SOUZA E SILVA</v>
      </c>
      <c r="O569" s="1"/>
      <c r="P569" s="1"/>
      <c r="Q569" s="1" t="s">
        <v>559</v>
      </c>
    </row>
    <row r="570" spans="1:17" x14ac:dyDescent="0.25">
      <c r="A570" s="2" t="str">
        <f ca="1">IFERROR(__xludf.DUMMYFUNCTION("""COMPUTED_VALUE"""),"REG DE INTEGRA DO RIO CAPIM")</f>
        <v>REG DE INTEGRA DO RIO CAPIM</v>
      </c>
      <c r="B570" s="1" t="str">
        <f ca="1">IFERROR(__xludf.DUMMYFUNCTION("""COMPUTED_VALUE"""),"DRE CAPANEMA")</f>
        <v>DRE CAPANEMA</v>
      </c>
      <c r="C570" s="2" t="str">
        <f ca="1">IFERROR(__xludf.DUMMYFUNCTION("""COMPUTED_VALUE"""),"DRE - CAPANEMA")</f>
        <v>DRE - CAPANEMA</v>
      </c>
      <c r="D570" s="1"/>
      <c r="E570" s="2" t="str">
        <f ca="1">IFERROR(__xludf.DUMMYFUNCTION("""COMPUTED_VALUE"""),"DRE - CAPANEMA")</f>
        <v>DRE - CAPANEMA</v>
      </c>
      <c r="F570" s="1">
        <f ca="1">IFERROR(__xludf.DUMMYFUNCTION("""COMPUTED_VALUE"""),3)</f>
        <v>3</v>
      </c>
      <c r="G570" s="1" t="str">
        <f ca="1">IFERROR(__xludf.DUMMYFUNCTION("""COMPUTED_VALUE"""),"DRE CAPANEMA")</f>
        <v>DRE CAPANEMA</v>
      </c>
      <c r="H570" s="1" t="str">
        <f ca="1">IFERROR(__xludf.DUMMYFUNCTION("""COMPUTED_VALUE"""),"14A URE - CAPANEMA")</f>
        <v>14A URE - CAPANEMA</v>
      </c>
      <c r="I570" s="1"/>
      <c r="J570" s="1" t="str">
        <f ca="1">IFERROR(__xludf.DUMMYFUNCTION("""COMPUTED_VALUE"""),"OUREM")</f>
        <v>OUREM</v>
      </c>
      <c r="K570" s="1">
        <f ca="1">IFERROR(__xludf.DUMMYFUNCTION("""COMPUTED_VALUE"""),15093654)</f>
        <v>15093654</v>
      </c>
      <c r="L570" s="2" t="str">
        <f ca="1">IFERROR(__xludf.DUMMYFUNCTION("""COMPUTED_VALUE"""),"001920915660000")</f>
        <v>001920915660000</v>
      </c>
      <c r="M570" s="2" t="str">
        <f ca="1">IFERROR(__xludf.DUMMYFUNCTION("""COMPUTED_VALUE"""),"1920915660000")</f>
        <v>1920915660000</v>
      </c>
      <c r="N570" s="1" t="str">
        <f ca="1">IFERROR(__xludf.DUMMYFUNCTION("""COMPUTED_VALUE"""),"EEEFM PADRE ANTONIO VIEIRA")</f>
        <v>EEEFM PADRE ANTONIO VIEIRA</v>
      </c>
      <c r="O570" s="1"/>
      <c r="P570" s="1"/>
      <c r="Q570" s="1" t="s">
        <v>559</v>
      </c>
    </row>
    <row r="571" spans="1:17" x14ac:dyDescent="0.25">
      <c r="A571" s="2" t="str">
        <f ca="1">IFERROR(__xludf.DUMMYFUNCTION("""COMPUTED_VALUE"""),"REG DE INTEGRA DO RIO CAPIM")</f>
        <v>REG DE INTEGRA DO RIO CAPIM</v>
      </c>
      <c r="B571" s="1" t="str">
        <f ca="1">IFERROR(__xludf.DUMMYFUNCTION("""COMPUTED_VALUE"""),"DRE CAPANEMA")</f>
        <v>DRE CAPANEMA</v>
      </c>
      <c r="C571" s="2" t="str">
        <f ca="1">IFERROR(__xludf.DUMMYFUNCTION("""COMPUTED_VALUE"""),"DRE - CAPANEMA")</f>
        <v>DRE - CAPANEMA</v>
      </c>
      <c r="D571" s="1"/>
      <c r="E571" s="2" t="str">
        <f ca="1">IFERROR(__xludf.DUMMYFUNCTION("""COMPUTED_VALUE"""),"DRE - CAPANEMA")</f>
        <v>DRE - CAPANEMA</v>
      </c>
      <c r="F571" s="1">
        <f ca="1">IFERROR(__xludf.DUMMYFUNCTION("""COMPUTED_VALUE"""),3)</f>
        <v>3</v>
      </c>
      <c r="G571" s="1" t="str">
        <f ca="1">IFERROR(__xludf.DUMMYFUNCTION("""COMPUTED_VALUE"""),"DRE CAPANEMA")</f>
        <v>DRE CAPANEMA</v>
      </c>
      <c r="H571" s="1" t="str">
        <f ca="1">IFERROR(__xludf.DUMMYFUNCTION("""COMPUTED_VALUE"""),"14A URE - CAPANEMA")</f>
        <v>14A URE - CAPANEMA</v>
      </c>
      <c r="I571" s="1"/>
      <c r="J571" s="1" t="str">
        <f ca="1">IFERROR(__xludf.DUMMYFUNCTION("""COMPUTED_VALUE"""),"OUREM")</f>
        <v>OUREM</v>
      </c>
      <c r="K571" s="1">
        <f ca="1">IFERROR(__xludf.DUMMYFUNCTION("""COMPUTED_VALUE"""),15156672)</f>
        <v>15156672</v>
      </c>
      <c r="L571" s="2" t="str">
        <f ca="1">IFERROR(__xludf.DUMMYFUNCTION("""COMPUTED_VALUE"""),"001920937570000")</f>
        <v>001920937570000</v>
      </c>
      <c r="M571" s="2" t="str">
        <f ca="1">IFERROR(__xludf.DUMMYFUNCTION("""COMPUTED_VALUE"""),"1920937570000")</f>
        <v>1920937570000</v>
      </c>
      <c r="N571" s="1" t="str">
        <f ca="1">IFERROR(__xludf.DUMMYFUNCTION("""COMPUTED_VALUE"""),"EEEM PROFA MARIA SOCORRO OLIVEIRA DA ROCHA")</f>
        <v>EEEM PROFA MARIA SOCORRO OLIVEIRA DA ROCHA</v>
      </c>
      <c r="O571" s="1"/>
      <c r="P571" s="1"/>
      <c r="Q571" s="1" t="s">
        <v>559</v>
      </c>
    </row>
    <row r="572" spans="1:17" x14ac:dyDescent="0.25">
      <c r="A572" s="2" t="str">
        <f ca="1">IFERROR(__xludf.DUMMYFUNCTION("""COMPUTED_VALUE"""),"REG DE INTEGRA DO RIO CAITE")</f>
        <v>REG DE INTEGRA DO RIO CAITE</v>
      </c>
      <c r="B572" s="1" t="str">
        <f ca="1">IFERROR(__xludf.DUMMYFUNCTION("""COMPUTED_VALUE"""),"DRE CAPANEMA")</f>
        <v>DRE CAPANEMA</v>
      </c>
      <c r="C572" s="2" t="str">
        <f ca="1">IFERROR(__xludf.DUMMYFUNCTION("""COMPUTED_VALUE"""),"DRE - CAPANEMA")</f>
        <v>DRE - CAPANEMA</v>
      </c>
      <c r="D572" s="1"/>
      <c r="E572" s="2" t="str">
        <f ca="1">IFERROR(__xludf.DUMMYFUNCTION("""COMPUTED_VALUE"""),"DRE - CAPANEMA")</f>
        <v>DRE - CAPANEMA</v>
      </c>
      <c r="F572" s="1">
        <f ca="1">IFERROR(__xludf.DUMMYFUNCTION("""COMPUTED_VALUE"""),3)</f>
        <v>3</v>
      </c>
      <c r="G572" s="1" t="str">
        <f ca="1">IFERROR(__xludf.DUMMYFUNCTION("""COMPUTED_VALUE"""),"DRE CAPANEMA")</f>
        <v>DRE CAPANEMA</v>
      </c>
      <c r="H572" s="1" t="str">
        <f ca="1">IFERROR(__xludf.DUMMYFUNCTION("""COMPUTED_VALUE"""),"14A URE - CAPANEMA")</f>
        <v>14A URE - CAPANEMA</v>
      </c>
      <c r="I572" s="1"/>
      <c r="J572" s="1" t="str">
        <f ca="1">IFERROR(__xludf.DUMMYFUNCTION("""COMPUTED_VALUE"""),"PEIXE-BOI")</f>
        <v>PEIXE-BOI</v>
      </c>
      <c r="K572" s="1">
        <f ca="1">IFERROR(__xludf.DUMMYFUNCTION("""COMPUTED_VALUE"""),15170390)</f>
        <v>15170390</v>
      </c>
      <c r="L572" s="2" t="str">
        <f ca="1">IFERROR(__xludf.DUMMYFUNCTION("""COMPUTED_VALUE"""),"001920919350001")</f>
        <v>001920919350001</v>
      </c>
      <c r="M572" s="2" t="str">
        <f ca="1">IFERROR(__xludf.DUMMYFUNCTION("""COMPUTED_VALUE"""),"1920919350001")</f>
        <v>1920919350001</v>
      </c>
      <c r="N572" s="1" t="str">
        <f ca="1">IFERROR(__xludf.DUMMYFUNCTION("""COMPUTED_VALUE"""),"EEEM JONATHAS PONTES ATHIAS - ANEXO I")</f>
        <v>EEEM JONATHAS PONTES ATHIAS - ANEXO I</v>
      </c>
      <c r="O572" s="1"/>
      <c r="P572" s="1"/>
      <c r="Q572" s="1" t="s">
        <v>559</v>
      </c>
    </row>
    <row r="573" spans="1:17" x14ac:dyDescent="0.25">
      <c r="A573" s="2" t="str">
        <f ca="1">IFERROR(__xludf.DUMMYFUNCTION("""COMPUTED_VALUE"""),"REG DE INTEGRA DO RIO CAITE")</f>
        <v>REG DE INTEGRA DO RIO CAITE</v>
      </c>
      <c r="B573" s="1" t="str">
        <f ca="1">IFERROR(__xludf.DUMMYFUNCTION("""COMPUTED_VALUE"""),"DRE CAPANEMA")</f>
        <v>DRE CAPANEMA</v>
      </c>
      <c r="C573" s="2" t="str">
        <f ca="1">IFERROR(__xludf.DUMMYFUNCTION("""COMPUTED_VALUE"""),"DRE - CAPANEMA")</f>
        <v>DRE - CAPANEMA</v>
      </c>
      <c r="D573" s="1"/>
      <c r="E573" s="2" t="str">
        <f ca="1">IFERROR(__xludf.DUMMYFUNCTION("""COMPUTED_VALUE"""),"DRE - CAPANEMA")</f>
        <v>DRE - CAPANEMA</v>
      </c>
      <c r="F573" s="1">
        <f ca="1">IFERROR(__xludf.DUMMYFUNCTION("""COMPUTED_VALUE"""),3)</f>
        <v>3</v>
      </c>
      <c r="G573" s="1" t="str">
        <f ca="1">IFERROR(__xludf.DUMMYFUNCTION("""COMPUTED_VALUE"""),"DRE CAPANEMA")</f>
        <v>DRE CAPANEMA</v>
      </c>
      <c r="H573" s="1" t="str">
        <f ca="1">IFERROR(__xludf.DUMMYFUNCTION("""COMPUTED_VALUE"""),"14A URE - CAPANEMA")</f>
        <v>14A URE - CAPANEMA</v>
      </c>
      <c r="I573" s="1"/>
      <c r="J573" s="1" t="str">
        <f ca="1">IFERROR(__xludf.DUMMYFUNCTION("""COMPUTED_VALUE"""),"PEIXE-BOI")</f>
        <v>PEIXE-BOI</v>
      </c>
      <c r="K573" s="1">
        <f ca="1">IFERROR(__xludf.DUMMYFUNCTION("""COMPUTED_VALUE"""),15061876)</f>
        <v>15061876</v>
      </c>
      <c r="L573" s="2" t="str">
        <f ca="1">IFERROR(__xludf.DUMMYFUNCTION("""COMPUTED_VALUE"""),"001920919350000")</f>
        <v>001920919350000</v>
      </c>
      <c r="M573" s="2" t="str">
        <f ca="1">IFERROR(__xludf.DUMMYFUNCTION("""COMPUTED_VALUE"""),"1920919350000")</f>
        <v>1920919350000</v>
      </c>
      <c r="N573" s="1" t="str">
        <f ca="1">IFERROR(__xludf.DUMMYFUNCTION("""COMPUTED_VALUE"""),"EEEM JONATHAS PONTES ATHIAS SEDE")</f>
        <v>EEEM JONATHAS PONTES ATHIAS SEDE</v>
      </c>
      <c r="O573" s="1"/>
      <c r="P573" s="1"/>
      <c r="Q573" s="1" t="s">
        <v>559</v>
      </c>
    </row>
    <row r="574" spans="1:17" x14ac:dyDescent="0.25">
      <c r="A574" s="2" t="str">
        <f ca="1">IFERROR(__xludf.DUMMYFUNCTION("""COMPUTED_VALUE"""),"REG DE INTEGRA DO RIO CAITE")</f>
        <v>REG DE INTEGRA DO RIO CAITE</v>
      </c>
      <c r="B574" s="1" t="str">
        <f ca="1">IFERROR(__xludf.DUMMYFUNCTION("""COMPUTED_VALUE"""),"DRE CAPANEMA")</f>
        <v>DRE CAPANEMA</v>
      </c>
      <c r="C574" s="2" t="str">
        <f ca="1">IFERROR(__xludf.DUMMYFUNCTION("""COMPUTED_VALUE"""),"DRE - CAPANEMA")</f>
        <v>DRE - CAPANEMA</v>
      </c>
      <c r="D574" s="1"/>
      <c r="E574" s="2" t="str">
        <f ca="1">IFERROR(__xludf.DUMMYFUNCTION("""COMPUTED_VALUE"""),"DRE - CAPANEMA")</f>
        <v>DRE - CAPANEMA</v>
      </c>
      <c r="F574" s="1">
        <f ca="1">IFERROR(__xludf.DUMMYFUNCTION("""COMPUTED_VALUE"""),3)</f>
        <v>3</v>
      </c>
      <c r="G574" s="1" t="str">
        <f ca="1">IFERROR(__xludf.DUMMYFUNCTION("""COMPUTED_VALUE"""),"DRE CAPANEMA")</f>
        <v>DRE CAPANEMA</v>
      </c>
      <c r="H574" s="1" t="str">
        <f ca="1">IFERROR(__xludf.DUMMYFUNCTION("""COMPUTED_VALUE"""),"14A URE - CAPANEMA")</f>
        <v>14A URE - CAPANEMA</v>
      </c>
      <c r="I574" s="1"/>
      <c r="J574" s="1" t="str">
        <f ca="1">IFERROR(__xludf.DUMMYFUNCTION("""COMPUTED_VALUE"""),"PRIMAVERA")</f>
        <v>PRIMAVERA</v>
      </c>
      <c r="K574" s="1">
        <f ca="1">IFERROR(__xludf.DUMMYFUNCTION("""COMPUTED_VALUE"""),15062244)</f>
        <v>15062244</v>
      </c>
      <c r="L574" s="2" t="str">
        <f ca="1">IFERROR(__xludf.DUMMYFUNCTION("""COMPUTED_VALUE"""),"001920918230000")</f>
        <v>001920918230000</v>
      </c>
      <c r="M574" s="2" t="str">
        <f ca="1">IFERROR(__xludf.DUMMYFUNCTION("""COMPUTED_VALUE"""),"1920918230000")</f>
        <v>1920918230000</v>
      </c>
      <c r="N574" s="1" t="str">
        <f ca="1">IFERROR(__xludf.DUMMYFUNCTION("""COMPUTED_VALUE"""),"EEEF INOCENCIO SOARES")</f>
        <v>EEEF INOCENCIO SOARES</v>
      </c>
      <c r="O574" s="1"/>
      <c r="P574" s="1"/>
      <c r="Q574" s="1" t="s">
        <v>559</v>
      </c>
    </row>
    <row r="575" spans="1:17" x14ac:dyDescent="0.25">
      <c r="A575" s="2" t="str">
        <f ca="1">IFERROR(__xludf.DUMMYFUNCTION("""COMPUTED_VALUE"""),"REG DE INTEGRA DO RIO CAITE")</f>
        <v>REG DE INTEGRA DO RIO CAITE</v>
      </c>
      <c r="B575" s="1" t="str">
        <f ca="1">IFERROR(__xludf.DUMMYFUNCTION("""COMPUTED_VALUE"""),"DRE CAPANEMA")</f>
        <v>DRE CAPANEMA</v>
      </c>
      <c r="C575" s="2" t="str">
        <f ca="1">IFERROR(__xludf.DUMMYFUNCTION("""COMPUTED_VALUE"""),"DRE - CAPANEMA")</f>
        <v>DRE - CAPANEMA</v>
      </c>
      <c r="D575" s="1"/>
      <c r="E575" s="2" t="str">
        <f ca="1">IFERROR(__xludf.DUMMYFUNCTION("""COMPUTED_VALUE"""),"DRE - CAPANEMA")</f>
        <v>DRE - CAPANEMA</v>
      </c>
      <c r="F575" s="1">
        <f ca="1">IFERROR(__xludf.DUMMYFUNCTION("""COMPUTED_VALUE"""),3)</f>
        <v>3</v>
      </c>
      <c r="G575" s="1" t="str">
        <f ca="1">IFERROR(__xludf.DUMMYFUNCTION("""COMPUTED_VALUE"""),"DRE CAPANEMA")</f>
        <v>DRE CAPANEMA</v>
      </c>
      <c r="H575" s="1" t="str">
        <f ca="1">IFERROR(__xludf.DUMMYFUNCTION("""COMPUTED_VALUE"""),"14A URE - CAPANEMA")</f>
        <v>14A URE - CAPANEMA</v>
      </c>
      <c r="I575" s="1"/>
      <c r="J575" s="1" t="str">
        <f ca="1">IFERROR(__xludf.DUMMYFUNCTION("""COMPUTED_VALUE"""),"PRIMAVERA")</f>
        <v>PRIMAVERA</v>
      </c>
      <c r="K575" s="1">
        <f ca="1">IFERROR(__xludf.DUMMYFUNCTION("""COMPUTED_VALUE"""),15062201)</f>
        <v>15062201</v>
      </c>
      <c r="L575" s="2" t="str">
        <f ca="1">IFERROR(__xludf.DUMMYFUNCTION("""COMPUTED_VALUE"""),"001920918270000")</f>
        <v>001920918270000</v>
      </c>
      <c r="M575" s="2" t="str">
        <f ca="1">IFERROR(__xludf.DUMMYFUNCTION("""COMPUTED_VALUE"""),"1920918270000")</f>
        <v>1920918270000</v>
      </c>
      <c r="N575" s="1" t="str">
        <f ca="1">IFERROR(__xludf.DUMMYFUNCTION("""COMPUTED_VALUE"""),"EEEFM MANOEL LOBATO SEDE")</f>
        <v>EEEFM MANOEL LOBATO SEDE</v>
      </c>
      <c r="O575" s="1"/>
      <c r="P575" s="1"/>
      <c r="Q575" s="1" t="s">
        <v>559</v>
      </c>
    </row>
    <row r="576" spans="1:17" x14ac:dyDescent="0.25">
      <c r="A576" s="2" t="str">
        <f ca="1">IFERROR(__xludf.DUMMYFUNCTION("""COMPUTED_VALUE"""),"REG DE INTEGRA DO RIO CAITE")</f>
        <v>REG DE INTEGRA DO RIO CAITE</v>
      </c>
      <c r="B576" s="1" t="str">
        <f ca="1">IFERROR(__xludf.DUMMYFUNCTION("""COMPUTED_VALUE"""),"DRE CAPANEMA")</f>
        <v>DRE CAPANEMA</v>
      </c>
      <c r="C576" s="2" t="str">
        <f ca="1">IFERROR(__xludf.DUMMYFUNCTION("""COMPUTED_VALUE"""),"DRE - CAPANEMA")</f>
        <v>DRE - CAPANEMA</v>
      </c>
      <c r="D576" s="1"/>
      <c r="E576" s="2" t="str">
        <f ca="1">IFERROR(__xludf.DUMMYFUNCTION("""COMPUTED_VALUE"""),"DRE - CAPANEMA")</f>
        <v>DRE - CAPANEMA</v>
      </c>
      <c r="F576" s="1">
        <f ca="1">IFERROR(__xludf.DUMMYFUNCTION("""COMPUTED_VALUE"""),3)</f>
        <v>3</v>
      </c>
      <c r="G576" s="1" t="str">
        <f ca="1">IFERROR(__xludf.DUMMYFUNCTION("""COMPUTED_VALUE"""),"DRE CAPANEMA")</f>
        <v>DRE CAPANEMA</v>
      </c>
      <c r="H576" s="1" t="str">
        <f ca="1">IFERROR(__xludf.DUMMYFUNCTION("""COMPUTED_VALUE"""),"14A URE - CAPANEMA")</f>
        <v>14A URE - CAPANEMA</v>
      </c>
      <c r="I576" s="1"/>
      <c r="J576" s="1" t="str">
        <f ca="1">IFERROR(__xludf.DUMMYFUNCTION("""COMPUTED_VALUE"""),"QUATIPURU")</f>
        <v>QUATIPURU</v>
      </c>
      <c r="K576" s="1">
        <f ca="1">IFERROR(__xludf.DUMMYFUNCTION("""COMPUTED_VALUE"""),15062538)</f>
        <v>15062538</v>
      </c>
      <c r="L576" s="2" t="str">
        <f ca="1">IFERROR(__xludf.DUMMYFUNCTION("""COMPUTED_VALUE"""),"001920929120000")</f>
        <v>001920929120000</v>
      </c>
      <c r="M576" s="2" t="str">
        <f ca="1">IFERROR(__xludf.DUMMYFUNCTION("""COMPUTED_VALUE"""),"1920929120000")</f>
        <v>1920929120000</v>
      </c>
      <c r="N576" s="1" t="str">
        <f ca="1">IFERROR(__xludf.DUMMYFUNCTION("""COMPUTED_VALUE"""),"EEEF ANTONIO MORAES DO NASCIMENTO")</f>
        <v>EEEF ANTONIO MORAES DO NASCIMENTO</v>
      </c>
      <c r="O576" s="1"/>
      <c r="P576" s="1"/>
      <c r="Q576" s="1" t="s">
        <v>559</v>
      </c>
    </row>
    <row r="577" spans="1:17" x14ac:dyDescent="0.25">
      <c r="A577" s="2" t="str">
        <f ca="1">IFERROR(__xludf.DUMMYFUNCTION("""COMPUTED_VALUE"""),"REG DE INTEGRA DO RIO CAITE")</f>
        <v>REG DE INTEGRA DO RIO CAITE</v>
      </c>
      <c r="B577" s="1" t="str">
        <f ca="1">IFERROR(__xludf.DUMMYFUNCTION("""COMPUTED_VALUE"""),"DRE CAPANEMA")</f>
        <v>DRE CAPANEMA</v>
      </c>
      <c r="C577" s="2" t="str">
        <f ca="1">IFERROR(__xludf.DUMMYFUNCTION("""COMPUTED_VALUE"""),"DRE - CAPANEMA")</f>
        <v>DRE - CAPANEMA</v>
      </c>
      <c r="D577" s="1"/>
      <c r="E577" s="2" t="str">
        <f ca="1">IFERROR(__xludf.DUMMYFUNCTION("""COMPUTED_VALUE"""),"DRE - CAPANEMA")</f>
        <v>DRE - CAPANEMA</v>
      </c>
      <c r="F577" s="1">
        <f ca="1">IFERROR(__xludf.DUMMYFUNCTION("""COMPUTED_VALUE"""),3)</f>
        <v>3</v>
      </c>
      <c r="G577" s="1" t="str">
        <f ca="1">IFERROR(__xludf.DUMMYFUNCTION("""COMPUTED_VALUE"""),"DRE CAPANEMA")</f>
        <v>DRE CAPANEMA</v>
      </c>
      <c r="H577" s="1" t="str">
        <f ca="1">IFERROR(__xludf.DUMMYFUNCTION("""COMPUTED_VALUE"""),"14A URE - CAPANEMA")</f>
        <v>14A URE - CAPANEMA</v>
      </c>
      <c r="I577" s="1"/>
      <c r="J577" s="1" t="str">
        <f ca="1">IFERROR(__xludf.DUMMYFUNCTION("""COMPUTED_VALUE"""),"QUATIPURU")</f>
        <v>QUATIPURU</v>
      </c>
      <c r="K577" s="1">
        <f ca="1">IFERROR(__xludf.DUMMYFUNCTION("""COMPUTED_VALUE"""),15062520)</f>
        <v>15062520</v>
      </c>
      <c r="L577" s="2" t="str">
        <f ca="1">IFERROR(__xludf.DUMMYFUNCTION("""COMPUTED_VALUE"""),"001920918240000")</f>
        <v>001920918240000</v>
      </c>
      <c r="M577" s="2" t="str">
        <f ca="1">IFERROR(__xludf.DUMMYFUNCTION("""COMPUTED_VALUE"""),"1920918240000")</f>
        <v>1920918240000</v>
      </c>
      <c r="N577" s="1" t="str">
        <f ca="1">IFERROR(__xludf.DUMMYFUNCTION("""COMPUTED_VALUE"""),"EEEF JOAO PAULO I")</f>
        <v>EEEF JOAO PAULO I</v>
      </c>
      <c r="O577" s="1"/>
      <c r="P577" s="1"/>
      <c r="Q577" s="1" t="s">
        <v>559</v>
      </c>
    </row>
    <row r="578" spans="1:17" x14ac:dyDescent="0.25">
      <c r="A578" s="2" t="str">
        <f ca="1">IFERROR(__xludf.DUMMYFUNCTION("""COMPUTED_VALUE"""),"REG DE INTEGRA DO RIO CAITE")</f>
        <v>REG DE INTEGRA DO RIO CAITE</v>
      </c>
      <c r="B578" s="1" t="str">
        <f ca="1">IFERROR(__xludf.DUMMYFUNCTION("""COMPUTED_VALUE"""),"DRE CAPANEMA")</f>
        <v>DRE CAPANEMA</v>
      </c>
      <c r="C578" s="2" t="str">
        <f ca="1">IFERROR(__xludf.DUMMYFUNCTION("""COMPUTED_VALUE"""),"DRE - CAPANEMA")</f>
        <v>DRE - CAPANEMA</v>
      </c>
      <c r="D578" s="1"/>
      <c r="E578" s="2" t="str">
        <f ca="1">IFERROR(__xludf.DUMMYFUNCTION("""COMPUTED_VALUE"""),"DRE - CAPANEMA")</f>
        <v>DRE - CAPANEMA</v>
      </c>
      <c r="F578" s="1">
        <f ca="1">IFERROR(__xludf.DUMMYFUNCTION("""COMPUTED_VALUE"""),3)</f>
        <v>3</v>
      </c>
      <c r="G578" s="1" t="str">
        <f ca="1">IFERROR(__xludf.DUMMYFUNCTION("""COMPUTED_VALUE"""),"DRE CAPANEMA")</f>
        <v>DRE CAPANEMA</v>
      </c>
      <c r="H578" s="1" t="str">
        <f ca="1">IFERROR(__xludf.DUMMYFUNCTION("""COMPUTED_VALUE"""),"14A URE - CAPANEMA")</f>
        <v>14A URE - CAPANEMA</v>
      </c>
      <c r="I578" s="1"/>
      <c r="J578" s="1" t="str">
        <f ca="1">IFERROR(__xludf.DUMMYFUNCTION("""COMPUTED_VALUE"""),"QUATIPURU")</f>
        <v>QUATIPURU</v>
      </c>
      <c r="K578" s="1">
        <f ca="1">IFERROR(__xludf.DUMMYFUNCTION("""COMPUTED_VALUE"""),15062503)</f>
        <v>15062503</v>
      </c>
      <c r="L578" s="2" t="str">
        <f ca="1">IFERROR(__xludf.DUMMYFUNCTION("""COMPUTED_VALUE"""),"001920918250000")</f>
        <v>001920918250000</v>
      </c>
      <c r="M578" s="2" t="str">
        <f ca="1">IFERROR(__xludf.DUMMYFUNCTION("""COMPUTED_VALUE"""),"1920918250000")</f>
        <v>1920918250000</v>
      </c>
      <c r="N578" s="1" t="str">
        <f ca="1">IFERROR(__xludf.DUMMYFUNCTION("""COMPUTED_VALUE"""),"EEEFM MARIA ALICE GEOLAS MOURA CARVALHO")</f>
        <v>EEEFM MARIA ALICE GEOLAS MOURA CARVALHO</v>
      </c>
      <c r="O578" s="1"/>
      <c r="P578" s="1"/>
      <c r="Q578" s="1" t="s">
        <v>559</v>
      </c>
    </row>
    <row r="579" spans="1:17" x14ac:dyDescent="0.25">
      <c r="A579" s="2" t="str">
        <f ca="1">IFERROR(__xludf.DUMMYFUNCTION("""COMPUTED_VALUE"""),"REG DE INTEGRA DO RIO CAITE")</f>
        <v>REG DE INTEGRA DO RIO CAITE</v>
      </c>
      <c r="B579" s="1" t="str">
        <f ca="1">IFERROR(__xludf.DUMMYFUNCTION("""COMPUTED_VALUE"""),"DRE CAPANEMA")</f>
        <v>DRE CAPANEMA</v>
      </c>
      <c r="C579" s="2" t="str">
        <f ca="1">IFERROR(__xludf.DUMMYFUNCTION("""COMPUTED_VALUE"""),"DRE - CAPANEMA")</f>
        <v>DRE - CAPANEMA</v>
      </c>
      <c r="D579" s="1"/>
      <c r="E579" s="2" t="str">
        <f ca="1">IFERROR(__xludf.DUMMYFUNCTION("""COMPUTED_VALUE"""),"DRE - CAPANEMA")</f>
        <v>DRE - CAPANEMA</v>
      </c>
      <c r="F579" s="1">
        <f ca="1">IFERROR(__xludf.DUMMYFUNCTION("""COMPUTED_VALUE"""),3)</f>
        <v>3</v>
      </c>
      <c r="G579" s="1" t="str">
        <f ca="1">IFERROR(__xludf.DUMMYFUNCTION("""COMPUTED_VALUE"""),"DRE CAPANEMA")</f>
        <v>DRE CAPANEMA</v>
      </c>
      <c r="H579" s="1" t="str">
        <f ca="1">IFERROR(__xludf.DUMMYFUNCTION("""COMPUTED_VALUE"""),"14A URE - CAPANEMA")</f>
        <v>14A URE - CAPANEMA</v>
      </c>
      <c r="I579" s="1"/>
      <c r="J579" s="1" t="str">
        <f ca="1">IFERROR(__xludf.DUMMYFUNCTION("""COMPUTED_VALUE"""),"SALINOPOLIS")</f>
        <v>SALINOPOLIS</v>
      </c>
      <c r="K579" s="1">
        <f ca="1">IFERROR(__xludf.DUMMYFUNCTION("""COMPUTED_VALUE"""),15052575)</f>
        <v>15052575</v>
      </c>
      <c r="L579" s="2" t="str">
        <f ca="1">IFERROR(__xludf.DUMMYFUNCTION("""COMPUTED_VALUE"""),"001920918560000")</f>
        <v>001920918560000</v>
      </c>
      <c r="M579" s="2" t="str">
        <f ca="1">IFERROR(__xludf.DUMMYFUNCTION("""COMPUTED_VALUE"""),"1920918560000")</f>
        <v>1920918560000</v>
      </c>
      <c r="N579" s="1" t="str">
        <f ca="1">IFERROR(__xludf.DUMMYFUNCTION("""COMPUTED_VALUE"""),"EEEF ADRIANO SANTA BRIGIDA")</f>
        <v>EEEF ADRIANO SANTA BRIGIDA</v>
      </c>
      <c r="O579" s="1"/>
      <c r="P579" s="1"/>
      <c r="Q579" s="1" t="s">
        <v>559</v>
      </c>
    </row>
    <row r="580" spans="1:17" x14ac:dyDescent="0.25">
      <c r="A580" s="2" t="str">
        <f ca="1">IFERROR(__xludf.DUMMYFUNCTION("""COMPUTED_VALUE"""),"REG DE INTEGRA DO RIO CAITE")</f>
        <v>REG DE INTEGRA DO RIO CAITE</v>
      </c>
      <c r="B580" s="1" t="str">
        <f ca="1">IFERROR(__xludf.DUMMYFUNCTION("""COMPUTED_VALUE"""),"DRE CAPANEMA")</f>
        <v>DRE CAPANEMA</v>
      </c>
      <c r="C580" s="2" t="str">
        <f ca="1">IFERROR(__xludf.DUMMYFUNCTION("""COMPUTED_VALUE"""),"DRE - CAPANEMA")</f>
        <v>DRE - CAPANEMA</v>
      </c>
      <c r="D580" s="1"/>
      <c r="E580" s="2" t="str">
        <f ca="1">IFERROR(__xludf.DUMMYFUNCTION("""COMPUTED_VALUE"""),"DRE - CAPANEMA")</f>
        <v>DRE - CAPANEMA</v>
      </c>
      <c r="F580" s="1">
        <f ca="1">IFERROR(__xludf.DUMMYFUNCTION("""COMPUTED_VALUE"""),3)</f>
        <v>3</v>
      </c>
      <c r="G580" s="1" t="str">
        <f ca="1">IFERROR(__xludf.DUMMYFUNCTION("""COMPUTED_VALUE"""),"DRE CAPANEMA")</f>
        <v>DRE CAPANEMA</v>
      </c>
      <c r="H580" s="1" t="str">
        <f ca="1">IFERROR(__xludf.DUMMYFUNCTION("""COMPUTED_VALUE"""),"14A URE - CAPANEMA")</f>
        <v>14A URE - CAPANEMA</v>
      </c>
      <c r="I580" s="1"/>
      <c r="J580" s="1" t="str">
        <f ca="1">IFERROR(__xludf.DUMMYFUNCTION("""COMPUTED_VALUE"""),"SALINOPOLIS")</f>
        <v>SALINOPOLIS</v>
      </c>
      <c r="K580" s="1">
        <f ca="1">IFERROR(__xludf.DUMMYFUNCTION("""COMPUTED_VALUE"""),15145735)</f>
        <v>15145735</v>
      </c>
      <c r="L580" s="2" t="str">
        <f ca="1">IFERROR(__xludf.DUMMYFUNCTION("""COMPUTED_VALUE"""),"001920934570000")</f>
        <v>001920934570000</v>
      </c>
      <c r="M580" s="2" t="str">
        <f ca="1">IFERROR(__xludf.DUMMYFUNCTION("""COMPUTED_VALUE"""),"1920934570000")</f>
        <v>1920934570000</v>
      </c>
      <c r="N580" s="1" t="str">
        <f ca="1">IFERROR(__xludf.DUMMYFUNCTION("""COMPUTED_VALUE"""),"EEEF EURIDES BRITO")</f>
        <v>EEEF EURIDES BRITO</v>
      </c>
      <c r="O580" s="1"/>
      <c r="P580" s="1"/>
      <c r="Q580" s="1" t="s">
        <v>559</v>
      </c>
    </row>
    <row r="581" spans="1:17" x14ac:dyDescent="0.25">
      <c r="A581" s="2" t="str">
        <f ca="1">IFERROR(__xludf.DUMMYFUNCTION("""COMPUTED_VALUE"""),"REG DE INTEGRA DO RIO CAITE")</f>
        <v>REG DE INTEGRA DO RIO CAITE</v>
      </c>
      <c r="B581" s="1" t="str">
        <f ca="1">IFERROR(__xludf.DUMMYFUNCTION("""COMPUTED_VALUE"""),"DRE CAPANEMA")</f>
        <v>DRE CAPANEMA</v>
      </c>
      <c r="C581" s="2" t="str">
        <f ca="1">IFERROR(__xludf.DUMMYFUNCTION("""COMPUTED_VALUE"""),"DRE - CAPANEMA")</f>
        <v>DRE - CAPANEMA</v>
      </c>
      <c r="D581" s="1"/>
      <c r="E581" s="2" t="str">
        <f ca="1">IFERROR(__xludf.DUMMYFUNCTION("""COMPUTED_VALUE"""),"DRE - CAPANEMA")</f>
        <v>DRE - CAPANEMA</v>
      </c>
      <c r="F581" s="1">
        <f ca="1">IFERROR(__xludf.DUMMYFUNCTION("""COMPUTED_VALUE"""),3)</f>
        <v>3</v>
      </c>
      <c r="G581" s="1" t="str">
        <f ca="1">IFERROR(__xludf.DUMMYFUNCTION("""COMPUTED_VALUE"""),"DRE CAPANEMA")</f>
        <v>DRE CAPANEMA</v>
      </c>
      <c r="H581" s="1" t="str">
        <f ca="1">IFERROR(__xludf.DUMMYFUNCTION("""COMPUTED_VALUE"""),"14A URE - CAPANEMA")</f>
        <v>14A URE - CAPANEMA</v>
      </c>
      <c r="I581" s="1"/>
      <c r="J581" s="1" t="str">
        <f ca="1">IFERROR(__xludf.DUMMYFUNCTION("""COMPUTED_VALUE"""),"SALINOPOLIS")</f>
        <v>SALINOPOLIS</v>
      </c>
      <c r="K581" s="1">
        <f ca="1">IFERROR(__xludf.DUMMYFUNCTION("""COMPUTED_VALUE"""),15052559)</f>
        <v>15052559</v>
      </c>
      <c r="L581" s="2" t="str">
        <f ca="1">IFERROR(__xludf.DUMMYFUNCTION("""COMPUTED_VALUE"""),"001920931790000")</f>
        <v>001920931790000</v>
      </c>
      <c r="M581" s="2" t="str">
        <f ca="1">IFERROR(__xludf.DUMMYFUNCTION("""COMPUTED_VALUE"""),"1920931790000")</f>
        <v>1920931790000</v>
      </c>
      <c r="N581" s="1" t="str">
        <f ca="1">IFERROR(__xludf.DUMMYFUNCTION("""COMPUTED_VALUE"""),"EEEF LAURA DO CARMO VICUNA")</f>
        <v>EEEF LAURA DO CARMO VICUNA</v>
      </c>
      <c r="O581" s="1"/>
      <c r="P581" s="1"/>
      <c r="Q581" s="1" t="s">
        <v>559</v>
      </c>
    </row>
    <row r="582" spans="1:17" x14ac:dyDescent="0.25">
      <c r="A582" s="2" t="str">
        <f ca="1">IFERROR(__xludf.DUMMYFUNCTION("""COMPUTED_VALUE"""),"REG DE INTEGRA DO RIO CAITE")</f>
        <v>REG DE INTEGRA DO RIO CAITE</v>
      </c>
      <c r="B582" s="1" t="str">
        <f ca="1">IFERROR(__xludf.DUMMYFUNCTION("""COMPUTED_VALUE"""),"DRE CAPANEMA")</f>
        <v>DRE CAPANEMA</v>
      </c>
      <c r="C582" s="2" t="str">
        <f ca="1">IFERROR(__xludf.DUMMYFUNCTION("""COMPUTED_VALUE"""),"DRE - CAPANEMA")</f>
        <v>DRE - CAPANEMA</v>
      </c>
      <c r="D582" s="1"/>
      <c r="E582" s="2" t="str">
        <f ca="1">IFERROR(__xludf.DUMMYFUNCTION("""COMPUTED_VALUE"""),"DRE - CAPANEMA")</f>
        <v>DRE - CAPANEMA</v>
      </c>
      <c r="F582" s="1">
        <f ca="1">IFERROR(__xludf.DUMMYFUNCTION("""COMPUTED_VALUE"""),3)</f>
        <v>3</v>
      </c>
      <c r="G582" s="1" t="str">
        <f ca="1">IFERROR(__xludf.DUMMYFUNCTION("""COMPUTED_VALUE"""),"DRE CAPANEMA")</f>
        <v>DRE CAPANEMA</v>
      </c>
      <c r="H582" s="1" t="str">
        <f ca="1">IFERROR(__xludf.DUMMYFUNCTION("""COMPUTED_VALUE"""),"14A URE - CAPANEMA")</f>
        <v>14A URE - CAPANEMA</v>
      </c>
      <c r="I582" s="1"/>
      <c r="J582" s="1" t="str">
        <f ca="1">IFERROR(__xludf.DUMMYFUNCTION("""COMPUTED_VALUE"""),"SALINOPOLIS")</f>
        <v>SALINOPOLIS</v>
      </c>
      <c r="K582" s="1">
        <f ca="1">IFERROR(__xludf.DUMMYFUNCTION("""COMPUTED_VALUE"""),15052184)</f>
        <v>15052184</v>
      </c>
      <c r="L582" s="2" t="str">
        <f ca="1">IFERROR(__xludf.DUMMYFUNCTION("""COMPUTED_VALUE"""),"001920918500000")</f>
        <v>001920918500000</v>
      </c>
      <c r="M582" s="2" t="str">
        <f ca="1">IFERROR(__xludf.DUMMYFUNCTION("""COMPUTED_VALUE"""),"1920918500000")</f>
        <v>1920918500000</v>
      </c>
      <c r="N582" s="1" t="str">
        <f ca="1">IFERROR(__xludf.DUMMYFUNCTION("""COMPUTED_VALUE"""),"EEEF PADRE DUBOIS")</f>
        <v>EEEF PADRE DUBOIS</v>
      </c>
      <c r="O582" s="1"/>
      <c r="P582" s="1"/>
      <c r="Q582" s="1" t="s">
        <v>559</v>
      </c>
    </row>
    <row r="583" spans="1:17" x14ac:dyDescent="0.25">
      <c r="A583" s="2" t="str">
        <f ca="1">IFERROR(__xludf.DUMMYFUNCTION("""COMPUTED_VALUE"""),"REG DE INTEGRA DO RIO CAITE")</f>
        <v>REG DE INTEGRA DO RIO CAITE</v>
      </c>
      <c r="B583" s="1" t="str">
        <f ca="1">IFERROR(__xludf.DUMMYFUNCTION("""COMPUTED_VALUE"""),"DRE CAPANEMA")</f>
        <v>DRE CAPANEMA</v>
      </c>
      <c r="C583" s="2" t="str">
        <f ca="1">IFERROR(__xludf.DUMMYFUNCTION("""COMPUTED_VALUE"""),"DRE - CAPANEMA")</f>
        <v>DRE - CAPANEMA</v>
      </c>
      <c r="D583" s="1"/>
      <c r="E583" s="2" t="str">
        <f ca="1">IFERROR(__xludf.DUMMYFUNCTION("""COMPUTED_VALUE"""),"DRE - CAPANEMA")</f>
        <v>DRE - CAPANEMA</v>
      </c>
      <c r="F583" s="1">
        <f ca="1">IFERROR(__xludf.DUMMYFUNCTION("""COMPUTED_VALUE"""),3)</f>
        <v>3</v>
      </c>
      <c r="G583" s="1" t="str">
        <f ca="1">IFERROR(__xludf.DUMMYFUNCTION("""COMPUTED_VALUE"""),"DRE CAPANEMA")</f>
        <v>DRE CAPANEMA</v>
      </c>
      <c r="H583" s="1" t="str">
        <f ca="1">IFERROR(__xludf.DUMMYFUNCTION("""COMPUTED_VALUE"""),"14A URE - CAPANEMA")</f>
        <v>14A URE - CAPANEMA</v>
      </c>
      <c r="I583" s="1"/>
      <c r="J583" s="1" t="str">
        <f ca="1">IFERROR(__xludf.DUMMYFUNCTION("""COMPUTED_VALUE"""),"SALINOPOLIS")</f>
        <v>SALINOPOLIS</v>
      </c>
      <c r="K583" s="1">
        <f ca="1">IFERROR(__xludf.DUMMYFUNCTION("""COMPUTED_VALUE"""),15052206)</f>
        <v>15052206</v>
      </c>
      <c r="L583" s="2" t="str">
        <f ca="1">IFERROR(__xludf.DUMMYFUNCTION("""COMPUTED_VALUE"""),"001920918470000")</f>
        <v>001920918470000</v>
      </c>
      <c r="M583" s="2" t="str">
        <f ca="1">IFERROR(__xludf.DUMMYFUNCTION("""COMPUTED_VALUE"""),"1920918470000")</f>
        <v>1920918470000</v>
      </c>
      <c r="N583" s="1" t="str">
        <f ca="1">IFERROR(__xludf.DUMMYFUNCTION("""COMPUTED_VALUE"""),"EEEF TIRADENTES")</f>
        <v>EEEF TIRADENTES</v>
      </c>
      <c r="O583" s="1"/>
      <c r="P583" s="1"/>
      <c r="Q583" s="1" t="s">
        <v>559</v>
      </c>
    </row>
    <row r="584" spans="1:17" x14ac:dyDescent="0.25">
      <c r="A584" s="2" t="str">
        <f ca="1">IFERROR(__xludf.DUMMYFUNCTION("""COMPUTED_VALUE"""),"REG DE INTEGRA DO RIO CAITE")</f>
        <v>REG DE INTEGRA DO RIO CAITE</v>
      </c>
      <c r="B584" s="1" t="str">
        <f ca="1">IFERROR(__xludf.DUMMYFUNCTION("""COMPUTED_VALUE"""),"DRE CAPANEMA")</f>
        <v>DRE CAPANEMA</v>
      </c>
      <c r="C584" s="2" t="str">
        <f ca="1">IFERROR(__xludf.DUMMYFUNCTION("""COMPUTED_VALUE"""),"DRE - CAPANEMA")</f>
        <v>DRE - CAPANEMA</v>
      </c>
      <c r="D584" s="1"/>
      <c r="E584" s="2" t="str">
        <f ca="1">IFERROR(__xludf.DUMMYFUNCTION("""COMPUTED_VALUE"""),"DRE - CAPANEMA")</f>
        <v>DRE - CAPANEMA</v>
      </c>
      <c r="F584" s="1">
        <f ca="1">IFERROR(__xludf.DUMMYFUNCTION("""COMPUTED_VALUE"""),3)</f>
        <v>3</v>
      </c>
      <c r="G584" s="1" t="str">
        <f ca="1">IFERROR(__xludf.DUMMYFUNCTION("""COMPUTED_VALUE"""),"DRE CAPANEMA")</f>
        <v>DRE CAPANEMA</v>
      </c>
      <c r="H584" s="1" t="str">
        <f ca="1">IFERROR(__xludf.DUMMYFUNCTION("""COMPUTED_VALUE"""),"14A URE - CAPANEMA")</f>
        <v>14A URE - CAPANEMA</v>
      </c>
      <c r="I584" s="1"/>
      <c r="J584" s="1" t="str">
        <f ca="1">IFERROR(__xludf.DUMMYFUNCTION("""COMPUTED_VALUE"""),"SALINOPOLIS")</f>
        <v>SALINOPOLIS</v>
      </c>
      <c r="K584" s="1">
        <f ca="1">IFERROR(__xludf.DUMMYFUNCTION("""COMPUTED_VALUE"""),15052168)</f>
        <v>15052168</v>
      </c>
      <c r="L584" s="2" t="str">
        <f ca="1">IFERROR(__xludf.DUMMYFUNCTION("""COMPUTED_VALUE"""),"001920918480000")</f>
        <v>001920918480000</v>
      </c>
      <c r="M584" s="2" t="str">
        <f ca="1">IFERROR(__xludf.DUMMYFUNCTION("""COMPUTED_VALUE"""),"1920918480000")</f>
        <v>1920918480000</v>
      </c>
      <c r="N584" s="1" t="str">
        <f ca="1">IFERROR(__xludf.DUMMYFUNCTION("""COMPUTED_VALUE"""),"EEEFM DOM BOSCO")</f>
        <v>EEEFM DOM BOSCO</v>
      </c>
      <c r="O584" s="1"/>
      <c r="P584" s="1"/>
      <c r="Q584" s="1" t="s">
        <v>559</v>
      </c>
    </row>
    <row r="585" spans="1:17" x14ac:dyDescent="0.25">
      <c r="A585" s="2" t="str">
        <f ca="1">IFERROR(__xludf.DUMMYFUNCTION("""COMPUTED_VALUE"""),"REG DE INTEGRA DO RIO CAITE")</f>
        <v>REG DE INTEGRA DO RIO CAITE</v>
      </c>
      <c r="B585" s="1" t="str">
        <f ca="1">IFERROR(__xludf.DUMMYFUNCTION("""COMPUTED_VALUE"""),"DRE CAPANEMA")</f>
        <v>DRE CAPANEMA</v>
      </c>
      <c r="C585" s="2" t="str">
        <f ca="1">IFERROR(__xludf.DUMMYFUNCTION("""COMPUTED_VALUE"""),"DRE - CAPANEMA")</f>
        <v>DRE - CAPANEMA</v>
      </c>
      <c r="D585" s="1"/>
      <c r="E585" s="2" t="str">
        <f ca="1">IFERROR(__xludf.DUMMYFUNCTION("""COMPUTED_VALUE"""),"DRE - CAPANEMA")</f>
        <v>DRE - CAPANEMA</v>
      </c>
      <c r="F585" s="1">
        <f ca="1">IFERROR(__xludf.DUMMYFUNCTION("""COMPUTED_VALUE"""),3)</f>
        <v>3</v>
      </c>
      <c r="G585" s="1" t="str">
        <f ca="1">IFERROR(__xludf.DUMMYFUNCTION("""COMPUTED_VALUE"""),"DRE CAPANEMA")</f>
        <v>DRE CAPANEMA</v>
      </c>
      <c r="H585" s="1" t="str">
        <f ca="1">IFERROR(__xludf.DUMMYFUNCTION("""COMPUTED_VALUE"""),"14A URE - CAPANEMA")</f>
        <v>14A URE - CAPANEMA</v>
      </c>
      <c r="I585" s="1"/>
      <c r="J585" s="1" t="str">
        <f ca="1">IFERROR(__xludf.DUMMYFUNCTION("""COMPUTED_VALUE"""),"SALINOPOLIS")</f>
        <v>SALINOPOLIS</v>
      </c>
      <c r="K585" s="1">
        <f ca="1">IFERROR(__xludf.DUMMYFUNCTION("""COMPUTED_VALUE"""),15052192)</f>
        <v>15052192</v>
      </c>
      <c r="L585" s="2" t="str">
        <f ca="1">IFERROR(__xludf.DUMMYFUNCTION("""COMPUTED_VALUE"""),"001920918490000")</f>
        <v>001920918490000</v>
      </c>
      <c r="M585" s="2" t="str">
        <f ca="1">IFERROR(__xludf.DUMMYFUNCTION("""COMPUTED_VALUE"""),"1920918490000")</f>
        <v>1920918490000</v>
      </c>
      <c r="N585" s="1" t="str">
        <f ca="1">IFERROR(__xludf.DUMMYFUNCTION("""COMPUTED_VALUE"""),"EEEFM PROF TEODATO DE REZENDE")</f>
        <v>EEEFM PROF TEODATO DE REZENDE</v>
      </c>
      <c r="O585" s="1"/>
      <c r="P585" s="1"/>
      <c r="Q585" s="1" t="s">
        <v>559</v>
      </c>
    </row>
    <row r="586" spans="1:17" x14ac:dyDescent="0.25">
      <c r="A586" s="2" t="str">
        <f ca="1">IFERROR(__xludf.DUMMYFUNCTION("""COMPUTED_VALUE"""),"REG DE INTEGRA DO RIO CAITE")</f>
        <v>REG DE INTEGRA DO RIO CAITE</v>
      </c>
      <c r="B586" s="1" t="str">
        <f ca="1">IFERROR(__xludf.DUMMYFUNCTION("""COMPUTED_VALUE"""),"DRE CAPANEMA")</f>
        <v>DRE CAPANEMA</v>
      </c>
      <c r="C586" s="2" t="str">
        <f ca="1">IFERROR(__xludf.DUMMYFUNCTION("""COMPUTED_VALUE"""),"DRE - CAPANEMA")</f>
        <v>DRE - CAPANEMA</v>
      </c>
      <c r="D586" s="1"/>
      <c r="E586" s="2" t="str">
        <f ca="1">IFERROR(__xludf.DUMMYFUNCTION("""COMPUTED_VALUE"""),"DRE - CAPANEMA")</f>
        <v>DRE - CAPANEMA</v>
      </c>
      <c r="F586" s="1">
        <f ca="1">IFERROR(__xludf.DUMMYFUNCTION("""COMPUTED_VALUE"""),3)</f>
        <v>3</v>
      </c>
      <c r="G586" s="1" t="str">
        <f ca="1">IFERROR(__xludf.DUMMYFUNCTION("""COMPUTED_VALUE"""),"DRE CAPANEMA")</f>
        <v>DRE CAPANEMA</v>
      </c>
      <c r="H586" s="1" t="str">
        <f ca="1">IFERROR(__xludf.DUMMYFUNCTION("""COMPUTED_VALUE"""),"14A URE - CAPANEMA")</f>
        <v>14A URE - CAPANEMA</v>
      </c>
      <c r="I586" s="1"/>
      <c r="J586" s="1" t="str">
        <f ca="1">IFERROR(__xludf.DUMMYFUNCTION("""COMPUTED_VALUE"""),"SALINOPOLIS")</f>
        <v>SALINOPOLIS</v>
      </c>
      <c r="K586" s="1">
        <f ca="1">IFERROR(__xludf.DUMMYFUNCTION("""COMPUTED_VALUE"""),15052222)</f>
        <v>15052222</v>
      </c>
      <c r="L586" s="2" t="str">
        <f ca="1">IFERROR(__xludf.DUMMYFUNCTION("""COMPUTED_VALUE"""),"001920918510000")</f>
        <v>001920918510000</v>
      </c>
      <c r="M586" s="2" t="str">
        <f ca="1">IFERROR(__xludf.DUMMYFUNCTION("""COMPUTED_VALUE"""),"1920918510000")</f>
        <v>1920918510000</v>
      </c>
      <c r="N586" s="1" t="str">
        <f ca="1">IFERROR(__xludf.DUMMYFUNCTION("""COMPUTED_VALUE"""),"EEEM DR MIGUEL DE SANTA BRIGIDA")</f>
        <v>EEEM DR MIGUEL DE SANTA BRIGIDA</v>
      </c>
      <c r="O586" s="1"/>
      <c r="P586" s="1"/>
      <c r="Q586" s="1" t="s">
        <v>559</v>
      </c>
    </row>
    <row r="587" spans="1:17" x14ac:dyDescent="0.25">
      <c r="A587" s="2" t="str">
        <f ca="1">IFERROR(__xludf.DUMMYFUNCTION("""COMPUTED_VALUE"""),"REG DE INTEGRA DO RIO CAITE")</f>
        <v>REG DE INTEGRA DO RIO CAITE</v>
      </c>
      <c r="B587" s="1" t="str">
        <f ca="1">IFERROR(__xludf.DUMMYFUNCTION("""COMPUTED_VALUE"""),"DRE CAPANEMA")</f>
        <v>DRE CAPANEMA</v>
      </c>
      <c r="C587" s="2" t="str">
        <f ca="1">IFERROR(__xludf.DUMMYFUNCTION("""COMPUTED_VALUE"""),"DRE - CAPANEMA")</f>
        <v>DRE - CAPANEMA</v>
      </c>
      <c r="D587" s="1"/>
      <c r="E587" s="2" t="str">
        <f ca="1">IFERROR(__xludf.DUMMYFUNCTION("""COMPUTED_VALUE"""),"DRE - CAPANEMA")</f>
        <v>DRE - CAPANEMA</v>
      </c>
      <c r="F587" s="1">
        <f ca="1">IFERROR(__xludf.DUMMYFUNCTION("""COMPUTED_VALUE"""),3)</f>
        <v>3</v>
      </c>
      <c r="G587" s="1" t="str">
        <f ca="1">IFERROR(__xludf.DUMMYFUNCTION("""COMPUTED_VALUE"""),"DRE CAPANEMA")</f>
        <v>DRE CAPANEMA</v>
      </c>
      <c r="H587" s="1" t="str">
        <f ca="1">IFERROR(__xludf.DUMMYFUNCTION("""COMPUTED_VALUE"""),"14A URE - CAPANEMA")</f>
        <v>14A URE - CAPANEMA</v>
      </c>
      <c r="I587" s="1"/>
      <c r="J587" s="1" t="str">
        <f ca="1">IFERROR(__xludf.DUMMYFUNCTION("""COMPUTED_VALUE"""),"SALINOPOLIS")</f>
        <v>SALINOPOLIS</v>
      </c>
      <c r="K587" s="1">
        <f ca="1">IFERROR(__xludf.DUMMYFUNCTION("""COMPUTED_VALUE"""),15052150)</f>
        <v>15052150</v>
      </c>
      <c r="L587" s="2" t="str">
        <f ca="1">IFERROR(__xludf.DUMMYFUNCTION("""COMPUTED_VALUE"""),"001920918460000")</f>
        <v>001920918460000</v>
      </c>
      <c r="M587" s="2" t="str">
        <f ca="1">IFERROR(__xludf.DUMMYFUNCTION("""COMPUTED_VALUE"""),"1920918460000")</f>
        <v>1920918460000</v>
      </c>
      <c r="N587" s="1" t="str">
        <f ca="1">IFERROR(__xludf.DUMMYFUNCTION("""COMPUTED_VALUE"""),"EEEM PROFA ARACY ALVES DIAS - ESCOLA SEDE")</f>
        <v>EEEM PROFA ARACY ALVES DIAS - ESCOLA SEDE</v>
      </c>
      <c r="O587" s="1"/>
      <c r="P587" s="1"/>
      <c r="Q587" s="1" t="s">
        <v>559</v>
      </c>
    </row>
    <row r="588" spans="1:17" x14ac:dyDescent="0.25">
      <c r="A588" s="2" t="str">
        <f ca="1">IFERROR(__xludf.DUMMYFUNCTION("""COMPUTED_VALUE"""),"REG DE INTEGRA DO RIO CAITE")</f>
        <v>REG DE INTEGRA DO RIO CAITE</v>
      </c>
      <c r="B588" s="1" t="str">
        <f ca="1">IFERROR(__xludf.DUMMYFUNCTION("""COMPUTED_VALUE"""),"DRE CAPANEMA")</f>
        <v>DRE CAPANEMA</v>
      </c>
      <c r="C588" s="2" t="str">
        <f ca="1">IFERROR(__xludf.DUMMYFUNCTION("""COMPUTED_VALUE"""),"DRE - CAPANEMA")</f>
        <v>DRE - CAPANEMA</v>
      </c>
      <c r="D588" s="1"/>
      <c r="E588" s="2" t="str">
        <f ca="1">IFERROR(__xludf.DUMMYFUNCTION("""COMPUTED_VALUE"""),"DRE - CAPANEMA")</f>
        <v>DRE - CAPANEMA</v>
      </c>
      <c r="F588" s="1">
        <f ca="1">IFERROR(__xludf.DUMMYFUNCTION("""COMPUTED_VALUE"""),3)</f>
        <v>3</v>
      </c>
      <c r="G588" s="1" t="str">
        <f ca="1">IFERROR(__xludf.DUMMYFUNCTION("""COMPUTED_VALUE"""),"DRE CAPANEMA")</f>
        <v>DRE CAPANEMA</v>
      </c>
      <c r="H588" s="1" t="str">
        <f ca="1">IFERROR(__xludf.DUMMYFUNCTION("""COMPUTED_VALUE"""),"14A URE - CAPANEMA")</f>
        <v>14A URE - CAPANEMA</v>
      </c>
      <c r="I588" s="1"/>
      <c r="J588" s="1" t="str">
        <f ca="1">IFERROR(__xludf.DUMMYFUNCTION("""COMPUTED_VALUE"""),"SANTA LUZIA DO PARA")</f>
        <v>SANTA LUZIA DO PARA</v>
      </c>
      <c r="K588" s="1">
        <f ca="1">IFERROR(__xludf.DUMMYFUNCTION("""COMPUTED_VALUE"""),15094065)</f>
        <v>15094065</v>
      </c>
      <c r="L588" s="2" t="str">
        <f ca="1">IFERROR(__xludf.DUMMYFUNCTION("""COMPUTED_VALUE"""),"001920915680000")</f>
        <v>001920915680000</v>
      </c>
      <c r="M588" s="2" t="str">
        <f ca="1">IFERROR(__xludf.DUMMYFUNCTION("""COMPUTED_VALUE"""),"1920915680000")</f>
        <v>1920915680000</v>
      </c>
      <c r="N588" s="1" t="str">
        <f ca="1">IFERROR(__xludf.DUMMYFUNCTION("""COMPUTED_VALUE"""),"EEEM PROFA FLORENTINA DAMASCENO")</f>
        <v>EEEM PROFA FLORENTINA DAMASCENO</v>
      </c>
      <c r="O588" s="1"/>
      <c r="P588" s="1"/>
      <c r="Q588" s="1" t="s">
        <v>559</v>
      </c>
    </row>
    <row r="589" spans="1:17" x14ac:dyDescent="0.25">
      <c r="A589" s="2" t="str">
        <f ca="1">IFERROR(__xludf.DUMMYFUNCTION("""COMPUTED_VALUE"""),"REG DE INTEGRA DO RIO CAITE")</f>
        <v>REG DE INTEGRA DO RIO CAITE</v>
      </c>
      <c r="B589" s="1" t="str">
        <f ca="1">IFERROR(__xludf.DUMMYFUNCTION("""COMPUTED_VALUE"""),"DRE CAPANEMA")</f>
        <v>DRE CAPANEMA</v>
      </c>
      <c r="C589" s="2" t="str">
        <f ca="1">IFERROR(__xludf.DUMMYFUNCTION("""COMPUTED_VALUE"""),"DRE - CAPANEMA")</f>
        <v>DRE - CAPANEMA</v>
      </c>
      <c r="D589" s="1"/>
      <c r="E589" s="2" t="str">
        <f ca="1">IFERROR(__xludf.DUMMYFUNCTION("""COMPUTED_VALUE"""),"DRE - CAPANEMA")</f>
        <v>DRE - CAPANEMA</v>
      </c>
      <c r="F589" s="1">
        <f ca="1">IFERROR(__xludf.DUMMYFUNCTION("""COMPUTED_VALUE"""),3)</f>
        <v>3</v>
      </c>
      <c r="G589" s="1" t="str">
        <f ca="1">IFERROR(__xludf.DUMMYFUNCTION("""COMPUTED_VALUE"""),"DRE CAPANEMA")</f>
        <v>DRE CAPANEMA</v>
      </c>
      <c r="H589" s="1" t="str">
        <f ca="1">IFERROR(__xludf.DUMMYFUNCTION("""COMPUTED_VALUE"""),"14A URE - CAPANEMA")</f>
        <v>14A URE - CAPANEMA</v>
      </c>
      <c r="I589" s="1"/>
      <c r="J589" s="1" t="str">
        <f ca="1">IFERROR(__xludf.DUMMYFUNCTION("""COMPUTED_VALUE"""),"SANTAREM NOVO")</f>
        <v>SANTAREM NOVO</v>
      </c>
      <c r="K589" s="1">
        <f ca="1">IFERROR(__xludf.DUMMYFUNCTION("""COMPUTED_VALUE"""),15063615)</f>
        <v>15063615</v>
      </c>
      <c r="L589" s="2" t="str">
        <f ca="1">IFERROR(__xludf.DUMMYFUNCTION("""COMPUTED_VALUE"""),"001920937130000")</f>
        <v>001920937130000</v>
      </c>
      <c r="M589" s="2" t="str">
        <f ca="1">IFERROR(__xludf.DUMMYFUNCTION("""COMPUTED_VALUE"""),"1920937130000")</f>
        <v>1920937130000</v>
      </c>
      <c r="N589" s="1" t="str">
        <f ca="1">IFERROR(__xludf.DUMMYFUNCTION("""COMPUTED_VALUE"""),"EEEM ROSA CARRERA LOUREIRO AQUINO")</f>
        <v>EEEM ROSA CARRERA LOUREIRO AQUINO</v>
      </c>
      <c r="O589" s="1"/>
      <c r="P589" s="1"/>
      <c r="Q589" s="1" t="s">
        <v>559</v>
      </c>
    </row>
    <row r="590" spans="1:17" x14ac:dyDescent="0.25">
      <c r="A590" s="2" t="str">
        <f ca="1">IFERROR(__xludf.DUMMYFUNCTION("""COMPUTED_VALUE"""),"REG DE INTEGRA DO RIO CAITE")</f>
        <v>REG DE INTEGRA DO RIO CAITE</v>
      </c>
      <c r="B590" s="1" t="str">
        <f ca="1">IFERROR(__xludf.DUMMYFUNCTION("""COMPUTED_VALUE"""),"DRE CAPANEMA")</f>
        <v>DRE CAPANEMA</v>
      </c>
      <c r="C590" s="2" t="str">
        <f ca="1">IFERROR(__xludf.DUMMYFUNCTION("""COMPUTED_VALUE"""),"DRE - CAPANEMA")</f>
        <v>DRE - CAPANEMA</v>
      </c>
      <c r="D590" s="1"/>
      <c r="E590" s="2" t="str">
        <f ca="1">IFERROR(__xludf.DUMMYFUNCTION("""COMPUTED_VALUE"""),"DRE - CAPANEMA")</f>
        <v>DRE - CAPANEMA</v>
      </c>
      <c r="F590" s="1">
        <f ca="1">IFERROR(__xludf.DUMMYFUNCTION("""COMPUTED_VALUE"""),3)</f>
        <v>3</v>
      </c>
      <c r="G590" s="1" t="str">
        <f ca="1">IFERROR(__xludf.DUMMYFUNCTION("""COMPUTED_VALUE"""),"DRE CAPANEMA")</f>
        <v>DRE CAPANEMA</v>
      </c>
      <c r="H590" s="1" t="str">
        <f ca="1">IFERROR(__xludf.DUMMYFUNCTION("""COMPUTED_VALUE"""),"14A URE - CAPANEMA")</f>
        <v>14A URE - CAPANEMA</v>
      </c>
      <c r="I590" s="1"/>
      <c r="J590" s="1" t="str">
        <f ca="1">IFERROR(__xludf.DUMMYFUNCTION("""COMPUTED_VALUE"""),"SAO JOAO DE PIRABAS")</f>
        <v>SAO JOAO DE PIRABAS</v>
      </c>
      <c r="K590" s="1">
        <f ca="1">IFERROR(__xludf.DUMMYFUNCTION("""COMPUTED_VALUE"""),15053482)</f>
        <v>15053482</v>
      </c>
      <c r="L590" s="2" t="str">
        <f ca="1">IFERROR(__xludf.DUMMYFUNCTION("""COMPUTED_VALUE"""),"001920918280000")</f>
        <v>001920918280000</v>
      </c>
      <c r="M590" s="2" t="str">
        <f ca="1">IFERROR(__xludf.DUMMYFUNCTION("""COMPUTED_VALUE"""),"1920918280000")</f>
        <v>1920918280000</v>
      </c>
      <c r="N590" s="1" t="str">
        <f ca="1">IFERROR(__xludf.DUMMYFUNCTION("""COMPUTED_VALUE"""),"EEEM FRANCISCO DA SILVA NUNES")</f>
        <v>EEEM FRANCISCO DA SILVA NUNES</v>
      </c>
      <c r="O590" s="1"/>
      <c r="P590" s="1"/>
      <c r="Q590" s="1" t="s">
        <v>559</v>
      </c>
    </row>
    <row r="591" spans="1:17" x14ac:dyDescent="0.25">
      <c r="A591" s="2" t="str">
        <f ca="1">IFERROR(__xludf.DUMMYFUNCTION("""COMPUTED_VALUE"""),"REG DE INTEGRA DO RIO CAPIM")</f>
        <v>REG DE INTEGRA DO RIO CAPIM</v>
      </c>
      <c r="B591" s="1" t="str">
        <f ca="1">IFERROR(__xludf.DUMMYFUNCTION("""COMPUTED_VALUE"""),"DRE CAPITAO POCO")</f>
        <v>DRE CAPITAO POCO</v>
      </c>
      <c r="C591" s="2" t="str">
        <f ca="1">IFERROR(__xludf.DUMMYFUNCTION("""COMPUTED_VALUE"""),"DRE - CAPITAO POCO")</f>
        <v>DRE - CAPITAO POCO</v>
      </c>
      <c r="D591" s="1"/>
      <c r="E591" s="2" t="str">
        <f ca="1">IFERROR(__xludf.DUMMYFUNCTION("""COMPUTED_VALUE"""),"DRE - CAPITAO POCO")</f>
        <v>DRE - CAPITAO POCO</v>
      </c>
      <c r="F591" s="1">
        <f ca="1">IFERROR(__xludf.DUMMYFUNCTION("""COMPUTED_VALUE"""),2)</f>
        <v>2</v>
      </c>
      <c r="G591" s="1" t="str">
        <f ca="1">IFERROR(__xludf.DUMMYFUNCTION("""COMPUTED_VALUE"""),"DRE CAPITAO POCO")</f>
        <v>DRE CAPITAO POCO</v>
      </c>
      <c r="H591" s="1" t="str">
        <f ca="1">IFERROR(__xludf.DUMMYFUNCTION("""COMPUTED_VALUE"""),"17A URE - CAPITAO POCO")</f>
        <v>17A URE - CAPITAO POCO</v>
      </c>
      <c r="I591" s="1"/>
      <c r="J591" s="1" t="str">
        <f ca="1">IFERROR(__xludf.DUMMYFUNCTION("""COMPUTED_VALUE"""),"CAPITAO POCO")</f>
        <v>CAPITAO POCO</v>
      </c>
      <c r="K591" s="1"/>
      <c r="L591" s="2" t="str">
        <f ca="1">IFERROR(__xludf.DUMMYFUNCTION("""COMPUTED_VALUE"""),"001920900170000")</f>
        <v>001920900170000</v>
      </c>
      <c r="M591" s="2" t="str">
        <f ca="1">IFERROR(__xludf.DUMMYFUNCTION("""COMPUTED_VALUE"""),"1920900170000")</f>
        <v>1920900170000</v>
      </c>
      <c r="N591" s="1" t="str">
        <f ca="1">IFERROR(__xludf.DUMMYFUNCTION("""COMPUTED_VALUE"""),"17 URE")</f>
        <v>17 URE</v>
      </c>
      <c r="O591" s="1"/>
      <c r="P591" s="1"/>
      <c r="Q591" s="1" t="s">
        <v>610</v>
      </c>
    </row>
    <row r="592" spans="1:17" x14ac:dyDescent="0.25">
      <c r="A592" s="2" t="str">
        <f ca="1">IFERROR(__xludf.DUMMYFUNCTION("""COMPUTED_VALUE"""),"REG DE INTEGRA DO RIO CAPIM")</f>
        <v>REG DE INTEGRA DO RIO CAPIM</v>
      </c>
      <c r="B592" s="1" t="str">
        <f ca="1">IFERROR(__xludf.DUMMYFUNCTION("""COMPUTED_VALUE"""),"DRE CAPITAO POCO")</f>
        <v>DRE CAPITAO POCO</v>
      </c>
      <c r="C592" s="2" t="str">
        <f ca="1">IFERROR(__xludf.DUMMYFUNCTION("""COMPUTED_VALUE"""),"DRE - CAPITAO POCO")</f>
        <v>DRE - CAPITAO POCO</v>
      </c>
      <c r="D592" s="1"/>
      <c r="E592" s="2" t="str">
        <f ca="1">IFERROR(__xludf.DUMMYFUNCTION("""COMPUTED_VALUE"""),"DRE - CAPITAO POCO")</f>
        <v>DRE - CAPITAO POCO</v>
      </c>
      <c r="F592" s="1">
        <f ca="1">IFERROR(__xludf.DUMMYFUNCTION("""COMPUTED_VALUE"""),2)</f>
        <v>2</v>
      </c>
      <c r="G592" s="1" t="str">
        <f ca="1">IFERROR(__xludf.DUMMYFUNCTION("""COMPUTED_VALUE"""),"DRE CAPITAO POCO")</f>
        <v>DRE CAPITAO POCO</v>
      </c>
      <c r="H592" s="1" t="str">
        <f ca="1">IFERROR(__xludf.DUMMYFUNCTION("""COMPUTED_VALUE"""),"17A URE - CAPITAO POCO")</f>
        <v>17A URE - CAPITAO POCO</v>
      </c>
      <c r="I592" s="1"/>
      <c r="J592" s="1" t="str">
        <f ca="1">IFERROR(__xludf.DUMMYFUNCTION("""COMPUTED_VALUE"""),"CAPITAO POCO")</f>
        <v>CAPITAO POCO</v>
      </c>
      <c r="K592" s="1">
        <f ca="1">IFERROR(__xludf.DUMMYFUNCTION("""COMPUTED_VALUE"""),15531422)</f>
        <v>15531422</v>
      </c>
      <c r="L592" s="2" t="str">
        <f ca="1">IFERROR(__xludf.DUMMYFUNCTION("""COMPUTED_VALUE"""),"001920916130006")</f>
        <v>001920916130006</v>
      </c>
      <c r="M592" s="2" t="str">
        <f ca="1">IFERROR(__xludf.DUMMYFUNCTION("""COMPUTED_VALUE"""),"1920916130006")</f>
        <v>1920916130006</v>
      </c>
      <c r="N592" s="1" t="str">
        <f ca="1">IFERROR(__xludf.DUMMYFUNCTION("""COMPUTED_VALUE"""),"ANEXO ITUACU")</f>
        <v>ANEXO ITUACU</v>
      </c>
      <c r="O592" s="1"/>
      <c r="P592" s="1"/>
      <c r="Q592" s="1" t="s">
        <v>610</v>
      </c>
    </row>
    <row r="593" spans="1:17" x14ac:dyDescent="0.25">
      <c r="A593" s="2" t="str">
        <f ca="1">IFERROR(__xludf.DUMMYFUNCTION("""COMPUTED_VALUE"""),"REG DE INTEGRA DO RIO CAPIM")</f>
        <v>REG DE INTEGRA DO RIO CAPIM</v>
      </c>
      <c r="B593" s="1" t="str">
        <f ca="1">IFERROR(__xludf.DUMMYFUNCTION("""COMPUTED_VALUE"""),"DRE CAPITAO POCO")</f>
        <v>DRE CAPITAO POCO</v>
      </c>
      <c r="C593" s="2" t="str">
        <f ca="1">IFERROR(__xludf.DUMMYFUNCTION("""COMPUTED_VALUE"""),"DRE - CAPITAO POCO")</f>
        <v>DRE - CAPITAO POCO</v>
      </c>
      <c r="D593" s="1"/>
      <c r="E593" s="2" t="str">
        <f ca="1">IFERROR(__xludf.DUMMYFUNCTION("""COMPUTED_VALUE"""),"DRE - CAPITAO POCO")</f>
        <v>DRE - CAPITAO POCO</v>
      </c>
      <c r="F593" s="1">
        <f ca="1">IFERROR(__xludf.DUMMYFUNCTION("""COMPUTED_VALUE"""),2)</f>
        <v>2</v>
      </c>
      <c r="G593" s="1" t="str">
        <f ca="1">IFERROR(__xludf.DUMMYFUNCTION("""COMPUTED_VALUE"""),"DRE CAPITAO POCO")</f>
        <v>DRE CAPITAO POCO</v>
      </c>
      <c r="H593" s="1" t="str">
        <f ca="1">IFERROR(__xludf.DUMMYFUNCTION("""COMPUTED_VALUE"""),"17A URE - CAPITAO POCO")</f>
        <v>17A URE - CAPITAO POCO</v>
      </c>
      <c r="I593" s="1"/>
      <c r="J593" s="1" t="str">
        <f ca="1">IFERROR(__xludf.DUMMYFUNCTION("""COMPUTED_VALUE"""),"CAPITAO POCO")</f>
        <v>CAPITAO POCO</v>
      </c>
      <c r="K593" s="1">
        <f ca="1">IFERROR(__xludf.DUMMYFUNCTION("""COMPUTED_VALUE"""),15176240)</f>
        <v>15176240</v>
      </c>
      <c r="L593" s="2" t="str">
        <f ca="1">IFERROR(__xludf.DUMMYFUNCTION("""COMPUTED_VALUE"""),"001920936370001")</f>
        <v>001920936370001</v>
      </c>
      <c r="M593" s="2" t="str">
        <f ca="1">IFERROR(__xludf.DUMMYFUNCTION("""COMPUTED_VALUE"""),"1920936370001")</f>
        <v>1920936370001</v>
      </c>
      <c r="N593" s="1" t="str">
        <f ca="1">IFERROR(__xludf.DUMMYFUNCTION("""COMPUTED_VALUE"""),"ANEXO JOAO MOTA DOS SANTOS")</f>
        <v>ANEXO JOAO MOTA DOS SANTOS</v>
      </c>
      <c r="O593" s="1"/>
      <c r="P593" s="1"/>
      <c r="Q593" s="1" t="s">
        <v>610</v>
      </c>
    </row>
    <row r="594" spans="1:17" x14ac:dyDescent="0.25">
      <c r="A594" s="2" t="str">
        <f ca="1">IFERROR(__xludf.DUMMYFUNCTION("""COMPUTED_VALUE"""),"REG DE INTEGRA DO RIO CAPIM")</f>
        <v>REG DE INTEGRA DO RIO CAPIM</v>
      </c>
      <c r="B594" s="1" t="str">
        <f ca="1">IFERROR(__xludf.DUMMYFUNCTION("""COMPUTED_VALUE"""),"DRE CAPITAO POCO")</f>
        <v>DRE CAPITAO POCO</v>
      </c>
      <c r="C594" s="2" t="str">
        <f ca="1">IFERROR(__xludf.DUMMYFUNCTION("""COMPUTED_VALUE"""),"DRE - CAPITAO POCO")</f>
        <v>DRE - CAPITAO POCO</v>
      </c>
      <c r="D594" s="1"/>
      <c r="E594" s="2" t="str">
        <f ca="1">IFERROR(__xludf.DUMMYFUNCTION("""COMPUTED_VALUE"""),"DRE - CAPITAO POCO")</f>
        <v>DRE - CAPITAO POCO</v>
      </c>
      <c r="F594" s="1">
        <f ca="1">IFERROR(__xludf.DUMMYFUNCTION("""COMPUTED_VALUE"""),2)</f>
        <v>2</v>
      </c>
      <c r="G594" s="1" t="str">
        <f ca="1">IFERROR(__xludf.DUMMYFUNCTION("""COMPUTED_VALUE"""),"DRE CAPITAO POCO")</f>
        <v>DRE CAPITAO POCO</v>
      </c>
      <c r="H594" s="1" t="str">
        <f ca="1">IFERROR(__xludf.DUMMYFUNCTION("""COMPUTED_VALUE"""),"17A URE - CAPITAO POCO")</f>
        <v>17A URE - CAPITAO POCO</v>
      </c>
      <c r="I594" s="1"/>
      <c r="J594" s="1" t="str">
        <f ca="1">IFERROR(__xludf.DUMMYFUNCTION("""COMPUTED_VALUE"""),"CAPITAO POCO")</f>
        <v>CAPITAO POCO</v>
      </c>
      <c r="K594" s="1">
        <f ca="1">IFERROR(__xludf.DUMMYFUNCTION("""COMPUTED_VALUE"""),15171566)</f>
        <v>15171566</v>
      </c>
      <c r="L594" s="2" t="str">
        <f ca="1">IFERROR(__xludf.DUMMYFUNCTION("""COMPUTED_VALUE"""),"001920937860002")</f>
        <v>001920937860002</v>
      </c>
      <c r="M594" s="2" t="str">
        <f ca="1">IFERROR(__xludf.DUMMYFUNCTION("""COMPUTED_VALUE"""),"1920937860002")</f>
        <v>1920937860002</v>
      </c>
      <c r="N594" s="1" t="str">
        <f ca="1">IFERROR(__xludf.DUMMYFUNCTION("""COMPUTED_VALUE"""),"ANEXO RUFINO ROMAO TEMBE")</f>
        <v>ANEXO RUFINO ROMAO TEMBE</v>
      </c>
      <c r="O594" s="1"/>
      <c r="P594" s="1"/>
      <c r="Q594" s="1" t="s">
        <v>610</v>
      </c>
    </row>
    <row r="595" spans="1:17" x14ac:dyDescent="0.25">
      <c r="A595" s="2" t="str">
        <f ca="1">IFERROR(__xludf.DUMMYFUNCTION("""COMPUTED_VALUE"""),"REG DE INTEGRA DO RIO CAPIM")</f>
        <v>REG DE INTEGRA DO RIO CAPIM</v>
      </c>
      <c r="B595" s="1" t="str">
        <f ca="1">IFERROR(__xludf.DUMMYFUNCTION("""COMPUTED_VALUE"""),"DRE CAPITAO POCO")</f>
        <v>DRE CAPITAO POCO</v>
      </c>
      <c r="C595" s="2" t="str">
        <f ca="1">IFERROR(__xludf.DUMMYFUNCTION("""COMPUTED_VALUE"""),"DRE - CAPITAO POCO")</f>
        <v>DRE - CAPITAO POCO</v>
      </c>
      <c r="D595" s="1"/>
      <c r="E595" s="2" t="str">
        <f ca="1">IFERROR(__xludf.DUMMYFUNCTION("""COMPUTED_VALUE"""),"DRE - CAPITAO POCO")</f>
        <v>DRE - CAPITAO POCO</v>
      </c>
      <c r="F595" s="1">
        <f ca="1">IFERROR(__xludf.DUMMYFUNCTION("""COMPUTED_VALUE"""),2)</f>
        <v>2</v>
      </c>
      <c r="G595" s="1"/>
      <c r="H595" s="1" t="str">
        <f ca="1">IFERROR(__xludf.DUMMYFUNCTION("""COMPUTED_VALUE"""),"17A URE - CAPITAO POCO")</f>
        <v>17A URE - CAPITAO POCO</v>
      </c>
      <c r="I595" s="1"/>
      <c r="J595" s="1" t="str">
        <f ca="1">IFERROR(__xludf.DUMMYFUNCTION("""COMPUTED_VALUE"""),"CAPITAO POCO")</f>
        <v>CAPITAO POCO</v>
      </c>
      <c r="K595" s="1">
        <f ca="1">IFERROR(__xludf.DUMMYFUNCTION("""COMPUTED_VALUE"""),15178064)</f>
        <v>15178064</v>
      </c>
      <c r="L595" s="2" t="str">
        <f ca="1">IFERROR(__xludf.DUMMYFUNCTION("""COMPUTED_VALUE"""),"001920916190001")</f>
        <v>001920916190001</v>
      </c>
      <c r="M595" s="2" t="str">
        <f ca="1">IFERROR(__xludf.DUMMYFUNCTION("""COMPUTED_VALUE"""),"1920916190001")</f>
        <v>1920916190001</v>
      </c>
      <c r="N595" s="1" t="str">
        <f ca="1">IFERROR(__xludf.DUMMYFUNCTION("""COMPUTED_VALUE"""),"ANEXO RURAL DIONISIO HAGE")</f>
        <v>ANEXO RURAL DIONISIO HAGE</v>
      </c>
      <c r="O595" s="1"/>
      <c r="P595" s="1"/>
      <c r="Q595" s="1" t="s">
        <v>610</v>
      </c>
    </row>
    <row r="596" spans="1:17" x14ac:dyDescent="0.25">
      <c r="A596" s="2" t="str">
        <f ca="1">IFERROR(__xludf.DUMMYFUNCTION("""COMPUTED_VALUE"""),"REG DE INTEGRA DO RIO CAPIM")</f>
        <v>REG DE INTEGRA DO RIO CAPIM</v>
      </c>
      <c r="B596" s="1" t="str">
        <f ca="1">IFERROR(__xludf.DUMMYFUNCTION("""COMPUTED_VALUE"""),"DRE CAPITAO POCO")</f>
        <v>DRE CAPITAO POCO</v>
      </c>
      <c r="C596" s="2" t="str">
        <f ca="1">IFERROR(__xludf.DUMMYFUNCTION("""COMPUTED_VALUE"""),"DRE - CAPITAO POCO")</f>
        <v>DRE - CAPITAO POCO</v>
      </c>
      <c r="D596" s="1"/>
      <c r="E596" s="2" t="str">
        <f ca="1">IFERROR(__xludf.DUMMYFUNCTION("""COMPUTED_VALUE"""),"DRE - CAPITAO POCO")</f>
        <v>DRE - CAPITAO POCO</v>
      </c>
      <c r="F596" s="1">
        <f ca="1">IFERROR(__xludf.DUMMYFUNCTION("""COMPUTED_VALUE"""),2)</f>
        <v>2</v>
      </c>
      <c r="G596" s="1" t="str">
        <f ca="1">IFERROR(__xludf.DUMMYFUNCTION("""COMPUTED_VALUE"""),"DRE CAPITAO POCO")</f>
        <v>DRE CAPITAO POCO</v>
      </c>
      <c r="H596" s="1" t="str">
        <f ca="1">IFERROR(__xludf.DUMMYFUNCTION("""COMPUTED_VALUE"""),"17A URE - CAPITAO POCO")</f>
        <v>17A URE - CAPITAO POCO</v>
      </c>
      <c r="I596" s="1"/>
      <c r="J596" s="1" t="str">
        <f ca="1">IFERROR(__xludf.DUMMYFUNCTION("""COMPUTED_VALUE"""),"CAPITAO POCO")</f>
        <v>CAPITAO POCO</v>
      </c>
      <c r="K596" s="1">
        <f ca="1">IFERROR(__xludf.DUMMYFUNCTION("""COMPUTED_VALUE"""),15518191)</f>
        <v>15518191</v>
      </c>
      <c r="L596" s="2" t="str">
        <f ca="1">IFERROR(__xludf.DUMMYFUNCTION("""COMPUTED_VALUE"""),"001920916130002")</f>
        <v>001920916130002</v>
      </c>
      <c r="M596" s="2" t="str">
        <f ca="1">IFERROR(__xludf.DUMMYFUNCTION("""COMPUTED_VALUE"""),"1920916130002")</f>
        <v>1920916130002</v>
      </c>
      <c r="N596" s="1" t="str">
        <f ca="1">IFERROR(__xludf.DUMMYFUNCTION("""COMPUTED_VALUE"""),"EEEF  ITAPUTIR - ANEXO")</f>
        <v>EEEF  ITAPUTIR - ANEXO</v>
      </c>
      <c r="O596" s="1"/>
      <c r="P596" s="1"/>
      <c r="Q596" s="1" t="s">
        <v>610</v>
      </c>
    </row>
    <row r="597" spans="1:17" x14ac:dyDescent="0.25">
      <c r="A597" s="2" t="str">
        <f ca="1">IFERROR(__xludf.DUMMYFUNCTION("""COMPUTED_VALUE"""),"REG DE INTEGRA DO RIO CAPIM")</f>
        <v>REG DE INTEGRA DO RIO CAPIM</v>
      </c>
      <c r="B597" s="1" t="str">
        <f ca="1">IFERROR(__xludf.DUMMYFUNCTION("""COMPUTED_VALUE"""),"DRE CAPITAO POCO")</f>
        <v>DRE CAPITAO POCO</v>
      </c>
      <c r="C597" s="2" t="str">
        <f ca="1">IFERROR(__xludf.DUMMYFUNCTION("""COMPUTED_VALUE"""),"DRE - CAPITAO POCO")</f>
        <v>DRE - CAPITAO POCO</v>
      </c>
      <c r="D597" s="1"/>
      <c r="E597" s="2" t="str">
        <f ca="1">IFERROR(__xludf.DUMMYFUNCTION("""COMPUTED_VALUE"""),"DRE - CAPITAO POCO")</f>
        <v>DRE - CAPITAO POCO</v>
      </c>
      <c r="F597" s="1">
        <f ca="1">IFERROR(__xludf.DUMMYFUNCTION("""COMPUTED_VALUE"""),2)</f>
        <v>2</v>
      </c>
      <c r="G597" s="1" t="str">
        <f ca="1">IFERROR(__xludf.DUMMYFUNCTION("""COMPUTED_VALUE"""),"DRE CAPITAO POCO")</f>
        <v>DRE CAPITAO POCO</v>
      </c>
      <c r="H597" s="1" t="str">
        <f ca="1">IFERROR(__xludf.DUMMYFUNCTION("""COMPUTED_VALUE"""),"17A URE - CAPITAO POCO")</f>
        <v>17A URE - CAPITAO POCO</v>
      </c>
      <c r="I597" s="1"/>
      <c r="J597" s="1" t="str">
        <f ca="1">IFERROR(__xludf.DUMMYFUNCTION("""COMPUTED_VALUE"""),"CAPITAO POCO")</f>
        <v>CAPITAO POCO</v>
      </c>
      <c r="K597" s="1">
        <f ca="1">IFERROR(__xludf.DUMMYFUNCTION("""COMPUTED_VALUE"""),15534324)</f>
        <v>15534324</v>
      </c>
      <c r="L597" s="2" t="str">
        <f ca="1">IFERROR(__xludf.DUMMYFUNCTION("""COMPUTED_VALUE"""),"001920916130003")</f>
        <v>001920916130003</v>
      </c>
      <c r="M597" s="2" t="str">
        <f ca="1">IFERROR(__xludf.DUMMYFUNCTION("""COMPUTED_VALUE"""),"1920916130003")</f>
        <v>1920916130003</v>
      </c>
      <c r="N597" s="1" t="str">
        <f ca="1">IFERROR(__xludf.DUMMYFUNCTION("""COMPUTED_VALUE"""),"EEEF  PIRA - ANEXO")</f>
        <v>EEEF  PIRA - ANEXO</v>
      </c>
      <c r="O597" s="1"/>
      <c r="P597" s="1"/>
      <c r="Q597" s="1" t="s">
        <v>610</v>
      </c>
    </row>
    <row r="598" spans="1:17" x14ac:dyDescent="0.25">
      <c r="A598" s="2" t="str">
        <f ca="1">IFERROR(__xludf.DUMMYFUNCTION("""COMPUTED_VALUE"""),"REG DE INTEGRA DO RIO CAPIM")</f>
        <v>REG DE INTEGRA DO RIO CAPIM</v>
      </c>
      <c r="B598" s="1" t="str">
        <f ca="1">IFERROR(__xludf.DUMMYFUNCTION("""COMPUTED_VALUE"""),"DRE CAPITAO POCO")</f>
        <v>DRE CAPITAO POCO</v>
      </c>
      <c r="C598" s="2" t="str">
        <f ca="1">IFERROR(__xludf.DUMMYFUNCTION("""COMPUTED_VALUE"""),"DRE - CAPITAO POCO")</f>
        <v>DRE - CAPITAO POCO</v>
      </c>
      <c r="D598" s="1"/>
      <c r="E598" s="2" t="str">
        <f ca="1">IFERROR(__xludf.DUMMYFUNCTION("""COMPUTED_VALUE"""),"DRE - CAPITAO POCO")</f>
        <v>DRE - CAPITAO POCO</v>
      </c>
      <c r="F598" s="1">
        <f ca="1">IFERROR(__xludf.DUMMYFUNCTION("""COMPUTED_VALUE"""),2)</f>
        <v>2</v>
      </c>
      <c r="G598" s="1" t="str">
        <f ca="1">IFERROR(__xludf.DUMMYFUNCTION("""COMPUTED_VALUE"""),"DRE CAPITAO POCO")</f>
        <v>DRE CAPITAO POCO</v>
      </c>
      <c r="H598" s="1" t="str">
        <f ca="1">IFERROR(__xludf.DUMMYFUNCTION("""COMPUTED_VALUE"""),"17A URE - CAPITAO POCO")</f>
        <v>17A URE - CAPITAO POCO</v>
      </c>
      <c r="I598" s="1"/>
      <c r="J598" s="1" t="str">
        <f ca="1">IFERROR(__xludf.DUMMYFUNCTION("""COMPUTED_VALUE"""),"CAPITAO POCO")</f>
        <v>CAPITAO POCO</v>
      </c>
      <c r="K598" s="1">
        <f ca="1">IFERROR(__xludf.DUMMYFUNCTION("""COMPUTED_VALUE"""),15534316)</f>
        <v>15534316</v>
      </c>
      <c r="L598" s="2" t="str">
        <f ca="1">IFERROR(__xludf.DUMMYFUNCTION("""COMPUTED_VALUE"""),"001920936370000")</f>
        <v>001920936370000</v>
      </c>
      <c r="M598" s="2" t="str">
        <f ca="1">IFERROR(__xludf.DUMMYFUNCTION("""COMPUTED_VALUE"""),"1920936370000")</f>
        <v>1920936370000</v>
      </c>
      <c r="N598" s="1" t="str">
        <f ca="1">IFERROR(__xludf.DUMMYFUNCTION("""COMPUTED_VALUE"""),"EEEF FRANCISCO MAGNO TEMBE")</f>
        <v>EEEF FRANCISCO MAGNO TEMBE</v>
      </c>
      <c r="O598" s="1"/>
      <c r="P598" s="1"/>
      <c r="Q598" s="1" t="s">
        <v>610</v>
      </c>
    </row>
    <row r="599" spans="1:17" x14ac:dyDescent="0.25">
      <c r="A599" s="2" t="str">
        <f ca="1">IFERROR(__xludf.DUMMYFUNCTION("""COMPUTED_VALUE"""),"REG DE INTEGRA DO RIO CAPIM")</f>
        <v>REG DE INTEGRA DO RIO CAPIM</v>
      </c>
      <c r="B599" s="1" t="str">
        <f ca="1">IFERROR(__xludf.DUMMYFUNCTION("""COMPUTED_VALUE"""),"DRE CAPITAO POCO")</f>
        <v>DRE CAPITAO POCO</v>
      </c>
      <c r="C599" s="2" t="str">
        <f ca="1">IFERROR(__xludf.DUMMYFUNCTION("""COMPUTED_VALUE"""),"DRE - CAPITAO POCO")</f>
        <v>DRE - CAPITAO POCO</v>
      </c>
      <c r="D599" s="1"/>
      <c r="E599" s="2" t="str">
        <f ca="1">IFERROR(__xludf.DUMMYFUNCTION("""COMPUTED_VALUE"""),"DRE - CAPITAO POCO")</f>
        <v>DRE - CAPITAO POCO</v>
      </c>
      <c r="F599" s="1">
        <f ca="1">IFERROR(__xludf.DUMMYFUNCTION("""COMPUTED_VALUE"""),2)</f>
        <v>2</v>
      </c>
      <c r="G599" s="1" t="str">
        <f ca="1">IFERROR(__xludf.DUMMYFUNCTION("""COMPUTED_VALUE"""),"DRE CAPITAO POCO")</f>
        <v>DRE CAPITAO POCO</v>
      </c>
      <c r="H599" s="1" t="str">
        <f ca="1">IFERROR(__xludf.DUMMYFUNCTION("""COMPUTED_VALUE"""),"17A URE - CAPITAO POCO")</f>
        <v>17A URE - CAPITAO POCO</v>
      </c>
      <c r="I599" s="1"/>
      <c r="J599" s="1" t="str">
        <f ca="1">IFERROR(__xludf.DUMMYFUNCTION("""COMPUTED_VALUE"""),"CAPITAO POCO")</f>
        <v>CAPITAO POCO</v>
      </c>
      <c r="K599" s="1">
        <f ca="1">IFERROR(__xludf.DUMMYFUNCTION("""COMPUTED_VALUE"""),15575217)</f>
        <v>15575217</v>
      </c>
      <c r="L599" s="2" t="str">
        <f ca="1">IFERROR(__xludf.DUMMYFUNCTION("""COMPUTED_VALUE"""),"001920916130007")</f>
        <v>001920916130007</v>
      </c>
      <c r="M599" s="2" t="str">
        <f ca="1">IFERROR(__xludf.DUMMYFUNCTION("""COMPUTED_VALUE"""),"1920916130007")</f>
        <v>1920916130007</v>
      </c>
      <c r="N599" s="1" t="str">
        <f ca="1">IFERROR(__xludf.DUMMYFUNCTION("""COMPUTED_VALUE"""),"EEEF JACARE - ANEXO")</f>
        <v>EEEF JACARE - ANEXO</v>
      </c>
      <c r="O599" s="1"/>
      <c r="P599" s="1"/>
      <c r="Q599" s="1" t="s">
        <v>610</v>
      </c>
    </row>
    <row r="600" spans="1:17" x14ac:dyDescent="0.25">
      <c r="A600" s="2" t="str">
        <f ca="1">IFERROR(__xludf.DUMMYFUNCTION("""COMPUTED_VALUE"""),"REG DE INTEGRA DO RIO CAPIM")</f>
        <v>REG DE INTEGRA DO RIO CAPIM</v>
      </c>
      <c r="B600" s="1" t="str">
        <f ca="1">IFERROR(__xludf.DUMMYFUNCTION("""COMPUTED_VALUE"""),"DRE CAPITAO POCO")</f>
        <v>DRE CAPITAO POCO</v>
      </c>
      <c r="C600" s="2" t="str">
        <f ca="1">IFERROR(__xludf.DUMMYFUNCTION("""COMPUTED_VALUE"""),"DRE - CAPITAO POCO")</f>
        <v>DRE - CAPITAO POCO</v>
      </c>
      <c r="D600" s="1"/>
      <c r="E600" s="2" t="str">
        <f ca="1">IFERROR(__xludf.DUMMYFUNCTION("""COMPUTED_VALUE"""),"DRE - CAPITAO POCO")</f>
        <v>DRE - CAPITAO POCO</v>
      </c>
      <c r="F600" s="1">
        <f ca="1">IFERROR(__xludf.DUMMYFUNCTION("""COMPUTED_VALUE"""),2)</f>
        <v>2</v>
      </c>
      <c r="G600" s="1" t="str">
        <f ca="1">IFERROR(__xludf.DUMMYFUNCTION("""COMPUTED_VALUE"""),"DRE CAPITAO POCO")</f>
        <v>DRE CAPITAO POCO</v>
      </c>
      <c r="H600" s="1" t="str">
        <f ca="1">IFERROR(__xludf.DUMMYFUNCTION("""COMPUTED_VALUE"""),"17A URE - CAPITAO POCO")</f>
        <v>17A URE - CAPITAO POCO</v>
      </c>
      <c r="I600" s="1"/>
      <c r="J600" s="1" t="str">
        <f ca="1">IFERROR(__xludf.DUMMYFUNCTION("""COMPUTED_VALUE"""),"CAPITAO POCO")</f>
        <v>CAPITAO POCO</v>
      </c>
      <c r="K600" s="1">
        <f ca="1">IFERROR(__xludf.DUMMYFUNCTION("""COMPUTED_VALUE"""),15088340)</f>
        <v>15088340</v>
      </c>
      <c r="L600" s="2" t="str">
        <f ca="1">IFERROR(__xludf.DUMMYFUNCTION("""COMPUTED_VALUE"""),"001920916370000")</f>
        <v>001920916370000</v>
      </c>
      <c r="M600" s="2" t="str">
        <f ca="1">IFERROR(__xludf.DUMMYFUNCTION("""COMPUTED_VALUE"""),"1920916370000")</f>
        <v>1920916370000</v>
      </c>
      <c r="N600" s="1" t="str">
        <f ca="1">IFERROR(__xludf.DUMMYFUNCTION("""COMPUTED_VALUE"""),"EEEF JOAQUIM ALMEIDA")</f>
        <v>EEEF JOAQUIM ALMEIDA</v>
      </c>
      <c r="O600" s="1"/>
      <c r="P600" s="1"/>
      <c r="Q600" s="1" t="s">
        <v>610</v>
      </c>
    </row>
    <row r="601" spans="1:17" x14ac:dyDescent="0.25">
      <c r="A601" s="2" t="str">
        <f ca="1">IFERROR(__xludf.DUMMYFUNCTION("""COMPUTED_VALUE"""),"REG DE INTEGRA DO RIO CAPIM")</f>
        <v>REG DE INTEGRA DO RIO CAPIM</v>
      </c>
      <c r="B601" s="1" t="str">
        <f ca="1">IFERROR(__xludf.DUMMYFUNCTION("""COMPUTED_VALUE"""),"DRE CAPITAO POCO")</f>
        <v>DRE CAPITAO POCO</v>
      </c>
      <c r="C601" s="2" t="str">
        <f ca="1">IFERROR(__xludf.DUMMYFUNCTION("""COMPUTED_VALUE"""),"DRE - CAPITAO POCO")</f>
        <v>DRE - CAPITAO POCO</v>
      </c>
      <c r="D601" s="1"/>
      <c r="E601" s="2" t="str">
        <f ca="1">IFERROR(__xludf.DUMMYFUNCTION("""COMPUTED_VALUE"""),"DRE - CAPITAO POCO")</f>
        <v>DRE - CAPITAO POCO</v>
      </c>
      <c r="F601" s="1">
        <f ca="1">IFERROR(__xludf.DUMMYFUNCTION("""COMPUTED_VALUE"""),2)</f>
        <v>2</v>
      </c>
      <c r="G601" s="1" t="str">
        <f ca="1">IFERROR(__xludf.DUMMYFUNCTION("""COMPUTED_VALUE"""),"DRE CAPITAO POCO")</f>
        <v>DRE CAPITAO POCO</v>
      </c>
      <c r="H601" s="1" t="str">
        <f ca="1">IFERROR(__xludf.DUMMYFUNCTION("""COMPUTED_VALUE"""),"17A URE - CAPITAO POCO")</f>
        <v>17A URE - CAPITAO POCO</v>
      </c>
      <c r="I601" s="1"/>
      <c r="J601" s="1" t="str">
        <f ca="1">IFERROR(__xludf.DUMMYFUNCTION("""COMPUTED_VALUE"""),"CAPITAO POCO")</f>
        <v>CAPITAO POCO</v>
      </c>
      <c r="K601" s="1">
        <f ca="1">IFERROR(__xludf.DUMMYFUNCTION("""COMPUTED_VALUE"""),15148181)</f>
        <v>15148181</v>
      </c>
      <c r="L601" s="2" t="str">
        <f ca="1">IFERROR(__xludf.DUMMYFUNCTION("""COMPUTED_VALUE"""),"001920928940000")</f>
        <v>001920928940000</v>
      </c>
      <c r="M601" s="2" t="str">
        <f ca="1">IFERROR(__xludf.DUMMYFUNCTION("""COMPUTED_VALUE"""),"1920928940000")</f>
        <v>1920928940000</v>
      </c>
      <c r="N601" s="1" t="str">
        <f ca="1">IFERROR(__xludf.DUMMYFUNCTION("""COMPUTED_VALUE"""),"EEEFM ANTONIO VALDENIR ARAUJO DE LIMA")</f>
        <v>EEEFM ANTONIO VALDENIR ARAUJO DE LIMA</v>
      </c>
      <c r="O601" s="1"/>
      <c r="P601" s="1"/>
      <c r="Q601" s="1" t="s">
        <v>610</v>
      </c>
    </row>
    <row r="602" spans="1:17" x14ac:dyDescent="0.25">
      <c r="A602" s="2" t="str">
        <f ca="1">IFERROR(__xludf.DUMMYFUNCTION("""COMPUTED_VALUE"""),"REG DE INTEGRA DO RIO CAPIM")</f>
        <v>REG DE INTEGRA DO RIO CAPIM</v>
      </c>
      <c r="B602" s="1" t="str">
        <f ca="1">IFERROR(__xludf.DUMMYFUNCTION("""COMPUTED_VALUE"""),"DRE CAPITAO POCO")</f>
        <v>DRE CAPITAO POCO</v>
      </c>
      <c r="C602" s="2" t="str">
        <f ca="1">IFERROR(__xludf.DUMMYFUNCTION("""COMPUTED_VALUE"""),"DRE - CAPITAO POCO")</f>
        <v>DRE - CAPITAO POCO</v>
      </c>
      <c r="D602" s="1"/>
      <c r="E602" s="2" t="str">
        <f ca="1">IFERROR(__xludf.DUMMYFUNCTION("""COMPUTED_VALUE"""),"DRE - CAPITAO POCO")</f>
        <v>DRE - CAPITAO POCO</v>
      </c>
      <c r="F602" s="1">
        <f ca="1">IFERROR(__xludf.DUMMYFUNCTION("""COMPUTED_VALUE"""),2)</f>
        <v>2</v>
      </c>
      <c r="G602" s="1" t="str">
        <f ca="1">IFERROR(__xludf.DUMMYFUNCTION("""COMPUTED_VALUE"""),"DRE CAPITAO POCO")</f>
        <v>DRE CAPITAO POCO</v>
      </c>
      <c r="H602" s="1" t="str">
        <f ca="1">IFERROR(__xludf.DUMMYFUNCTION("""COMPUTED_VALUE"""),"17A URE - CAPITAO POCO")</f>
        <v>17A URE - CAPITAO POCO</v>
      </c>
      <c r="I602" s="1"/>
      <c r="J602" s="1" t="str">
        <f ca="1">IFERROR(__xludf.DUMMYFUNCTION("""COMPUTED_VALUE"""),"CAPITAO POCO")</f>
        <v>CAPITAO POCO</v>
      </c>
      <c r="K602" s="1">
        <f ca="1">IFERROR(__xludf.DUMMYFUNCTION("""COMPUTED_VALUE"""),15088154)</f>
        <v>15088154</v>
      </c>
      <c r="L602" s="2" t="str">
        <f ca="1">IFERROR(__xludf.DUMMYFUNCTION("""COMPUTED_VALUE"""),"001920916200000")</f>
        <v>001920916200000</v>
      </c>
      <c r="M602" s="2" t="str">
        <f ca="1">IFERROR(__xludf.DUMMYFUNCTION("""COMPUTED_VALUE"""),"1920916200000")</f>
        <v>1920916200000</v>
      </c>
      <c r="N602" s="1" t="str">
        <f ca="1">IFERROR(__xludf.DUMMYFUNCTION("""COMPUTED_VALUE"""),"EEEFM BELINA CAMPOS COUTINHO")</f>
        <v>EEEFM BELINA CAMPOS COUTINHO</v>
      </c>
      <c r="O602" s="1"/>
      <c r="P602" s="1"/>
      <c r="Q602" s="1" t="s">
        <v>610</v>
      </c>
    </row>
    <row r="603" spans="1:17" x14ac:dyDescent="0.25">
      <c r="A603" s="2" t="str">
        <f ca="1">IFERROR(__xludf.DUMMYFUNCTION("""COMPUTED_VALUE"""),"REG DE INTEGRA DO RIO CAPIM")</f>
        <v>REG DE INTEGRA DO RIO CAPIM</v>
      </c>
      <c r="B603" s="1" t="str">
        <f ca="1">IFERROR(__xludf.DUMMYFUNCTION("""COMPUTED_VALUE"""),"DRE CAPITAO POCO")</f>
        <v>DRE CAPITAO POCO</v>
      </c>
      <c r="C603" s="2" t="str">
        <f ca="1">IFERROR(__xludf.DUMMYFUNCTION("""COMPUTED_VALUE"""),"DRE - CAPITAO POCO")</f>
        <v>DRE - CAPITAO POCO</v>
      </c>
      <c r="D603" s="1"/>
      <c r="E603" s="2" t="str">
        <f ca="1">IFERROR(__xludf.DUMMYFUNCTION("""COMPUTED_VALUE"""),"DRE - CAPITAO POCO")</f>
        <v>DRE - CAPITAO POCO</v>
      </c>
      <c r="F603" s="1">
        <f ca="1">IFERROR(__xludf.DUMMYFUNCTION("""COMPUTED_VALUE"""),2)</f>
        <v>2</v>
      </c>
      <c r="G603" s="1" t="str">
        <f ca="1">IFERROR(__xludf.DUMMYFUNCTION("""COMPUTED_VALUE"""),"DRE CAPITAO POCO")</f>
        <v>DRE CAPITAO POCO</v>
      </c>
      <c r="H603" s="1" t="str">
        <f ca="1">IFERROR(__xludf.DUMMYFUNCTION("""COMPUTED_VALUE"""),"17A URE - CAPITAO POCO")</f>
        <v>17A URE - CAPITAO POCO</v>
      </c>
      <c r="I603" s="1"/>
      <c r="J603" s="1" t="str">
        <f ca="1">IFERROR(__xludf.DUMMYFUNCTION("""COMPUTED_VALUE"""),"CAPITAO POCO")</f>
        <v>CAPITAO POCO</v>
      </c>
      <c r="K603" s="1">
        <f ca="1">IFERROR(__xludf.DUMMYFUNCTION("""COMPUTED_VALUE"""),15088332)</f>
        <v>15088332</v>
      </c>
      <c r="L603" s="2" t="str">
        <f ca="1">IFERROR(__xludf.DUMMYFUNCTION("""COMPUTED_VALUE"""),"001920916190000")</f>
        <v>001920916190000</v>
      </c>
      <c r="M603" s="2" t="str">
        <f ca="1">IFERROR(__xludf.DUMMYFUNCTION("""COMPUTED_VALUE"""),"1920916190000")</f>
        <v>1920916190000</v>
      </c>
      <c r="N603" s="1" t="str">
        <f ca="1">IFERROR(__xludf.DUMMYFUNCTION("""COMPUTED_VALUE"""),"EEEFM DIONISIO HAGE")</f>
        <v>EEEFM DIONISIO HAGE</v>
      </c>
      <c r="O603" s="1"/>
      <c r="P603" s="1"/>
      <c r="Q603" s="1" t="s">
        <v>610</v>
      </c>
    </row>
    <row r="604" spans="1:17" x14ac:dyDescent="0.25">
      <c r="A604" s="2" t="str">
        <f ca="1">IFERROR(__xludf.DUMMYFUNCTION("""COMPUTED_VALUE"""),"REG DE INTEGRA DO RIO CAPIM")</f>
        <v>REG DE INTEGRA DO RIO CAPIM</v>
      </c>
      <c r="B604" s="1" t="str">
        <f ca="1">IFERROR(__xludf.DUMMYFUNCTION("""COMPUTED_VALUE"""),"DRE CAPITAO POCO")</f>
        <v>DRE CAPITAO POCO</v>
      </c>
      <c r="C604" s="2" t="str">
        <f ca="1">IFERROR(__xludf.DUMMYFUNCTION("""COMPUTED_VALUE"""),"DRE - CAPITAO POCO")</f>
        <v>DRE - CAPITAO POCO</v>
      </c>
      <c r="D604" s="1"/>
      <c r="E604" s="2" t="str">
        <f ca="1">IFERROR(__xludf.DUMMYFUNCTION("""COMPUTED_VALUE"""),"DRE - CAPITAO POCO")</f>
        <v>DRE - CAPITAO POCO</v>
      </c>
      <c r="F604" s="1">
        <f ca="1">IFERROR(__xludf.DUMMYFUNCTION("""COMPUTED_VALUE"""),2)</f>
        <v>2</v>
      </c>
      <c r="G604" s="1" t="str">
        <f ca="1">IFERROR(__xludf.DUMMYFUNCTION("""COMPUTED_VALUE"""),"DRE CAPITAO POCO")</f>
        <v>DRE CAPITAO POCO</v>
      </c>
      <c r="H604" s="1" t="str">
        <f ca="1">IFERROR(__xludf.DUMMYFUNCTION("""COMPUTED_VALUE"""),"17A URE - CAPITAO POCO")</f>
        <v>17A URE - CAPITAO POCO</v>
      </c>
      <c r="I604" s="1"/>
      <c r="J604" s="1" t="str">
        <f ca="1">IFERROR(__xludf.DUMMYFUNCTION("""COMPUTED_VALUE"""),"CAPITAO POCO")</f>
        <v>CAPITAO POCO</v>
      </c>
      <c r="K604" s="1">
        <f ca="1">IFERROR(__xludf.DUMMYFUNCTION("""COMPUTED_VALUE"""),15088375)</f>
        <v>15088375</v>
      </c>
      <c r="L604" s="2" t="str">
        <f ca="1">IFERROR(__xludf.DUMMYFUNCTION("""COMPUTED_VALUE"""),"001920916240000")</f>
        <v>001920916240000</v>
      </c>
      <c r="M604" s="2" t="str">
        <f ca="1">IFERROR(__xludf.DUMMYFUNCTION("""COMPUTED_VALUE"""),"1920916240000")</f>
        <v>1920916240000</v>
      </c>
      <c r="N604" s="1" t="str">
        <f ca="1">IFERROR(__xludf.DUMMYFUNCTION("""COMPUTED_VALUE"""),"EEEFM OSVALDO CRUZ")</f>
        <v>EEEFM OSVALDO CRUZ</v>
      </c>
      <c r="O604" s="1"/>
      <c r="P604" s="1"/>
      <c r="Q604" s="1" t="s">
        <v>610</v>
      </c>
    </row>
    <row r="605" spans="1:17" x14ac:dyDescent="0.25">
      <c r="A605" s="2" t="str">
        <f ca="1">IFERROR(__xludf.DUMMYFUNCTION("""COMPUTED_VALUE"""),"REG DE INTEGRA DO RIO CAPIM")</f>
        <v>REG DE INTEGRA DO RIO CAPIM</v>
      </c>
      <c r="B605" s="1" t="str">
        <f ca="1">IFERROR(__xludf.DUMMYFUNCTION("""COMPUTED_VALUE"""),"DRE CAPITAO POCO")</f>
        <v>DRE CAPITAO POCO</v>
      </c>
      <c r="C605" s="2" t="str">
        <f ca="1">IFERROR(__xludf.DUMMYFUNCTION("""COMPUTED_VALUE"""),"DRE - CAPITAO POCO")</f>
        <v>DRE - CAPITAO POCO</v>
      </c>
      <c r="D605" s="1"/>
      <c r="E605" s="2" t="str">
        <f ca="1">IFERROR(__xludf.DUMMYFUNCTION("""COMPUTED_VALUE"""),"DRE - CAPITAO POCO")</f>
        <v>DRE - CAPITAO POCO</v>
      </c>
      <c r="F605" s="1">
        <f ca="1">IFERROR(__xludf.DUMMYFUNCTION("""COMPUTED_VALUE"""),2)</f>
        <v>2</v>
      </c>
      <c r="G605" s="1" t="str">
        <f ca="1">IFERROR(__xludf.DUMMYFUNCTION("""COMPUTED_VALUE"""),"DRE CAPITAO POCO")</f>
        <v>DRE CAPITAO POCO</v>
      </c>
      <c r="H605" s="1" t="str">
        <f ca="1">IFERROR(__xludf.DUMMYFUNCTION("""COMPUTED_VALUE"""),"17A URE - CAPITAO POCO")</f>
        <v>17A URE - CAPITAO POCO</v>
      </c>
      <c r="I605" s="1"/>
      <c r="J605" s="1" t="str">
        <f ca="1">IFERROR(__xludf.DUMMYFUNCTION("""COMPUTED_VALUE"""),"CAPITAO POCO")</f>
        <v>CAPITAO POCO</v>
      </c>
      <c r="K605" s="1">
        <f ca="1">IFERROR(__xludf.DUMMYFUNCTION("""COMPUTED_VALUE"""),15088383)</f>
        <v>15088383</v>
      </c>
      <c r="L605" s="2" t="str">
        <f ca="1">IFERROR(__xludf.DUMMYFUNCTION("""COMPUTED_VALUE"""),"001920916130000")</f>
        <v>001920916130000</v>
      </c>
      <c r="M605" s="2" t="str">
        <f ca="1">IFERROR(__xludf.DUMMYFUNCTION("""COMPUTED_VALUE"""),"1920916130000")</f>
        <v>1920916130000</v>
      </c>
      <c r="N605" s="1" t="str">
        <f ca="1">IFERROR(__xludf.DUMMYFUNCTION("""COMPUTED_VALUE"""),"EEEFM PE VITALIANO MARIA VARI SEDE")</f>
        <v>EEEFM PE VITALIANO MARIA VARI SEDE</v>
      </c>
      <c r="O605" s="1"/>
      <c r="P605" s="1"/>
      <c r="Q605" s="1" t="s">
        <v>610</v>
      </c>
    </row>
    <row r="606" spans="1:17" x14ac:dyDescent="0.25">
      <c r="A606" s="2" t="str">
        <f ca="1">IFERROR(__xludf.DUMMYFUNCTION("""COMPUTED_VALUE"""),"REG DE INTEGRA DO RIO CAPIM")</f>
        <v>REG DE INTEGRA DO RIO CAPIM</v>
      </c>
      <c r="B606" s="1" t="str">
        <f ca="1">IFERROR(__xludf.DUMMYFUNCTION("""COMPUTED_VALUE"""),"DRE CAPITAO POCO")</f>
        <v>DRE CAPITAO POCO</v>
      </c>
      <c r="C606" s="2" t="str">
        <f ca="1">IFERROR(__xludf.DUMMYFUNCTION("""COMPUTED_VALUE"""),"DRE - CAPITAO POCO")</f>
        <v>DRE - CAPITAO POCO</v>
      </c>
      <c r="D606" s="1"/>
      <c r="E606" s="2" t="str">
        <f ca="1">IFERROR(__xludf.DUMMYFUNCTION("""COMPUTED_VALUE"""),"DRE - CAPITAO POCO")</f>
        <v>DRE - CAPITAO POCO</v>
      </c>
      <c r="F606" s="1">
        <f ca="1">IFERROR(__xludf.DUMMYFUNCTION("""COMPUTED_VALUE"""),2)</f>
        <v>2</v>
      </c>
      <c r="G606" s="1" t="str">
        <f ca="1">IFERROR(__xludf.DUMMYFUNCTION("""COMPUTED_VALUE"""),"DRE CAPITAO POCO")</f>
        <v>DRE CAPITAO POCO</v>
      </c>
      <c r="H606" s="1" t="str">
        <f ca="1">IFERROR(__xludf.DUMMYFUNCTION("""COMPUTED_VALUE"""),"17A URE - CAPITAO POCO")</f>
        <v>17A URE - CAPITAO POCO</v>
      </c>
      <c r="I606" s="1"/>
      <c r="J606" s="1" t="str">
        <f ca="1">IFERROR(__xludf.DUMMYFUNCTION("""COMPUTED_VALUE"""),"CAPITAO POCO")</f>
        <v>CAPITAO POCO</v>
      </c>
      <c r="K606" s="1">
        <f ca="1">IFERROR(__xludf.DUMMYFUNCTION("""COMPUTED_VALUE"""),15088464)</f>
        <v>15088464</v>
      </c>
      <c r="L606" s="2" t="str">
        <f ca="1">IFERROR(__xludf.DUMMYFUNCTION("""COMPUTED_VALUE"""),"001920901470000")</f>
        <v>001920901470000</v>
      </c>
      <c r="M606" s="2" t="str">
        <f ca="1">IFERROR(__xludf.DUMMYFUNCTION("""COMPUTED_VALUE"""),"1920901470000")</f>
        <v>1920901470000</v>
      </c>
      <c r="N606" s="1" t="str">
        <f ca="1">IFERROR(__xludf.DUMMYFUNCTION("""COMPUTED_VALUE"""),"EEEM PROF TEREZINHA BEZERRA SIQUEIRA")</f>
        <v>EEEM PROF TEREZINHA BEZERRA SIQUEIRA</v>
      </c>
      <c r="O606" s="1"/>
      <c r="P606" s="1"/>
      <c r="Q606" s="1" t="s">
        <v>610</v>
      </c>
    </row>
    <row r="607" spans="1:17" x14ac:dyDescent="0.25">
      <c r="A607" s="2" t="str">
        <f ca="1">IFERROR(__xludf.DUMMYFUNCTION("""COMPUTED_VALUE"""),"REG DE INTEGRA DO RIO CAPIM")</f>
        <v>REG DE INTEGRA DO RIO CAPIM</v>
      </c>
      <c r="B607" s="1" t="str">
        <f ca="1">IFERROR(__xludf.DUMMYFUNCTION("""COMPUTED_VALUE"""),"DRE CAPITAO POCO")</f>
        <v>DRE CAPITAO POCO</v>
      </c>
      <c r="C607" s="2" t="str">
        <f ca="1">IFERROR(__xludf.DUMMYFUNCTION("""COMPUTED_VALUE"""),"DRE - CAPITAO POCO")</f>
        <v>DRE - CAPITAO POCO</v>
      </c>
      <c r="D607" s="1"/>
      <c r="E607" s="2" t="str">
        <f ca="1">IFERROR(__xludf.DUMMYFUNCTION("""COMPUTED_VALUE"""),"DRE - CAPITAO POCO")</f>
        <v>DRE - CAPITAO POCO</v>
      </c>
      <c r="F607" s="1">
        <f ca="1">IFERROR(__xludf.DUMMYFUNCTION("""COMPUTED_VALUE"""),2)</f>
        <v>2</v>
      </c>
      <c r="G607" s="1" t="str">
        <f ca="1">IFERROR(__xludf.DUMMYFUNCTION("""COMPUTED_VALUE"""),"DRE CAPITAO POCO")</f>
        <v>DRE CAPITAO POCO</v>
      </c>
      <c r="H607" s="1" t="str">
        <f ca="1">IFERROR(__xludf.DUMMYFUNCTION("""COMPUTED_VALUE"""),"17A URE - CAPITAO POCO")</f>
        <v>17A URE - CAPITAO POCO</v>
      </c>
      <c r="I607" s="1"/>
      <c r="J607" s="1" t="str">
        <f ca="1">IFERROR(__xludf.DUMMYFUNCTION("""COMPUTED_VALUE"""),"CAPITAO POCO")</f>
        <v>CAPITAO POCO</v>
      </c>
      <c r="K607" s="1">
        <f ca="1">IFERROR(__xludf.DUMMYFUNCTION("""COMPUTED_VALUE"""),15176223)</f>
        <v>15176223</v>
      </c>
      <c r="L607" s="2" t="str">
        <f ca="1">IFERROR(__xludf.DUMMYFUNCTION("""COMPUTED_VALUE"""),"001920951000000")</f>
        <v>001920951000000</v>
      </c>
      <c r="M607" s="2" t="str">
        <f ca="1">IFERROR(__xludf.DUMMYFUNCTION("""COMPUTED_VALUE"""),"1920951000000")</f>
        <v>1920951000000</v>
      </c>
      <c r="N607" s="1" t="str">
        <f ca="1">IFERROR(__xludf.DUMMYFUNCTION("""COMPUTED_VALUE"""),"ESCOLA DE INDIGENA ESTADUAL DE ESNINO FUNDAMENTAL E MEDIO FRANCISCO ROMAO TEMBE")</f>
        <v>ESCOLA DE INDIGENA ESTADUAL DE ESNINO FUNDAMENTAL E MEDIO FRANCISCO ROMAO TEMBE</v>
      </c>
      <c r="O607" s="1"/>
      <c r="P607" s="1"/>
      <c r="Q607" s="1" t="s">
        <v>610</v>
      </c>
    </row>
    <row r="608" spans="1:17" x14ac:dyDescent="0.25">
      <c r="A608" s="2" t="str">
        <f ca="1">IFERROR(__xludf.DUMMYFUNCTION("""COMPUTED_VALUE"""),"REG DE INTEGRA DO RIO CAPIM")</f>
        <v>REG DE INTEGRA DO RIO CAPIM</v>
      </c>
      <c r="B608" s="1" t="str">
        <f ca="1">IFERROR(__xludf.DUMMYFUNCTION("""COMPUTED_VALUE"""),"DRE CAPITAO POCO")</f>
        <v>DRE CAPITAO POCO</v>
      </c>
      <c r="C608" s="2" t="str">
        <f ca="1">IFERROR(__xludf.DUMMYFUNCTION("""COMPUTED_VALUE"""),"DRE - CAPITAO POCO")</f>
        <v>DRE - CAPITAO POCO</v>
      </c>
      <c r="D608" s="1"/>
      <c r="E608" s="2" t="str">
        <f ca="1">IFERROR(__xludf.DUMMYFUNCTION("""COMPUTED_VALUE"""),"DRE - CAPITAO POCO")</f>
        <v>DRE - CAPITAO POCO</v>
      </c>
      <c r="F608" s="1"/>
      <c r="G608" s="1"/>
      <c r="H608" s="1" t="str">
        <f ca="1">IFERROR(__xludf.DUMMYFUNCTION("""COMPUTED_VALUE"""),"17A URE - CAPITAO POCO")</f>
        <v>17A URE - CAPITAO POCO</v>
      </c>
      <c r="I608" s="1"/>
      <c r="J608" s="1" t="str">
        <f ca="1">IFERROR(__xludf.DUMMYFUNCTION("""COMPUTED_VALUE"""),"CAPITAO POCO")</f>
        <v>CAPITAO POCO</v>
      </c>
      <c r="K608" s="1"/>
      <c r="L608" s="2" t="str">
        <f ca="1">IFERROR(__xludf.DUMMYFUNCTION("""COMPUTED_VALUE"""),"001921039000000")</f>
        <v>001921039000000</v>
      </c>
      <c r="M608" s="2" t="str">
        <f ca="1">IFERROR(__xludf.DUMMYFUNCTION("""COMPUTED_VALUE"""),"1921039000000")</f>
        <v>1921039000000</v>
      </c>
      <c r="N608" s="1" t="str">
        <f ca="1">IFERROR(__xludf.DUMMYFUNCTION("""COMPUTED_VALUE"""),"ESCOLA ESTADUAL RURAL DE CAPITAO POCO")</f>
        <v>ESCOLA ESTADUAL RURAL DE CAPITAO POCO</v>
      </c>
      <c r="O608" s="1"/>
      <c r="P608" s="1"/>
      <c r="Q608" s="1" t="s">
        <v>610</v>
      </c>
    </row>
    <row r="609" spans="1:17" x14ac:dyDescent="0.25">
      <c r="A609" s="2" t="str">
        <f ca="1">IFERROR(__xludf.DUMMYFUNCTION("""COMPUTED_VALUE"""),"REG DE INTEGRA DO RIO CAPIM")</f>
        <v>REG DE INTEGRA DO RIO CAPIM</v>
      </c>
      <c r="B609" s="1" t="str">
        <f ca="1">IFERROR(__xludf.DUMMYFUNCTION("""COMPUTED_VALUE"""),"DRE CAPITAO POCO")</f>
        <v>DRE CAPITAO POCO</v>
      </c>
      <c r="C609" s="2" t="str">
        <f ca="1">IFERROR(__xludf.DUMMYFUNCTION("""COMPUTED_VALUE"""),"DRE - CAPITAO POCO")</f>
        <v>DRE - CAPITAO POCO</v>
      </c>
      <c r="D609" s="1"/>
      <c r="E609" s="2" t="str">
        <f ca="1">IFERROR(__xludf.DUMMYFUNCTION("""COMPUTED_VALUE"""),"DRE - CAPITAO POCO")</f>
        <v>DRE - CAPITAO POCO</v>
      </c>
      <c r="F609" s="1">
        <f ca="1">IFERROR(__xludf.DUMMYFUNCTION("""COMPUTED_VALUE"""),2)</f>
        <v>2</v>
      </c>
      <c r="G609" s="1" t="str">
        <f ca="1">IFERROR(__xludf.DUMMYFUNCTION("""COMPUTED_VALUE"""),"DRE CAPITAO POCO")</f>
        <v>DRE CAPITAO POCO</v>
      </c>
      <c r="H609" s="1" t="str">
        <f ca="1">IFERROR(__xludf.DUMMYFUNCTION("""COMPUTED_VALUE"""),"17A URE - CAPITAO POCO")</f>
        <v>17A URE - CAPITAO POCO</v>
      </c>
      <c r="I609" s="1"/>
      <c r="J609" s="1" t="str">
        <f ca="1">IFERROR(__xludf.DUMMYFUNCTION("""COMPUTED_VALUE"""),"CAPITAO POCO")</f>
        <v>CAPITAO POCO</v>
      </c>
      <c r="K609" s="1">
        <f ca="1">IFERROR(__xludf.DUMMYFUNCTION("""COMPUTED_VALUE"""),15176231)</f>
        <v>15176231</v>
      </c>
      <c r="L609" s="2" t="str">
        <f ca="1">IFERROR(__xludf.DUMMYFUNCTION("""COMPUTED_VALUE"""),"001920952000000")</f>
        <v>001920952000000</v>
      </c>
      <c r="M609" s="2" t="str">
        <f ca="1">IFERROR(__xludf.DUMMYFUNCTION("""COMPUTED_VALUE"""),"1920952000000")</f>
        <v>1920952000000</v>
      </c>
      <c r="N609" s="1" t="str">
        <f ca="1">IFERROR(__xludf.DUMMYFUNCTION("""COMPUTED_VALUE"""),"ESCOLA INDIGENA ESTADUAL DE ENSINO FUNDAMENTAL E MEDIO PINO A")</f>
        <v>ESCOLA INDIGENA ESTADUAL DE ENSINO FUNDAMENTAL E MEDIO PINO A</v>
      </c>
      <c r="O609" s="1"/>
      <c r="P609" s="1"/>
      <c r="Q609" s="1" t="s">
        <v>610</v>
      </c>
    </row>
    <row r="610" spans="1:17" x14ac:dyDescent="0.25">
      <c r="A610" s="2" t="str">
        <f ca="1">IFERROR(__xludf.DUMMYFUNCTION("""COMPUTED_VALUE"""),"REG DE INTEGRA DO RIO CAPIM")</f>
        <v>REG DE INTEGRA DO RIO CAPIM</v>
      </c>
      <c r="B610" s="1" t="str">
        <f ca="1">IFERROR(__xludf.DUMMYFUNCTION("""COMPUTED_VALUE"""),"DRE CAPITAO POCO")</f>
        <v>DRE CAPITAO POCO</v>
      </c>
      <c r="C610" s="2" t="str">
        <f ca="1">IFERROR(__xludf.DUMMYFUNCTION("""COMPUTED_VALUE"""),"DRE - CAPITAO POCO")</f>
        <v>DRE - CAPITAO POCO</v>
      </c>
      <c r="D610" s="1"/>
      <c r="E610" s="2" t="str">
        <f ca="1">IFERROR(__xludf.DUMMYFUNCTION("""COMPUTED_VALUE"""),"DRE - CAPITAO POCO")</f>
        <v>DRE - CAPITAO POCO</v>
      </c>
      <c r="F610" s="1">
        <f ca="1">IFERROR(__xludf.DUMMYFUNCTION("""COMPUTED_VALUE"""),2)</f>
        <v>2</v>
      </c>
      <c r="G610" s="1" t="str">
        <f ca="1">IFERROR(__xludf.DUMMYFUNCTION("""COMPUTED_VALUE"""),"DRE CAPITAO POCO")</f>
        <v>DRE CAPITAO POCO</v>
      </c>
      <c r="H610" s="1" t="str">
        <f ca="1">IFERROR(__xludf.DUMMYFUNCTION("""COMPUTED_VALUE"""),"17A URE - CAPITAO POCO")</f>
        <v>17A URE - CAPITAO POCO</v>
      </c>
      <c r="I610" s="1"/>
      <c r="J610" s="1" t="str">
        <f ca="1">IFERROR(__xludf.DUMMYFUNCTION("""COMPUTED_VALUE"""),"CAPITAO POCO")</f>
        <v>CAPITAO POCO</v>
      </c>
      <c r="K610" s="1">
        <f ca="1">IFERROR(__xludf.DUMMYFUNCTION("""COMPUTED_VALUE"""),15167143)</f>
        <v>15167143</v>
      </c>
      <c r="L610" s="2" t="str">
        <f ca="1">IFERROR(__xludf.DUMMYFUNCTION("""COMPUTED_VALUE"""),"001920937860000")</f>
        <v>001920937860000</v>
      </c>
      <c r="M610" s="2" t="str">
        <f ca="1">IFERROR(__xludf.DUMMYFUNCTION("""COMPUTED_VALUE"""),"1920937860000")</f>
        <v>1920937860000</v>
      </c>
      <c r="N610" s="1" t="str">
        <f ca="1">IFERROR(__xludf.DUMMYFUNCTION("""COMPUTED_VALUE"""),"ESCOLA INDIGENA ESTADUAL DE ENSINO INFANTIL FUNDAMENTAL E MEDIO FELIX TEMBE - EIEEIFM FELIX TEMBE")</f>
        <v>ESCOLA INDIGENA ESTADUAL DE ENSINO INFANTIL FUNDAMENTAL E MEDIO FELIX TEMBE - EIEEIFM FELIX TEMBE</v>
      </c>
      <c r="O610" s="1"/>
      <c r="P610" s="1"/>
      <c r="Q610" s="1" t="s">
        <v>610</v>
      </c>
    </row>
    <row r="611" spans="1:17" x14ac:dyDescent="0.25">
      <c r="A611" s="2" t="str">
        <f ca="1">IFERROR(__xludf.DUMMYFUNCTION("""COMPUTED_VALUE"""),"REG DE INTEGRA DO RIO CAPIM")</f>
        <v>REG DE INTEGRA DO RIO CAPIM</v>
      </c>
      <c r="B611" s="1" t="str">
        <f ca="1">IFERROR(__xludf.DUMMYFUNCTION("""COMPUTED_VALUE"""),"DRE CAPITAO POCO")</f>
        <v>DRE CAPITAO POCO</v>
      </c>
      <c r="C611" s="2" t="str">
        <f ca="1">IFERROR(__xludf.DUMMYFUNCTION("""COMPUTED_VALUE"""),"DRE - CAPITAO POCO")</f>
        <v>DRE - CAPITAO POCO</v>
      </c>
      <c r="D611" s="1"/>
      <c r="E611" s="2" t="str">
        <f ca="1">IFERROR(__xludf.DUMMYFUNCTION("""COMPUTED_VALUE"""),"DRE - CAPITAO POCO")</f>
        <v>DRE - CAPITAO POCO</v>
      </c>
      <c r="F611" s="1">
        <f ca="1">IFERROR(__xludf.DUMMYFUNCTION("""COMPUTED_VALUE"""),2)</f>
        <v>2</v>
      </c>
      <c r="G611" s="1" t="str">
        <f ca="1">IFERROR(__xludf.DUMMYFUNCTION("""COMPUTED_VALUE"""),"DRE CAPITAO POCO")</f>
        <v>DRE CAPITAO POCO</v>
      </c>
      <c r="H611" s="1" t="str">
        <f ca="1">IFERROR(__xludf.DUMMYFUNCTION("""COMPUTED_VALUE"""),"17A URE - CAPITAO POCO")</f>
        <v>17A URE - CAPITAO POCO</v>
      </c>
      <c r="I611" s="1"/>
      <c r="J611" s="1" t="str">
        <f ca="1">IFERROR(__xludf.DUMMYFUNCTION("""COMPUTED_VALUE"""),"CAPITAO POCO")</f>
        <v>CAPITAO POCO</v>
      </c>
      <c r="K611" s="1">
        <f ca="1">IFERROR(__xludf.DUMMYFUNCTION("""COMPUTED_VALUE"""),15176215)</f>
        <v>15176215</v>
      </c>
      <c r="L611" s="2" t="str">
        <f ca="1">IFERROR(__xludf.DUMMYFUNCTION("""COMPUTED_VALUE"""),"001920950000000")</f>
        <v>001920950000000</v>
      </c>
      <c r="M611" s="2" t="str">
        <f ca="1">IFERROR(__xludf.DUMMYFUNCTION("""COMPUTED_VALUE"""),"1920950000000")</f>
        <v>1920950000000</v>
      </c>
      <c r="N611" s="1" t="str">
        <f ca="1">IFERROR(__xludf.DUMMYFUNCTION("""COMPUTED_VALUE"""),"ESCOLA INDIGENA ESTADUAL DE ESNINO FUNDAMENTAL E MEDIO ITA PUTYR")</f>
        <v>ESCOLA INDIGENA ESTADUAL DE ESNINO FUNDAMENTAL E MEDIO ITA PUTYR</v>
      </c>
      <c r="O611" s="1"/>
      <c r="P611" s="1"/>
      <c r="Q611" s="1" t="s">
        <v>610</v>
      </c>
    </row>
    <row r="612" spans="1:17" x14ac:dyDescent="0.25">
      <c r="A612" s="2" t="str">
        <f ca="1">IFERROR(__xludf.DUMMYFUNCTION("""COMPUTED_VALUE"""),"REG DE INTEGRA DO RIO CAPIM")</f>
        <v>REG DE INTEGRA DO RIO CAPIM</v>
      </c>
      <c r="B612" s="1" t="str">
        <f ca="1">IFERROR(__xludf.DUMMYFUNCTION("""COMPUTED_VALUE"""),"DRE CAPITAO POCO")</f>
        <v>DRE CAPITAO POCO</v>
      </c>
      <c r="C612" s="2" t="str">
        <f ca="1">IFERROR(__xludf.DUMMYFUNCTION("""COMPUTED_VALUE"""),"DRE - CAPITAO POCO")</f>
        <v>DRE - CAPITAO POCO</v>
      </c>
      <c r="D612" s="1"/>
      <c r="E612" s="2" t="str">
        <f ca="1">IFERROR(__xludf.DUMMYFUNCTION("""COMPUTED_VALUE"""),"DRE - CAPITAO POCO")</f>
        <v>DRE - CAPITAO POCO</v>
      </c>
      <c r="F612" s="1">
        <f ca="1">IFERROR(__xludf.DUMMYFUNCTION("""COMPUTED_VALUE"""),2)</f>
        <v>2</v>
      </c>
      <c r="G612" s="1"/>
      <c r="H612" s="1" t="str">
        <f ca="1">IFERROR(__xludf.DUMMYFUNCTION("""COMPUTED_VALUE"""),"17A URE - CAPITAO POCO")</f>
        <v>17A URE - CAPITAO POCO</v>
      </c>
      <c r="I612" s="1"/>
      <c r="J612" s="1" t="str">
        <f ca="1">IFERROR(__xludf.DUMMYFUNCTION("""COMPUTED_VALUE"""),"GARRAFAO DO NORTE")</f>
        <v>GARRAFAO DO NORTE</v>
      </c>
      <c r="K612" s="1">
        <f ca="1">IFERROR(__xludf.DUMMYFUNCTION("""COMPUTED_VALUE"""),15178250)</f>
        <v>15178250</v>
      </c>
      <c r="L612" s="2" t="str">
        <f ca="1">IFERROR(__xludf.DUMMYFUNCTION("""COMPUTED_VALUE"""),"001920915690002")</f>
        <v>001920915690002</v>
      </c>
      <c r="M612" s="2" t="str">
        <f ca="1">IFERROR(__xludf.DUMMYFUNCTION("""COMPUTED_VALUE"""),"1920915690002")</f>
        <v>1920915690002</v>
      </c>
      <c r="N612" s="1" t="str">
        <f ca="1">IFERROR(__xludf.DUMMYFUNCTION("""COMPUTED_VALUE"""),"ANEXO RURAL MARIO BRASIL")</f>
        <v>ANEXO RURAL MARIO BRASIL</v>
      </c>
      <c r="O612" s="1"/>
      <c r="P612" s="1"/>
      <c r="Q612" s="1" t="s">
        <v>610</v>
      </c>
    </row>
    <row r="613" spans="1:17" x14ac:dyDescent="0.25">
      <c r="A613" s="2" t="str">
        <f ca="1">IFERROR(__xludf.DUMMYFUNCTION("""COMPUTED_VALUE"""),"REG DE INTEGRA DO RIO CAPIM")</f>
        <v>REG DE INTEGRA DO RIO CAPIM</v>
      </c>
      <c r="B613" s="1" t="str">
        <f ca="1">IFERROR(__xludf.DUMMYFUNCTION("""COMPUTED_VALUE"""),"DRE CAPITAO POCO")</f>
        <v>DRE CAPITAO POCO</v>
      </c>
      <c r="C613" s="2" t="str">
        <f ca="1">IFERROR(__xludf.DUMMYFUNCTION("""COMPUTED_VALUE"""),"DRE - CAPITAO POCO")</f>
        <v>DRE - CAPITAO POCO</v>
      </c>
      <c r="D613" s="1"/>
      <c r="E613" s="2" t="str">
        <f ca="1">IFERROR(__xludf.DUMMYFUNCTION("""COMPUTED_VALUE"""),"DRE - CAPITAO POCO")</f>
        <v>DRE - CAPITAO POCO</v>
      </c>
      <c r="F613" s="1">
        <f ca="1">IFERROR(__xludf.DUMMYFUNCTION("""COMPUTED_VALUE"""),2)</f>
        <v>2</v>
      </c>
      <c r="G613" s="1" t="str">
        <f ca="1">IFERROR(__xludf.DUMMYFUNCTION("""COMPUTED_VALUE"""),"DRE CAPITAO POCO")</f>
        <v>DRE CAPITAO POCO</v>
      </c>
      <c r="H613" s="1" t="str">
        <f ca="1">IFERROR(__xludf.DUMMYFUNCTION("""COMPUTED_VALUE"""),"17A URE - CAPITAO POCO")</f>
        <v>17A URE - CAPITAO POCO</v>
      </c>
      <c r="I613" s="1"/>
      <c r="J613" s="1" t="str">
        <f ca="1">IFERROR(__xludf.DUMMYFUNCTION("""COMPUTED_VALUE"""),"GARRAFAO DO NORTE")</f>
        <v>GARRAFAO DO NORTE</v>
      </c>
      <c r="K613" s="1">
        <f ca="1">IFERROR(__xludf.DUMMYFUNCTION("""COMPUTED_VALUE"""),15172902)</f>
        <v>15172902</v>
      </c>
      <c r="L613" s="2" t="str">
        <f ca="1">IFERROR(__xludf.DUMMYFUNCTION("""COMPUTED_VALUE"""),"001920915690001")</f>
        <v>001920915690001</v>
      </c>
      <c r="M613" s="2" t="str">
        <f ca="1">IFERROR(__xludf.DUMMYFUNCTION("""COMPUTED_VALUE"""),"1920915690001")</f>
        <v>1920915690001</v>
      </c>
      <c r="N613" s="1" t="str">
        <f ca="1">IFERROR(__xludf.DUMMYFUNCTION("""COMPUTED_VALUE"""),"EE MARIO BRASIL SEDE - ANEXO 1")</f>
        <v>EE MARIO BRASIL SEDE - ANEXO 1</v>
      </c>
      <c r="O613" s="1"/>
      <c r="P613" s="1"/>
      <c r="Q613" s="1" t="s">
        <v>610</v>
      </c>
    </row>
    <row r="614" spans="1:17" x14ac:dyDescent="0.25">
      <c r="A614" s="2" t="str">
        <f ca="1">IFERROR(__xludf.DUMMYFUNCTION("""COMPUTED_VALUE"""),"REG DE INTEGRA DO RIO CAPIM")</f>
        <v>REG DE INTEGRA DO RIO CAPIM</v>
      </c>
      <c r="B614" s="1" t="str">
        <f ca="1">IFERROR(__xludf.DUMMYFUNCTION("""COMPUTED_VALUE"""),"DRE CAPITAO POCO")</f>
        <v>DRE CAPITAO POCO</v>
      </c>
      <c r="C614" s="2" t="str">
        <f ca="1">IFERROR(__xludf.DUMMYFUNCTION("""COMPUTED_VALUE"""),"DRE - CAPITAO POCO")</f>
        <v>DRE - CAPITAO POCO</v>
      </c>
      <c r="D614" s="1"/>
      <c r="E614" s="2" t="str">
        <f ca="1">IFERROR(__xludf.DUMMYFUNCTION("""COMPUTED_VALUE"""),"DRE - CAPITAO POCO")</f>
        <v>DRE - CAPITAO POCO</v>
      </c>
      <c r="F614" s="1">
        <f ca="1">IFERROR(__xludf.DUMMYFUNCTION("""COMPUTED_VALUE"""),2)</f>
        <v>2</v>
      </c>
      <c r="G614" s="1" t="str">
        <f ca="1">IFERROR(__xludf.DUMMYFUNCTION("""COMPUTED_VALUE"""),"DRE CAPITAO POCO")</f>
        <v>DRE CAPITAO POCO</v>
      </c>
      <c r="H614" s="1" t="str">
        <f ca="1">IFERROR(__xludf.DUMMYFUNCTION("""COMPUTED_VALUE"""),"17A URE - CAPITAO POCO")</f>
        <v>17A URE - CAPITAO POCO</v>
      </c>
      <c r="I614" s="1"/>
      <c r="J614" s="1" t="str">
        <f ca="1">IFERROR(__xludf.DUMMYFUNCTION("""COMPUTED_VALUE"""),"GARRAFAO DO NORTE")</f>
        <v>GARRAFAO DO NORTE</v>
      </c>
      <c r="K614" s="1">
        <f ca="1">IFERROR(__xludf.DUMMYFUNCTION("""COMPUTED_VALUE"""),15089428)</f>
        <v>15089428</v>
      </c>
      <c r="L614" s="2" t="str">
        <f ca="1">IFERROR(__xludf.DUMMYFUNCTION("""COMPUTED_VALUE"""),"001920915690000")</f>
        <v>001920915690000</v>
      </c>
      <c r="M614" s="2" t="str">
        <f ca="1">IFERROR(__xludf.DUMMYFUNCTION("""COMPUTED_VALUE"""),"1920915690000")</f>
        <v>1920915690000</v>
      </c>
      <c r="N614" s="1" t="str">
        <f ca="1">IFERROR(__xludf.DUMMYFUNCTION("""COMPUTED_VALUE"""),"EEEM MARIO BRASIL")</f>
        <v>EEEM MARIO BRASIL</v>
      </c>
      <c r="O614" s="1"/>
      <c r="P614" s="1"/>
      <c r="Q614" s="1" t="s">
        <v>610</v>
      </c>
    </row>
    <row r="615" spans="1:17" x14ac:dyDescent="0.25">
      <c r="A615" s="2" t="str">
        <f ca="1">IFERROR(__xludf.DUMMYFUNCTION("""COMPUTED_VALUE"""),"REG DE INTEGRA DO RIO CAPIM")</f>
        <v>REG DE INTEGRA DO RIO CAPIM</v>
      </c>
      <c r="B615" s="1" t="str">
        <f ca="1">IFERROR(__xludf.DUMMYFUNCTION("""COMPUTED_VALUE"""),"DRE CAPITAO POCO")</f>
        <v>DRE CAPITAO POCO</v>
      </c>
      <c r="C615" s="2" t="str">
        <f ca="1">IFERROR(__xludf.DUMMYFUNCTION("""COMPUTED_VALUE"""),"DRE - CAPITAO POCO")</f>
        <v>DRE - CAPITAO POCO</v>
      </c>
      <c r="D615" s="1"/>
      <c r="E615" s="2" t="str">
        <f ca="1">IFERROR(__xludf.DUMMYFUNCTION("""COMPUTED_VALUE"""),"DRE - CAPITAO POCO")</f>
        <v>DRE - CAPITAO POCO</v>
      </c>
      <c r="F615" s="1">
        <f ca="1">IFERROR(__xludf.DUMMYFUNCTION("""COMPUTED_VALUE"""),2)</f>
        <v>2</v>
      </c>
      <c r="G615" s="1" t="str">
        <f ca="1">IFERROR(__xludf.DUMMYFUNCTION("""COMPUTED_VALUE"""),"DRE CAPITAO POCO")</f>
        <v>DRE CAPITAO POCO</v>
      </c>
      <c r="H615" s="1" t="str">
        <f ca="1">IFERROR(__xludf.DUMMYFUNCTION("""COMPUTED_VALUE"""),"17A URE - CAPITAO POCO")</f>
        <v>17A URE - CAPITAO POCO</v>
      </c>
      <c r="I615" s="1"/>
      <c r="J615" s="1" t="str">
        <f ca="1">IFERROR(__xludf.DUMMYFUNCTION("""COMPUTED_VALUE"""),"GARRAFAO DO NORTE")</f>
        <v>GARRAFAO DO NORTE</v>
      </c>
      <c r="K615" s="1">
        <f ca="1">IFERROR(__xludf.DUMMYFUNCTION("""COMPUTED_VALUE"""),15089452)</f>
        <v>15089452</v>
      </c>
      <c r="L615" s="2" t="str">
        <f ca="1">IFERROR(__xludf.DUMMYFUNCTION("""COMPUTED_VALUE"""),"001920915880000")</f>
        <v>001920915880000</v>
      </c>
      <c r="M615" s="2" t="str">
        <f ca="1">IFERROR(__xludf.DUMMYFUNCTION("""COMPUTED_VALUE"""),"1920915880000")</f>
        <v>1920915880000</v>
      </c>
      <c r="N615" s="1" t="str">
        <f ca="1">IFERROR(__xludf.DUMMYFUNCTION("""COMPUTED_VALUE"""),"EEEM PACIFICO LEAO DA COSTA")</f>
        <v>EEEM PACIFICO LEAO DA COSTA</v>
      </c>
      <c r="O615" s="1"/>
      <c r="P615" s="1"/>
      <c r="Q615" s="1" t="s">
        <v>610</v>
      </c>
    </row>
    <row r="616" spans="1:17" x14ac:dyDescent="0.25">
      <c r="A616" s="2" t="str">
        <f ca="1">IFERROR(__xludf.DUMMYFUNCTION("""COMPUTED_VALUE"""),"REG DE INTEGRA DO RIO CAPIM")</f>
        <v>REG DE INTEGRA DO RIO CAPIM</v>
      </c>
      <c r="B616" s="1" t="str">
        <f ca="1">IFERROR(__xludf.DUMMYFUNCTION("""COMPUTED_VALUE"""),"DRE CAPITAO POCO")</f>
        <v>DRE CAPITAO POCO</v>
      </c>
      <c r="C616" s="2" t="str">
        <f ca="1">IFERROR(__xludf.DUMMYFUNCTION("""COMPUTED_VALUE"""),"DRE - CAPITAO POCO")</f>
        <v>DRE - CAPITAO POCO</v>
      </c>
      <c r="D616" s="1"/>
      <c r="E616" s="2" t="str">
        <f ca="1">IFERROR(__xludf.DUMMYFUNCTION("""COMPUTED_VALUE"""),"DRE - CAPITAO POCO")</f>
        <v>DRE - CAPITAO POCO</v>
      </c>
      <c r="F616" s="1"/>
      <c r="G616" s="1"/>
      <c r="H616" s="1" t="str">
        <f ca="1">IFERROR(__xludf.DUMMYFUNCTION("""COMPUTED_VALUE"""),"17A URE - CAPITAO POCO")</f>
        <v>17A URE - CAPITAO POCO</v>
      </c>
      <c r="I616" s="1"/>
      <c r="J616" s="1" t="str">
        <f ca="1">IFERROR(__xludf.DUMMYFUNCTION("""COMPUTED_VALUE"""),"GARRAFAO DO NORTE")</f>
        <v>GARRAFAO DO NORTE</v>
      </c>
      <c r="K616" s="1"/>
      <c r="L616" s="2" t="str">
        <f ca="1">IFERROR(__xludf.DUMMYFUNCTION("""COMPUTED_VALUE"""),"001921040000000")</f>
        <v>001921040000000</v>
      </c>
      <c r="M616" s="2" t="str">
        <f ca="1">IFERROR(__xludf.DUMMYFUNCTION("""COMPUTED_VALUE"""),"1921040000000")</f>
        <v>1921040000000</v>
      </c>
      <c r="N616" s="1" t="str">
        <f ca="1">IFERROR(__xludf.DUMMYFUNCTION("""COMPUTED_VALUE"""),"ESCOLA ESTADUAL RURAL DE GARRAFAO DO NORTE")</f>
        <v>ESCOLA ESTADUAL RURAL DE GARRAFAO DO NORTE</v>
      </c>
      <c r="O616" s="1"/>
      <c r="P616" s="1"/>
      <c r="Q616" s="1" t="s">
        <v>610</v>
      </c>
    </row>
    <row r="617" spans="1:17" x14ac:dyDescent="0.25">
      <c r="A617" s="2" t="str">
        <f ca="1">IFERROR(__xludf.DUMMYFUNCTION("""COMPUTED_VALUE"""),"REG DE INTEGRA DO RIO CAPIM")</f>
        <v>REG DE INTEGRA DO RIO CAPIM</v>
      </c>
      <c r="B617" s="1" t="str">
        <f ca="1">IFERROR(__xludf.DUMMYFUNCTION("""COMPUTED_VALUE"""),"DRE CAPITAO POCO")</f>
        <v>DRE CAPITAO POCO</v>
      </c>
      <c r="C617" s="2" t="str">
        <f ca="1">IFERROR(__xludf.DUMMYFUNCTION("""COMPUTED_VALUE"""),"DRE - CAPITAO POCO")</f>
        <v>DRE - CAPITAO POCO</v>
      </c>
      <c r="D617" s="1"/>
      <c r="E617" s="2" t="str">
        <f ca="1">IFERROR(__xludf.DUMMYFUNCTION("""COMPUTED_VALUE"""),"DRE - CAPITAO POCO")</f>
        <v>DRE - CAPITAO POCO</v>
      </c>
      <c r="F617" s="1">
        <f ca="1">IFERROR(__xludf.DUMMYFUNCTION("""COMPUTED_VALUE"""),2)</f>
        <v>2</v>
      </c>
      <c r="G617" s="1"/>
      <c r="H617" s="1" t="str">
        <f ca="1">IFERROR(__xludf.DUMMYFUNCTION("""COMPUTED_VALUE"""),"17A URE - CAPITAO POCO")</f>
        <v>17A URE - CAPITAO POCO</v>
      </c>
      <c r="I617" s="1"/>
      <c r="J617" s="1" t="str">
        <f ca="1">IFERROR(__xludf.DUMMYFUNCTION("""COMPUTED_VALUE"""),"NOVA ESPERANCA DO PIRIA")</f>
        <v>NOVA ESPERANCA DO PIRIA</v>
      </c>
      <c r="K617" s="1">
        <f ca="1">IFERROR(__xludf.DUMMYFUNCTION("""COMPUTED_VALUE"""),15178315)</f>
        <v>15178315</v>
      </c>
      <c r="L617" s="2" t="str">
        <f ca="1">IFERROR(__xludf.DUMMYFUNCTION("""COMPUTED_VALUE"""),"001920936940001")</f>
        <v>001920936940001</v>
      </c>
      <c r="M617" s="2" t="str">
        <f ca="1">IFERROR(__xludf.DUMMYFUNCTION("""COMPUTED_VALUE"""),"1920936940001")</f>
        <v>1920936940001</v>
      </c>
      <c r="N617" s="1" t="str">
        <f ca="1">IFERROR(__xludf.DUMMYFUNCTION("""COMPUTED_VALUE"""),"ANEXO RURAL LINA SEFFER")</f>
        <v>ANEXO RURAL LINA SEFFER</v>
      </c>
      <c r="O617" s="1"/>
      <c r="P617" s="1"/>
      <c r="Q617" s="1" t="s">
        <v>610</v>
      </c>
    </row>
    <row r="618" spans="1:17" x14ac:dyDescent="0.25">
      <c r="A618" s="2" t="str">
        <f ca="1">IFERROR(__xludf.DUMMYFUNCTION("""COMPUTED_VALUE"""),"REG DE INTEGRA DO RIO CAPIM")</f>
        <v>REG DE INTEGRA DO RIO CAPIM</v>
      </c>
      <c r="B618" s="1" t="str">
        <f ca="1">IFERROR(__xludf.DUMMYFUNCTION("""COMPUTED_VALUE"""),"DRE CAPITAO POCO")</f>
        <v>DRE CAPITAO POCO</v>
      </c>
      <c r="C618" s="2" t="str">
        <f ca="1">IFERROR(__xludf.DUMMYFUNCTION("""COMPUTED_VALUE"""),"DRE - CAPITAO POCO")</f>
        <v>DRE - CAPITAO POCO</v>
      </c>
      <c r="D618" s="1"/>
      <c r="E618" s="2" t="str">
        <f ca="1">IFERROR(__xludf.DUMMYFUNCTION("""COMPUTED_VALUE"""),"DRE - CAPITAO POCO")</f>
        <v>DRE - CAPITAO POCO</v>
      </c>
      <c r="F618" s="1">
        <f ca="1">IFERROR(__xludf.DUMMYFUNCTION("""COMPUTED_VALUE"""),2)</f>
        <v>2</v>
      </c>
      <c r="G618" s="1" t="str">
        <f ca="1">IFERROR(__xludf.DUMMYFUNCTION("""COMPUTED_VALUE"""),"DRE CAPITAO POCO")</f>
        <v>DRE CAPITAO POCO</v>
      </c>
      <c r="H618" s="1" t="str">
        <f ca="1">IFERROR(__xludf.DUMMYFUNCTION("""COMPUTED_VALUE"""),"17A URE - CAPITAO POCO")</f>
        <v>17A URE - CAPITAO POCO</v>
      </c>
      <c r="I618" s="1"/>
      <c r="J618" s="1" t="str">
        <f ca="1">IFERROR(__xludf.DUMMYFUNCTION("""COMPUTED_VALUE"""),"NOVA ESPERANCA DO PIRIA")</f>
        <v>NOVA ESPERANCA DO PIRIA</v>
      </c>
      <c r="K618" s="1">
        <f ca="1">IFERROR(__xludf.DUMMYFUNCTION("""COMPUTED_VALUE"""),15093158)</f>
        <v>15093158</v>
      </c>
      <c r="L618" s="2" t="str">
        <f ca="1">IFERROR(__xludf.DUMMYFUNCTION("""COMPUTED_VALUE"""),"001920936940000")</f>
        <v>001920936940000</v>
      </c>
      <c r="M618" s="2" t="str">
        <f ca="1">IFERROR(__xludf.DUMMYFUNCTION("""COMPUTED_VALUE"""),"1920936940000")</f>
        <v>1920936940000</v>
      </c>
      <c r="N618" s="1" t="str">
        <f ca="1">IFERROR(__xludf.DUMMYFUNCTION("""COMPUTED_VALUE"""),"EEEM LINA SEFFER SEDE")</f>
        <v>EEEM LINA SEFFER SEDE</v>
      </c>
      <c r="O618" s="1"/>
      <c r="P618" s="1"/>
      <c r="Q618" s="1" t="s">
        <v>610</v>
      </c>
    </row>
    <row r="619" spans="1:17" x14ac:dyDescent="0.25">
      <c r="A619" s="2" t="str">
        <f ca="1">IFERROR(__xludf.DUMMYFUNCTION("""COMPUTED_VALUE"""),"REG DE INTEGRA DO RIO CAPIM")</f>
        <v>REG DE INTEGRA DO RIO CAPIM</v>
      </c>
      <c r="B619" s="1" t="str">
        <f ca="1">IFERROR(__xludf.DUMMYFUNCTION("""COMPUTED_VALUE"""),"DRE CAPITAO POCO")</f>
        <v>DRE CAPITAO POCO</v>
      </c>
      <c r="C619" s="2" t="str">
        <f ca="1">IFERROR(__xludf.DUMMYFUNCTION("""COMPUTED_VALUE"""),"DRE - CAPITAO POCO")</f>
        <v>DRE - CAPITAO POCO</v>
      </c>
      <c r="D619" s="1"/>
      <c r="E619" s="2" t="str">
        <f ca="1">IFERROR(__xludf.DUMMYFUNCTION("""COMPUTED_VALUE"""),"DRE - CAPITAO POCO")</f>
        <v>DRE - CAPITAO POCO</v>
      </c>
      <c r="F619" s="1"/>
      <c r="G619" s="1"/>
      <c r="H619" s="1" t="str">
        <f ca="1">IFERROR(__xludf.DUMMYFUNCTION("""COMPUTED_VALUE"""),"17A URE - CAPITAO POCO")</f>
        <v>17A URE - CAPITAO POCO</v>
      </c>
      <c r="I619" s="1"/>
      <c r="J619" s="1" t="str">
        <f ca="1">IFERROR(__xludf.DUMMYFUNCTION("""COMPUTED_VALUE"""),"NOVA ESPERANCA DO PIRIA")</f>
        <v>NOVA ESPERANCA DO PIRIA</v>
      </c>
      <c r="K619" s="1"/>
      <c r="L619" s="2" t="str">
        <f ca="1">IFERROR(__xludf.DUMMYFUNCTION("""COMPUTED_VALUE"""),"001921041000000")</f>
        <v>001921041000000</v>
      </c>
      <c r="M619" s="2" t="str">
        <f ca="1">IFERROR(__xludf.DUMMYFUNCTION("""COMPUTED_VALUE"""),"1921041000000")</f>
        <v>1921041000000</v>
      </c>
      <c r="N619" s="1" t="str">
        <f ca="1">IFERROR(__xludf.DUMMYFUNCTION("""COMPUTED_VALUE"""),"ESCOLA ESTADUAL RURAL DE NOVA ESPERANCA DO PIRIA")</f>
        <v>ESCOLA ESTADUAL RURAL DE NOVA ESPERANCA DO PIRIA</v>
      </c>
      <c r="O619" s="1"/>
      <c r="P619" s="1"/>
      <c r="Q619" s="1" t="s">
        <v>610</v>
      </c>
    </row>
    <row r="620" spans="1:17" x14ac:dyDescent="0.25">
      <c r="A620" s="2" t="str">
        <f ca="1">IFERROR(__xludf.DUMMYFUNCTION("""COMPUTED_VALUE"""),"REG DE INTEGRA DO GUAMA")</f>
        <v>REG DE INTEGRA DO GUAMA</v>
      </c>
      <c r="B620" s="1" t="str">
        <f ca="1">IFERROR(__xludf.DUMMYFUNCTION("""COMPUTED_VALUE"""),"DRE CASTANHAL")</f>
        <v>DRE CASTANHAL</v>
      </c>
      <c r="C620" s="2" t="str">
        <f ca="1">IFERROR(__xludf.DUMMYFUNCTION("""COMPUTED_VALUE"""),"DRE - CASTANHAL")</f>
        <v>DRE - CASTANHAL</v>
      </c>
      <c r="D620" s="1"/>
      <c r="E620" s="2" t="str">
        <f ca="1">IFERROR(__xludf.DUMMYFUNCTION("""COMPUTED_VALUE"""),"DRE - CASTANHAL")</f>
        <v>DRE - CASTANHAL</v>
      </c>
      <c r="F620" s="1">
        <f ca="1">IFERROR(__xludf.DUMMYFUNCTION("""COMPUTED_VALUE"""),3)</f>
        <v>3</v>
      </c>
      <c r="G620" s="1" t="str">
        <f ca="1">IFERROR(__xludf.DUMMYFUNCTION("""COMPUTED_VALUE"""),"DRE CASTANHAL")</f>
        <v>DRE CASTANHAL</v>
      </c>
      <c r="H620" s="1" t="str">
        <f ca="1">IFERROR(__xludf.DUMMYFUNCTION("""COMPUTED_VALUE"""),"08A URE - CASTANHAL")</f>
        <v>08A URE - CASTANHAL</v>
      </c>
      <c r="I620" s="1"/>
      <c r="J620" s="1" t="str">
        <f ca="1">IFERROR(__xludf.DUMMYFUNCTION("""COMPUTED_VALUE"""),"CASTANHAL")</f>
        <v>CASTANHAL</v>
      </c>
      <c r="K620" s="1"/>
      <c r="L620" s="2" t="str">
        <f ca="1">IFERROR(__xludf.DUMMYFUNCTION("""COMPUTED_VALUE"""),"001920900080000")</f>
        <v>001920900080000</v>
      </c>
      <c r="M620" s="2" t="str">
        <f ca="1">IFERROR(__xludf.DUMMYFUNCTION("""COMPUTED_VALUE"""),"1920900080000")</f>
        <v>1920900080000</v>
      </c>
      <c r="N620" s="1" t="str">
        <f ca="1">IFERROR(__xludf.DUMMYFUNCTION("""COMPUTED_VALUE"""),"8 URE")</f>
        <v>8 URE</v>
      </c>
      <c r="O620" s="1"/>
      <c r="P620" s="1"/>
      <c r="Q620" s="1" t="s">
        <v>637</v>
      </c>
    </row>
    <row r="621" spans="1:17" x14ac:dyDescent="0.25">
      <c r="A621" s="2" t="str">
        <f ca="1">IFERROR(__xludf.DUMMYFUNCTION("""COMPUTED_VALUE"""),"REG DE INTEGRA DO GUAMA")</f>
        <v>REG DE INTEGRA DO GUAMA</v>
      </c>
      <c r="B621" s="1" t="str">
        <f ca="1">IFERROR(__xludf.DUMMYFUNCTION("""COMPUTED_VALUE"""),"DRE CASTANHAL")</f>
        <v>DRE CASTANHAL</v>
      </c>
      <c r="C621" s="2" t="str">
        <f ca="1">IFERROR(__xludf.DUMMYFUNCTION("""COMPUTED_VALUE"""),"DRE - CASTANHAL")</f>
        <v>DRE - CASTANHAL</v>
      </c>
      <c r="D621" s="1"/>
      <c r="E621" s="2" t="str">
        <f ca="1">IFERROR(__xludf.DUMMYFUNCTION("""COMPUTED_VALUE"""),"DRE - CASTANHAL")</f>
        <v>DRE - CASTANHAL</v>
      </c>
      <c r="F621" s="1">
        <f ca="1">IFERROR(__xludf.DUMMYFUNCTION("""COMPUTED_VALUE"""),3)</f>
        <v>3</v>
      </c>
      <c r="G621" s="1" t="str">
        <f ca="1">IFERROR(__xludf.DUMMYFUNCTION("""COMPUTED_VALUE"""),"DRE CASTANHAL")</f>
        <v>DRE CASTANHAL</v>
      </c>
      <c r="H621" s="1" t="str">
        <f ca="1">IFERROR(__xludf.DUMMYFUNCTION("""COMPUTED_VALUE"""),"08A URE - CASTANHAL")</f>
        <v>08A URE - CASTANHAL</v>
      </c>
      <c r="I621" s="1"/>
      <c r="J621" s="1" t="str">
        <f ca="1">IFERROR(__xludf.DUMMYFUNCTION("""COMPUTED_VALUE"""),"CASTANHAL")</f>
        <v>CASTANHAL</v>
      </c>
      <c r="K621" s="1"/>
      <c r="L621" s="2" t="str">
        <f ca="1">IFERROR(__xludf.DUMMYFUNCTION("""COMPUTED_VALUE"""),"001920934600000")</f>
        <v>001920934600000</v>
      </c>
      <c r="M621" s="2" t="str">
        <f ca="1">IFERROR(__xludf.DUMMYFUNCTION("""COMPUTED_VALUE"""),"1920934600000")</f>
        <v>1920934600000</v>
      </c>
      <c r="N621" s="1" t="str">
        <f ca="1">IFERROR(__xludf.DUMMYFUNCTION("""COMPUTED_VALUE"""),"POLO ESPORTIVO DE CASTANHAL")</f>
        <v>POLO ESPORTIVO DE CASTANHAL</v>
      </c>
      <c r="O621" s="1"/>
      <c r="P621" s="1"/>
      <c r="Q621" s="1" t="s">
        <v>637</v>
      </c>
    </row>
    <row r="622" spans="1:17" x14ac:dyDescent="0.25">
      <c r="A622" s="2" t="str">
        <f ca="1">IFERROR(__xludf.DUMMYFUNCTION("""COMPUTED_VALUE"""),"REG DE INTEGRA DO GUAMA")</f>
        <v>REG DE INTEGRA DO GUAMA</v>
      </c>
      <c r="B622" s="1" t="str">
        <f ca="1">IFERROR(__xludf.DUMMYFUNCTION("""COMPUTED_VALUE"""),"DRE CASTANHAL")</f>
        <v>DRE CASTANHAL</v>
      </c>
      <c r="C622" s="2" t="str">
        <f ca="1">IFERROR(__xludf.DUMMYFUNCTION("""COMPUTED_VALUE"""),"DRE - CASTANHAL")</f>
        <v>DRE - CASTANHAL</v>
      </c>
      <c r="D622" s="1"/>
      <c r="E622" s="2" t="str">
        <f ca="1">IFERROR(__xludf.DUMMYFUNCTION("""COMPUTED_VALUE"""),"DRE - CASTANHAL")</f>
        <v>DRE - CASTANHAL</v>
      </c>
      <c r="F622" s="1">
        <f ca="1">IFERROR(__xludf.DUMMYFUNCTION("""COMPUTED_VALUE"""),3)</f>
        <v>3</v>
      </c>
      <c r="G622" s="1" t="str">
        <f ca="1">IFERROR(__xludf.DUMMYFUNCTION("""COMPUTED_VALUE"""),"DRE CASTANHAL")</f>
        <v>DRE CASTANHAL</v>
      </c>
      <c r="H622" s="1" t="str">
        <f ca="1">IFERROR(__xludf.DUMMYFUNCTION("""COMPUTED_VALUE"""),"08A URE - CASTANHAL")</f>
        <v>08A URE - CASTANHAL</v>
      </c>
      <c r="I622" s="1"/>
      <c r="J622" s="1" t="str">
        <f ca="1">IFERROR(__xludf.DUMMYFUNCTION("""COMPUTED_VALUE"""),"CASTANHAL")</f>
        <v>CASTANHAL</v>
      </c>
      <c r="K622" s="1">
        <f ca="1">IFERROR(__xludf.DUMMYFUNCTION("""COMPUTED_VALUE"""),15578968)</f>
        <v>15578968</v>
      </c>
      <c r="L622" s="2" t="str">
        <f ca="1">IFERROR(__xludf.DUMMYFUNCTION("""COMPUTED_VALUE"""),"001920936060000")</f>
        <v>001920936060000</v>
      </c>
      <c r="M622" s="2" t="str">
        <f ca="1">IFERROR(__xludf.DUMMYFUNCTION("""COMPUTED_VALUE"""),"1920936060000")</f>
        <v>1920936060000</v>
      </c>
      <c r="N622" s="1" t="str">
        <f ca="1">IFERROR(__xludf.DUMMYFUNCTION("""COMPUTED_VALUE"""),"CEEM DR INACIO KOURY GABRIEL NETO")</f>
        <v>CEEM DR INACIO KOURY GABRIEL NETO</v>
      </c>
      <c r="O622" s="1"/>
      <c r="P622" s="1"/>
      <c r="Q622" s="1" t="s">
        <v>637</v>
      </c>
    </row>
    <row r="623" spans="1:17" x14ac:dyDescent="0.25">
      <c r="A623" s="2" t="str">
        <f ca="1">IFERROR(__xludf.DUMMYFUNCTION("""COMPUTED_VALUE"""),"REG DE INTEGRA DO GUAMA")</f>
        <v>REG DE INTEGRA DO GUAMA</v>
      </c>
      <c r="B623" s="1" t="str">
        <f ca="1">IFERROR(__xludf.DUMMYFUNCTION("""COMPUTED_VALUE"""),"DRE CASTANHAL")</f>
        <v>DRE CASTANHAL</v>
      </c>
      <c r="C623" s="2" t="str">
        <f ca="1">IFERROR(__xludf.DUMMYFUNCTION("""COMPUTED_VALUE"""),"DRE - CASTANHAL")</f>
        <v>DRE - CASTANHAL</v>
      </c>
      <c r="D623" s="1"/>
      <c r="E623" s="2" t="str">
        <f ca="1">IFERROR(__xludf.DUMMYFUNCTION("""COMPUTED_VALUE"""),"DRE - CASTANHAL")</f>
        <v>DRE - CASTANHAL</v>
      </c>
      <c r="F623" s="1">
        <f ca="1">IFERROR(__xludf.DUMMYFUNCTION("""COMPUTED_VALUE"""),3)</f>
        <v>3</v>
      </c>
      <c r="G623" s="1" t="str">
        <f ca="1">IFERROR(__xludf.DUMMYFUNCTION("""COMPUTED_VALUE"""),"DRE CASTANHAL")</f>
        <v>DRE CASTANHAL</v>
      </c>
      <c r="H623" s="1" t="str">
        <f ca="1">IFERROR(__xludf.DUMMYFUNCTION("""COMPUTED_VALUE"""),"08A URE - CASTANHAL")</f>
        <v>08A URE - CASTANHAL</v>
      </c>
      <c r="I623" s="1"/>
      <c r="J623" s="1" t="str">
        <f ca="1">IFERROR(__xludf.DUMMYFUNCTION("""COMPUTED_VALUE"""),"CASTANHAL")</f>
        <v>CASTANHAL</v>
      </c>
      <c r="K623" s="1">
        <f ca="1">IFERROR(__xludf.DUMMYFUNCTION("""COMPUTED_VALUE"""),15045447)</f>
        <v>15045447</v>
      </c>
      <c r="L623" s="2" t="str">
        <f ca="1">IFERROR(__xludf.DUMMYFUNCTION("""COMPUTED_VALUE"""),"001920931280000")</f>
        <v>001920931280000</v>
      </c>
      <c r="M623" s="2" t="str">
        <f ca="1">IFERROR(__xludf.DUMMYFUNCTION("""COMPUTED_VALUE"""),"1920931280000")</f>
        <v>1920931280000</v>
      </c>
      <c r="N623" s="1" t="str">
        <f ca="1">IFERROR(__xludf.DUMMYFUNCTION("""COMPUTED_VALUE"""),"EEEF CIDADE DE DOM BOSCO")</f>
        <v>EEEF CIDADE DE DOM BOSCO</v>
      </c>
      <c r="O623" s="1"/>
      <c r="P623" s="1"/>
      <c r="Q623" s="1" t="s">
        <v>637</v>
      </c>
    </row>
    <row r="624" spans="1:17" x14ac:dyDescent="0.25">
      <c r="A624" s="2" t="str">
        <f ca="1">IFERROR(__xludf.DUMMYFUNCTION("""COMPUTED_VALUE"""),"REG DE INTEGRA DO GUAMA")</f>
        <v>REG DE INTEGRA DO GUAMA</v>
      </c>
      <c r="B624" s="1" t="str">
        <f ca="1">IFERROR(__xludf.DUMMYFUNCTION("""COMPUTED_VALUE"""),"DRE CASTANHAL")</f>
        <v>DRE CASTANHAL</v>
      </c>
      <c r="C624" s="2" t="str">
        <f ca="1">IFERROR(__xludf.DUMMYFUNCTION("""COMPUTED_VALUE"""),"DRE - CASTANHAL")</f>
        <v>DRE - CASTANHAL</v>
      </c>
      <c r="D624" s="1"/>
      <c r="E624" s="2" t="str">
        <f ca="1">IFERROR(__xludf.DUMMYFUNCTION("""COMPUTED_VALUE"""),"DRE - CASTANHAL")</f>
        <v>DRE - CASTANHAL</v>
      </c>
      <c r="F624" s="1">
        <f ca="1">IFERROR(__xludf.DUMMYFUNCTION("""COMPUTED_VALUE"""),3)</f>
        <v>3</v>
      </c>
      <c r="G624" s="1" t="str">
        <f ca="1">IFERROR(__xludf.DUMMYFUNCTION("""COMPUTED_VALUE"""),"DRE CASTANHAL")</f>
        <v>DRE CASTANHAL</v>
      </c>
      <c r="H624" s="1" t="str">
        <f ca="1">IFERROR(__xludf.DUMMYFUNCTION("""COMPUTED_VALUE"""),"08A URE - CASTANHAL")</f>
        <v>08A URE - CASTANHAL</v>
      </c>
      <c r="I624" s="1"/>
      <c r="J624" s="1" t="str">
        <f ca="1">IFERROR(__xludf.DUMMYFUNCTION("""COMPUTED_VALUE"""),"CASTANHAL")</f>
        <v>CASTANHAL</v>
      </c>
      <c r="K624" s="1">
        <f ca="1">IFERROR(__xludf.DUMMYFUNCTION("""COMPUTED_VALUE"""),15045609)</f>
        <v>15045609</v>
      </c>
      <c r="L624" s="2" t="str">
        <f ca="1">IFERROR(__xludf.DUMMYFUNCTION("""COMPUTED_VALUE"""),"001920919780000")</f>
        <v>001920919780000</v>
      </c>
      <c r="M624" s="2" t="str">
        <f ca="1">IFERROR(__xludf.DUMMYFUNCTION("""COMPUTED_VALUE"""),"1920919780000")</f>
        <v>1920919780000</v>
      </c>
      <c r="N624" s="1" t="str">
        <f ca="1">IFERROR(__xludf.DUMMYFUNCTION("""COMPUTED_VALUE"""),"EEEF NILZA NASCIMENTO")</f>
        <v>EEEF NILZA NASCIMENTO</v>
      </c>
      <c r="O624" s="1"/>
      <c r="P624" s="1"/>
      <c r="Q624" s="1" t="s">
        <v>637</v>
      </c>
    </row>
    <row r="625" spans="1:17" x14ac:dyDescent="0.25">
      <c r="A625" s="2" t="str">
        <f ca="1">IFERROR(__xludf.DUMMYFUNCTION("""COMPUTED_VALUE"""),"REG DE INTEGRA DO GUAMA")</f>
        <v>REG DE INTEGRA DO GUAMA</v>
      </c>
      <c r="B625" s="1" t="str">
        <f ca="1">IFERROR(__xludf.DUMMYFUNCTION("""COMPUTED_VALUE"""),"DRE CASTANHAL")</f>
        <v>DRE CASTANHAL</v>
      </c>
      <c r="C625" s="2" t="str">
        <f ca="1">IFERROR(__xludf.DUMMYFUNCTION("""COMPUTED_VALUE"""),"DRE - CASTANHAL")</f>
        <v>DRE - CASTANHAL</v>
      </c>
      <c r="D625" s="1"/>
      <c r="E625" s="2" t="str">
        <f ca="1">IFERROR(__xludf.DUMMYFUNCTION("""COMPUTED_VALUE"""),"DRE - CASTANHAL")</f>
        <v>DRE - CASTANHAL</v>
      </c>
      <c r="F625" s="1">
        <f ca="1">IFERROR(__xludf.DUMMYFUNCTION("""COMPUTED_VALUE"""),3)</f>
        <v>3</v>
      </c>
      <c r="G625" s="1" t="str">
        <f ca="1">IFERROR(__xludf.DUMMYFUNCTION("""COMPUTED_VALUE"""),"DRE CASTANHAL")</f>
        <v>DRE CASTANHAL</v>
      </c>
      <c r="H625" s="1" t="str">
        <f ca="1">IFERROR(__xludf.DUMMYFUNCTION("""COMPUTED_VALUE"""),"08A URE - CASTANHAL")</f>
        <v>08A URE - CASTANHAL</v>
      </c>
      <c r="I625" s="1"/>
      <c r="J625" s="1" t="str">
        <f ca="1">IFERROR(__xludf.DUMMYFUNCTION("""COMPUTED_VALUE"""),"CASTANHAL")</f>
        <v>CASTANHAL</v>
      </c>
      <c r="K625" s="1">
        <f ca="1">IFERROR(__xludf.DUMMYFUNCTION("""COMPUTED_VALUE"""),15045641)</f>
        <v>15045641</v>
      </c>
      <c r="L625" s="2" t="str">
        <f ca="1">IFERROR(__xludf.DUMMYFUNCTION("""COMPUTED_VALUE"""),"001920919840000")</f>
        <v>001920919840000</v>
      </c>
      <c r="M625" s="2" t="str">
        <f ca="1">IFERROR(__xludf.DUMMYFUNCTION("""COMPUTED_VALUE"""),"1920919840000")</f>
        <v>1920919840000</v>
      </c>
      <c r="N625" s="1" t="str">
        <f ca="1">IFERROR(__xludf.DUMMYFUNCTION("""COMPUTED_VALUE"""),"EEEF ROTARY CLUB DE CASTANHAL")</f>
        <v>EEEF ROTARY CLUB DE CASTANHAL</v>
      </c>
      <c r="O625" s="1"/>
      <c r="P625" s="1"/>
      <c r="Q625" s="1" t="s">
        <v>637</v>
      </c>
    </row>
    <row r="626" spans="1:17" x14ac:dyDescent="0.25">
      <c r="A626" s="2" t="str">
        <f ca="1">IFERROR(__xludf.DUMMYFUNCTION("""COMPUTED_VALUE"""),"REG DE INTEGRA DO GUAMA")</f>
        <v>REG DE INTEGRA DO GUAMA</v>
      </c>
      <c r="B626" s="1" t="str">
        <f ca="1">IFERROR(__xludf.DUMMYFUNCTION("""COMPUTED_VALUE"""),"DRE CASTANHAL")</f>
        <v>DRE CASTANHAL</v>
      </c>
      <c r="C626" s="2" t="str">
        <f ca="1">IFERROR(__xludf.DUMMYFUNCTION("""COMPUTED_VALUE"""),"DRE - CASTANHAL")</f>
        <v>DRE - CASTANHAL</v>
      </c>
      <c r="D626" s="1"/>
      <c r="E626" s="2" t="str">
        <f ca="1">IFERROR(__xludf.DUMMYFUNCTION("""COMPUTED_VALUE"""),"DRE - CASTANHAL")</f>
        <v>DRE - CASTANHAL</v>
      </c>
      <c r="F626" s="1">
        <f ca="1">IFERROR(__xludf.DUMMYFUNCTION("""COMPUTED_VALUE"""),3)</f>
        <v>3</v>
      </c>
      <c r="G626" s="1" t="str">
        <f ca="1">IFERROR(__xludf.DUMMYFUNCTION("""COMPUTED_VALUE"""),"DRE CASTANHAL")</f>
        <v>DRE CASTANHAL</v>
      </c>
      <c r="H626" s="1" t="str">
        <f ca="1">IFERROR(__xludf.DUMMYFUNCTION("""COMPUTED_VALUE"""),"08A URE - CASTANHAL")</f>
        <v>08A URE - CASTANHAL</v>
      </c>
      <c r="I626" s="1"/>
      <c r="J626" s="1" t="str">
        <f ca="1">IFERROR(__xludf.DUMMYFUNCTION("""COMPUTED_VALUE"""),"CASTANHAL")</f>
        <v>CASTANHAL</v>
      </c>
      <c r="K626" s="1">
        <f ca="1">IFERROR(__xludf.DUMMYFUNCTION("""COMPUTED_VALUE"""),15045552)</f>
        <v>15045552</v>
      </c>
      <c r="L626" s="2" t="str">
        <f ca="1">IFERROR(__xludf.DUMMYFUNCTION("""COMPUTED_VALUE"""),"001920919830000")</f>
        <v>001920919830000</v>
      </c>
      <c r="M626" s="2" t="str">
        <f ca="1">IFERROR(__xludf.DUMMYFUNCTION("""COMPUTED_VALUE"""),"1920919830000")</f>
        <v>1920919830000</v>
      </c>
      <c r="N626" s="1" t="str">
        <f ca="1">IFERROR(__xludf.DUMMYFUNCTION("""COMPUTED_VALUE"""),"EEEFM 28 DE JANEIRO")</f>
        <v>EEEFM 28 DE JANEIRO</v>
      </c>
      <c r="O626" s="1"/>
      <c r="P626" s="1"/>
      <c r="Q626" s="1" t="s">
        <v>637</v>
      </c>
    </row>
    <row r="627" spans="1:17" x14ac:dyDescent="0.25">
      <c r="A627" s="2" t="str">
        <f ca="1">IFERROR(__xludf.DUMMYFUNCTION("""COMPUTED_VALUE"""),"REG DE INTEGRA DO GUAMA")</f>
        <v>REG DE INTEGRA DO GUAMA</v>
      </c>
      <c r="B627" s="1" t="str">
        <f ca="1">IFERROR(__xludf.DUMMYFUNCTION("""COMPUTED_VALUE"""),"DRE CASTANHAL")</f>
        <v>DRE CASTANHAL</v>
      </c>
      <c r="C627" s="2" t="str">
        <f ca="1">IFERROR(__xludf.DUMMYFUNCTION("""COMPUTED_VALUE"""),"DRE - CASTANHAL")</f>
        <v>DRE - CASTANHAL</v>
      </c>
      <c r="D627" s="1"/>
      <c r="E627" s="2" t="str">
        <f ca="1">IFERROR(__xludf.DUMMYFUNCTION("""COMPUTED_VALUE"""),"DRE - CASTANHAL")</f>
        <v>DRE - CASTANHAL</v>
      </c>
      <c r="F627" s="1">
        <f ca="1">IFERROR(__xludf.DUMMYFUNCTION("""COMPUTED_VALUE"""),3)</f>
        <v>3</v>
      </c>
      <c r="G627" s="1" t="str">
        <f ca="1">IFERROR(__xludf.DUMMYFUNCTION("""COMPUTED_VALUE"""),"DRE CASTANHAL")</f>
        <v>DRE CASTANHAL</v>
      </c>
      <c r="H627" s="1" t="str">
        <f ca="1">IFERROR(__xludf.DUMMYFUNCTION("""COMPUTED_VALUE"""),"08A URE - CASTANHAL")</f>
        <v>08A URE - CASTANHAL</v>
      </c>
      <c r="I627" s="1"/>
      <c r="J627" s="1" t="str">
        <f ca="1">IFERROR(__xludf.DUMMYFUNCTION("""COMPUTED_VALUE"""),"CASTANHAL")</f>
        <v>CASTANHAL</v>
      </c>
      <c r="K627" s="1">
        <f ca="1">IFERROR(__xludf.DUMMYFUNCTION("""COMPUTED_VALUE"""),15045480)</f>
        <v>15045480</v>
      </c>
      <c r="L627" s="2" t="str">
        <f ca="1">IFERROR(__xludf.DUMMYFUNCTION("""COMPUTED_VALUE"""),"001920919800000")</f>
        <v>001920919800000</v>
      </c>
      <c r="M627" s="2" t="str">
        <f ca="1">IFERROR(__xludf.DUMMYFUNCTION("""COMPUTED_VALUE"""),"1920919800000")</f>
        <v>1920919800000</v>
      </c>
      <c r="N627" s="1" t="str">
        <f ca="1">IFERROR(__xludf.DUMMYFUNCTION("""COMPUTED_VALUE"""),"EEEFM BENICIO LOPES")</f>
        <v>EEEFM BENICIO LOPES</v>
      </c>
      <c r="O627" s="1"/>
      <c r="P627" s="1"/>
      <c r="Q627" s="1" t="s">
        <v>637</v>
      </c>
    </row>
    <row r="628" spans="1:17" x14ac:dyDescent="0.25">
      <c r="A628" s="2" t="str">
        <f ca="1">IFERROR(__xludf.DUMMYFUNCTION("""COMPUTED_VALUE"""),"REG DE INTEGRA DO GUAMA")</f>
        <v>REG DE INTEGRA DO GUAMA</v>
      </c>
      <c r="B628" s="1" t="str">
        <f ca="1">IFERROR(__xludf.DUMMYFUNCTION("""COMPUTED_VALUE"""),"DRE CASTANHAL")</f>
        <v>DRE CASTANHAL</v>
      </c>
      <c r="C628" s="2" t="str">
        <f ca="1">IFERROR(__xludf.DUMMYFUNCTION("""COMPUTED_VALUE"""),"DRE - CASTANHAL")</f>
        <v>DRE - CASTANHAL</v>
      </c>
      <c r="D628" s="1"/>
      <c r="E628" s="2" t="str">
        <f ca="1">IFERROR(__xludf.DUMMYFUNCTION("""COMPUTED_VALUE"""),"DRE - CASTANHAL")</f>
        <v>DRE - CASTANHAL</v>
      </c>
      <c r="F628" s="1">
        <f ca="1">IFERROR(__xludf.DUMMYFUNCTION("""COMPUTED_VALUE"""),3)</f>
        <v>3</v>
      </c>
      <c r="G628" s="1" t="str">
        <f ca="1">IFERROR(__xludf.DUMMYFUNCTION("""COMPUTED_VALUE"""),"DRE CASTANHAL")</f>
        <v>DRE CASTANHAL</v>
      </c>
      <c r="H628" s="1" t="str">
        <f ca="1">IFERROR(__xludf.DUMMYFUNCTION("""COMPUTED_VALUE"""),"08A URE - CASTANHAL")</f>
        <v>08A URE - CASTANHAL</v>
      </c>
      <c r="I628" s="1"/>
      <c r="J628" s="1" t="str">
        <f ca="1">IFERROR(__xludf.DUMMYFUNCTION("""COMPUTED_VALUE"""),"CASTANHAL")</f>
        <v>CASTANHAL</v>
      </c>
      <c r="K628" s="1">
        <f ca="1">IFERROR(__xludf.DUMMYFUNCTION("""COMPUTED_VALUE"""),15045560)</f>
        <v>15045560</v>
      </c>
      <c r="L628" s="2" t="str">
        <f ca="1">IFERROR(__xludf.DUMMYFUNCTION("""COMPUTED_VALUE"""),"001920919810000")</f>
        <v>001920919810000</v>
      </c>
      <c r="M628" s="2" t="str">
        <f ca="1">IFERROR(__xludf.DUMMYFUNCTION("""COMPUTED_VALUE"""),"1920919810000")</f>
        <v>1920919810000</v>
      </c>
      <c r="N628" s="1" t="str">
        <f ca="1">IFERROR(__xludf.DUMMYFUNCTION("""COMPUTED_VALUE"""),"EEEFM CONEGO LEITAO")</f>
        <v>EEEFM CONEGO LEITAO</v>
      </c>
      <c r="O628" s="1"/>
      <c r="P628" s="1"/>
      <c r="Q628" s="1" t="s">
        <v>637</v>
      </c>
    </row>
    <row r="629" spans="1:17" x14ac:dyDescent="0.25">
      <c r="A629" s="2" t="str">
        <f ca="1">IFERROR(__xludf.DUMMYFUNCTION("""COMPUTED_VALUE"""),"REG DE INTEGRA DO GUAMA")</f>
        <v>REG DE INTEGRA DO GUAMA</v>
      </c>
      <c r="B629" s="1" t="str">
        <f ca="1">IFERROR(__xludf.DUMMYFUNCTION("""COMPUTED_VALUE"""),"DRE CASTANHAL")</f>
        <v>DRE CASTANHAL</v>
      </c>
      <c r="C629" s="2" t="str">
        <f ca="1">IFERROR(__xludf.DUMMYFUNCTION("""COMPUTED_VALUE"""),"DRE - CASTANHAL")</f>
        <v>DRE - CASTANHAL</v>
      </c>
      <c r="D629" s="1"/>
      <c r="E629" s="2" t="str">
        <f ca="1">IFERROR(__xludf.DUMMYFUNCTION("""COMPUTED_VALUE"""),"DRE - CASTANHAL")</f>
        <v>DRE - CASTANHAL</v>
      </c>
      <c r="F629" s="1">
        <f ca="1">IFERROR(__xludf.DUMMYFUNCTION("""COMPUTED_VALUE"""),3)</f>
        <v>3</v>
      </c>
      <c r="G629" s="1" t="str">
        <f ca="1">IFERROR(__xludf.DUMMYFUNCTION("""COMPUTED_VALUE"""),"DRE CASTANHAL")</f>
        <v>DRE CASTANHAL</v>
      </c>
      <c r="H629" s="1" t="str">
        <f ca="1">IFERROR(__xludf.DUMMYFUNCTION("""COMPUTED_VALUE"""),"08A URE - CASTANHAL")</f>
        <v>08A URE - CASTANHAL</v>
      </c>
      <c r="I629" s="1"/>
      <c r="J629" s="1" t="str">
        <f ca="1">IFERROR(__xludf.DUMMYFUNCTION("""COMPUTED_VALUE"""),"CASTANHAL")</f>
        <v>CASTANHAL</v>
      </c>
      <c r="K629" s="1">
        <f ca="1">IFERROR(__xludf.DUMMYFUNCTION("""COMPUTED_VALUE"""),15045587)</f>
        <v>15045587</v>
      </c>
      <c r="L629" s="2" t="str">
        <f ca="1">IFERROR(__xludf.DUMMYFUNCTION("""COMPUTED_VALUE"""),"001920924860000")</f>
        <v>001920924860000</v>
      </c>
      <c r="M629" s="2" t="str">
        <f ca="1">IFERROR(__xludf.DUMMYFUNCTION("""COMPUTED_VALUE"""),"1920924860000")</f>
        <v>1920924860000</v>
      </c>
      <c r="N629" s="1" t="str">
        <f ca="1">IFERROR(__xludf.DUMMYFUNCTION("""COMPUTED_VALUE"""),"EEEFM DR LAURENO ALVES DE MELO")</f>
        <v>EEEFM DR LAURENO ALVES DE MELO</v>
      </c>
      <c r="O629" s="1"/>
      <c r="P629" s="1"/>
      <c r="Q629" s="1" t="s">
        <v>637</v>
      </c>
    </row>
    <row r="630" spans="1:17" x14ac:dyDescent="0.25">
      <c r="A630" s="2" t="str">
        <f ca="1">IFERROR(__xludf.DUMMYFUNCTION("""COMPUTED_VALUE"""),"REG DE INTEGRA DO GUAMA")</f>
        <v>REG DE INTEGRA DO GUAMA</v>
      </c>
      <c r="B630" s="1" t="str">
        <f ca="1">IFERROR(__xludf.DUMMYFUNCTION("""COMPUTED_VALUE"""),"DRE CASTANHAL")</f>
        <v>DRE CASTANHAL</v>
      </c>
      <c r="C630" s="2" t="str">
        <f ca="1">IFERROR(__xludf.DUMMYFUNCTION("""COMPUTED_VALUE"""),"DRE - CASTANHAL")</f>
        <v>DRE - CASTANHAL</v>
      </c>
      <c r="D630" s="1"/>
      <c r="E630" s="2" t="str">
        <f ca="1">IFERROR(__xludf.DUMMYFUNCTION("""COMPUTED_VALUE"""),"DRE - CASTANHAL")</f>
        <v>DRE - CASTANHAL</v>
      </c>
      <c r="F630" s="1">
        <f ca="1">IFERROR(__xludf.DUMMYFUNCTION("""COMPUTED_VALUE"""),3)</f>
        <v>3</v>
      </c>
      <c r="G630" s="1" t="str">
        <f ca="1">IFERROR(__xludf.DUMMYFUNCTION("""COMPUTED_VALUE"""),"DRE CASTANHAL")</f>
        <v>DRE CASTANHAL</v>
      </c>
      <c r="H630" s="1" t="str">
        <f ca="1">IFERROR(__xludf.DUMMYFUNCTION("""COMPUTED_VALUE"""),"08A URE - CASTANHAL")</f>
        <v>08A URE - CASTANHAL</v>
      </c>
      <c r="I630" s="1"/>
      <c r="J630" s="1" t="str">
        <f ca="1">IFERROR(__xludf.DUMMYFUNCTION("""COMPUTED_VALUE"""),"CASTANHAL")</f>
        <v>CASTANHAL</v>
      </c>
      <c r="K630" s="1">
        <f ca="1">IFERROR(__xludf.DUMMYFUNCTION("""COMPUTED_VALUE"""),15045668)</f>
        <v>15045668</v>
      </c>
      <c r="L630" s="2" t="str">
        <f ca="1">IFERROR(__xludf.DUMMYFUNCTION("""COMPUTED_VALUE"""),"001920928650000")</f>
        <v>001920928650000</v>
      </c>
      <c r="M630" s="2" t="str">
        <f ca="1">IFERROR(__xludf.DUMMYFUNCTION("""COMPUTED_VALUE"""),"1920928650000")</f>
        <v>1920928650000</v>
      </c>
      <c r="N630" s="1" t="str">
        <f ca="1">IFERROR(__xludf.DUMMYFUNCTION("""COMPUTED_VALUE"""),"EEEFM ELCIONE THEREZINHA ZAHLUTH BARBALHO")</f>
        <v>EEEFM ELCIONE THEREZINHA ZAHLUTH BARBALHO</v>
      </c>
      <c r="O630" s="1"/>
      <c r="P630" s="1"/>
      <c r="Q630" s="1" t="s">
        <v>637</v>
      </c>
    </row>
    <row r="631" spans="1:17" x14ac:dyDescent="0.25">
      <c r="A631" s="2" t="str">
        <f ca="1">IFERROR(__xludf.DUMMYFUNCTION("""COMPUTED_VALUE"""),"REG DE INTEGRA DO GUAMA")</f>
        <v>REG DE INTEGRA DO GUAMA</v>
      </c>
      <c r="B631" s="1" t="str">
        <f ca="1">IFERROR(__xludf.DUMMYFUNCTION("""COMPUTED_VALUE"""),"DRE CASTANHAL")</f>
        <v>DRE CASTANHAL</v>
      </c>
      <c r="C631" s="2" t="str">
        <f ca="1">IFERROR(__xludf.DUMMYFUNCTION("""COMPUTED_VALUE"""),"DRE - CASTANHAL")</f>
        <v>DRE - CASTANHAL</v>
      </c>
      <c r="D631" s="1"/>
      <c r="E631" s="2" t="str">
        <f ca="1">IFERROR(__xludf.DUMMYFUNCTION("""COMPUTED_VALUE"""),"DRE - CASTANHAL")</f>
        <v>DRE - CASTANHAL</v>
      </c>
      <c r="F631" s="1">
        <f ca="1">IFERROR(__xludf.DUMMYFUNCTION("""COMPUTED_VALUE"""),3)</f>
        <v>3</v>
      </c>
      <c r="G631" s="1" t="str">
        <f ca="1">IFERROR(__xludf.DUMMYFUNCTION("""COMPUTED_VALUE"""),"DRE CASTANHAL")</f>
        <v>DRE CASTANHAL</v>
      </c>
      <c r="H631" s="1" t="str">
        <f ca="1">IFERROR(__xludf.DUMMYFUNCTION("""COMPUTED_VALUE"""),"08A URE - CASTANHAL")</f>
        <v>08A URE - CASTANHAL</v>
      </c>
      <c r="I631" s="1"/>
      <c r="J631" s="1" t="str">
        <f ca="1">IFERROR(__xludf.DUMMYFUNCTION("""COMPUTED_VALUE"""),"CASTANHAL")</f>
        <v>CASTANHAL</v>
      </c>
      <c r="K631" s="1">
        <f ca="1">IFERROR(__xludf.DUMMYFUNCTION("""COMPUTED_VALUE"""),15045463)</f>
        <v>15045463</v>
      </c>
      <c r="L631" s="2" t="str">
        <f ca="1">IFERROR(__xludf.DUMMYFUNCTION("""COMPUTED_VALUE"""),"001920937680000")</f>
        <v>001920937680000</v>
      </c>
      <c r="M631" s="2" t="str">
        <f ca="1">IFERROR(__xludf.DUMMYFUNCTION("""COMPUTED_VALUE"""),"1920937680000")</f>
        <v>1920937680000</v>
      </c>
      <c r="N631" s="1" t="str">
        <f ca="1">IFERROR(__xludf.DUMMYFUNCTION("""COMPUTED_VALUE"""),"EEEFM JOSE HENRIQUE")</f>
        <v>EEEFM JOSE HENRIQUE</v>
      </c>
      <c r="O631" s="1"/>
      <c r="P631" s="1"/>
      <c r="Q631" s="1" t="s">
        <v>637</v>
      </c>
    </row>
    <row r="632" spans="1:17" x14ac:dyDescent="0.25">
      <c r="A632" s="2" t="str">
        <f ca="1">IFERROR(__xludf.DUMMYFUNCTION("""COMPUTED_VALUE"""),"REG DE INTEGRA DO GUAMA")</f>
        <v>REG DE INTEGRA DO GUAMA</v>
      </c>
      <c r="B632" s="1" t="str">
        <f ca="1">IFERROR(__xludf.DUMMYFUNCTION("""COMPUTED_VALUE"""),"DRE CASTANHAL")</f>
        <v>DRE CASTANHAL</v>
      </c>
      <c r="C632" s="2" t="str">
        <f ca="1">IFERROR(__xludf.DUMMYFUNCTION("""COMPUTED_VALUE"""),"DRE - CASTANHAL")</f>
        <v>DRE - CASTANHAL</v>
      </c>
      <c r="D632" s="1"/>
      <c r="E632" s="2" t="str">
        <f ca="1">IFERROR(__xludf.DUMMYFUNCTION("""COMPUTED_VALUE"""),"DRE - CASTANHAL")</f>
        <v>DRE - CASTANHAL</v>
      </c>
      <c r="F632" s="1">
        <f ca="1">IFERROR(__xludf.DUMMYFUNCTION("""COMPUTED_VALUE"""),3)</f>
        <v>3</v>
      </c>
      <c r="G632" s="1" t="str">
        <f ca="1">IFERROR(__xludf.DUMMYFUNCTION("""COMPUTED_VALUE"""),"DRE CASTANHAL")</f>
        <v>DRE CASTANHAL</v>
      </c>
      <c r="H632" s="1" t="str">
        <f ca="1">IFERROR(__xludf.DUMMYFUNCTION("""COMPUTED_VALUE"""),"08A URE - CASTANHAL")</f>
        <v>08A URE - CASTANHAL</v>
      </c>
      <c r="I632" s="1"/>
      <c r="J632" s="1" t="str">
        <f ca="1">IFERROR(__xludf.DUMMYFUNCTION("""COMPUTED_VALUE"""),"CASTANHAL")</f>
        <v>CASTANHAL</v>
      </c>
      <c r="K632" s="1">
        <f ca="1">IFERROR(__xludf.DUMMYFUNCTION("""COMPUTED_VALUE"""),15588378)</f>
        <v>15588378</v>
      </c>
      <c r="L632" s="2" t="str">
        <f ca="1">IFERROR(__xludf.DUMMYFUNCTION("""COMPUTED_VALUE"""),"001920937040000")</f>
        <v>001920937040000</v>
      </c>
      <c r="M632" s="2" t="str">
        <f ca="1">IFERROR(__xludf.DUMMYFUNCTION("""COMPUTED_VALUE"""),"1920937040000")</f>
        <v>1920937040000</v>
      </c>
      <c r="N632" s="1" t="str">
        <f ca="1">IFERROR(__xludf.DUMMYFUNCTION("""COMPUTED_VALUE"""),"EEEFM JOSE SALLES")</f>
        <v>EEEFM JOSE SALLES</v>
      </c>
      <c r="O632" s="1"/>
      <c r="P632" s="1"/>
      <c r="Q632" s="1" t="s">
        <v>637</v>
      </c>
    </row>
    <row r="633" spans="1:17" x14ac:dyDescent="0.25">
      <c r="A633" s="2" t="str">
        <f ca="1">IFERROR(__xludf.DUMMYFUNCTION("""COMPUTED_VALUE"""),"REG DE INTEGRA DO GUAMA")</f>
        <v>REG DE INTEGRA DO GUAMA</v>
      </c>
      <c r="B633" s="1" t="str">
        <f ca="1">IFERROR(__xludf.DUMMYFUNCTION("""COMPUTED_VALUE"""),"DRE CASTANHAL")</f>
        <v>DRE CASTANHAL</v>
      </c>
      <c r="C633" s="2" t="str">
        <f ca="1">IFERROR(__xludf.DUMMYFUNCTION("""COMPUTED_VALUE"""),"DRE - CASTANHAL")</f>
        <v>DRE - CASTANHAL</v>
      </c>
      <c r="D633" s="1"/>
      <c r="E633" s="2" t="str">
        <f ca="1">IFERROR(__xludf.DUMMYFUNCTION("""COMPUTED_VALUE"""),"DRE - CASTANHAL")</f>
        <v>DRE - CASTANHAL</v>
      </c>
      <c r="F633" s="1">
        <f ca="1">IFERROR(__xludf.DUMMYFUNCTION("""COMPUTED_VALUE"""),3)</f>
        <v>3</v>
      </c>
      <c r="G633" s="1" t="str">
        <f ca="1">IFERROR(__xludf.DUMMYFUNCTION("""COMPUTED_VALUE"""),"DRE CASTANHAL")</f>
        <v>DRE CASTANHAL</v>
      </c>
      <c r="H633" s="1" t="str">
        <f ca="1">IFERROR(__xludf.DUMMYFUNCTION("""COMPUTED_VALUE"""),"08A URE - CASTANHAL")</f>
        <v>08A URE - CASTANHAL</v>
      </c>
      <c r="I633" s="1"/>
      <c r="J633" s="1" t="str">
        <f ca="1">IFERROR(__xludf.DUMMYFUNCTION("""COMPUTED_VALUE"""),"CASTANHAL")</f>
        <v>CASTANHAL</v>
      </c>
      <c r="K633" s="1">
        <f ca="1">IFERROR(__xludf.DUMMYFUNCTION("""COMPUTED_VALUE"""),15561429)</f>
        <v>15561429</v>
      </c>
      <c r="L633" s="2" t="str">
        <f ca="1">IFERROR(__xludf.DUMMYFUNCTION("""COMPUTED_VALUE"""),"001920929980000")</f>
        <v>001920929980000</v>
      </c>
      <c r="M633" s="2" t="str">
        <f ca="1">IFERROR(__xludf.DUMMYFUNCTION("""COMPUTED_VALUE"""),"1920929980000")</f>
        <v>1920929980000</v>
      </c>
      <c r="N633" s="1" t="str">
        <f ca="1">IFERROR(__xludf.DUMMYFUNCTION("""COMPUTED_VALUE"""),"EEEFM MARIA DAS MERCES DE OLIVEIRA CONOR")</f>
        <v>EEEFM MARIA DAS MERCES DE OLIVEIRA CONOR</v>
      </c>
      <c r="O633" s="1"/>
      <c r="P633" s="1"/>
      <c r="Q633" s="1" t="s">
        <v>637</v>
      </c>
    </row>
    <row r="634" spans="1:17" x14ac:dyDescent="0.25">
      <c r="A634" s="2" t="str">
        <f ca="1">IFERROR(__xludf.DUMMYFUNCTION("""COMPUTED_VALUE"""),"REG DE INTEGRA DO GUAMA")</f>
        <v>REG DE INTEGRA DO GUAMA</v>
      </c>
      <c r="B634" s="1" t="str">
        <f ca="1">IFERROR(__xludf.DUMMYFUNCTION("""COMPUTED_VALUE"""),"DRE CASTANHAL")</f>
        <v>DRE CASTANHAL</v>
      </c>
      <c r="C634" s="2" t="str">
        <f ca="1">IFERROR(__xludf.DUMMYFUNCTION("""COMPUTED_VALUE"""),"DRE - CASTANHAL")</f>
        <v>DRE - CASTANHAL</v>
      </c>
      <c r="D634" s="1"/>
      <c r="E634" s="2" t="str">
        <f ca="1">IFERROR(__xludf.DUMMYFUNCTION("""COMPUTED_VALUE"""),"DRE - CASTANHAL")</f>
        <v>DRE - CASTANHAL</v>
      </c>
      <c r="F634" s="1">
        <f ca="1">IFERROR(__xludf.DUMMYFUNCTION("""COMPUTED_VALUE"""),3)</f>
        <v>3</v>
      </c>
      <c r="G634" s="1" t="str">
        <f ca="1">IFERROR(__xludf.DUMMYFUNCTION("""COMPUTED_VALUE"""),"DRE CASTANHAL")</f>
        <v>DRE CASTANHAL</v>
      </c>
      <c r="H634" s="1" t="str">
        <f ca="1">IFERROR(__xludf.DUMMYFUNCTION("""COMPUTED_VALUE"""),"08A URE - CASTANHAL")</f>
        <v>08A URE - CASTANHAL</v>
      </c>
      <c r="I634" s="1"/>
      <c r="J634" s="1" t="str">
        <f ca="1">IFERROR(__xludf.DUMMYFUNCTION("""COMPUTED_VALUE"""),"CASTANHAL")</f>
        <v>CASTANHAL</v>
      </c>
      <c r="K634" s="1">
        <f ca="1">IFERROR(__xludf.DUMMYFUNCTION("""COMPUTED_VALUE"""),15046567)</f>
        <v>15046567</v>
      </c>
      <c r="L634" s="2" t="str">
        <f ca="1">IFERROR(__xludf.DUMMYFUNCTION("""COMPUTED_VALUE"""),"001920919910000")</f>
        <v>001920919910000</v>
      </c>
      <c r="M634" s="2" t="str">
        <f ca="1">IFERROR(__xludf.DUMMYFUNCTION("""COMPUTED_VALUE"""),"1920919910000")</f>
        <v>1920919910000</v>
      </c>
      <c r="N634" s="1" t="str">
        <f ca="1">IFERROR(__xludf.DUMMYFUNCTION("""COMPUTED_VALUE"""),"EEEFM MARIA PIA DOS SANTOS AMARAL")</f>
        <v>EEEFM MARIA PIA DOS SANTOS AMARAL</v>
      </c>
      <c r="O634" s="1"/>
      <c r="P634" s="1"/>
      <c r="Q634" s="1" t="s">
        <v>637</v>
      </c>
    </row>
    <row r="635" spans="1:17" x14ac:dyDescent="0.25">
      <c r="A635" s="2" t="str">
        <f ca="1">IFERROR(__xludf.DUMMYFUNCTION("""COMPUTED_VALUE"""),"REG DE INTEGRA DO GUAMA")</f>
        <v>REG DE INTEGRA DO GUAMA</v>
      </c>
      <c r="B635" s="1" t="str">
        <f ca="1">IFERROR(__xludf.DUMMYFUNCTION("""COMPUTED_VALUE"""),"DRE CASTANHAL")</f>
        <v>DRE CASTANHAL</v>
      </c>
      <c r="C635" s="2" t="str">
        <f ca="1">IFERROR(__xludf.DUMMYFUNCTION("""COMPUTED_VALUE"""),"DRE - CASTANHAL")</f>
        <v>DRE - CASTANHAL</v>
      </c>
      <c r="D635" s="1"/>
      <c r="E635" s="2" t="str">
        <f ca="1">IFERROR(__xludf.DUMMYFUNCTION("""COMPUTED_VALUE"""),"DRE - CASTANHAL")</f>
        <v>DRE - CASTANHAL</v>
      </c>
      <c r="F635" s="1">
        <f ca="1">IFERROR(__xludf.DUMMYFUNCTION("""COMPUTED_VALUE"""),3)</f>
        <v>3</v>
      </c>
      <c r="G635" s="1" t="str">
        <f ca="1">IFERROR(__xludf.DUMMYFUNCTION("""COMPUTED_VALUE"""),"DRE CASTANHAL")</f>
        <v>DRE CASTANHAL</v>
      </c>
      <c r="H635" s="1" t="str">
        <f ca="1">IFERROR(__xludf.DUMMYFUNCTION("""COMPUTED_VALUE"""),"08A URE - CASTANHAL")</f>
        <v>08A URE - CASTANHAL</v>
      </c>
      <c r="I635" s="1"/>
      <c r="J635" s="1" t="str">
        <f ca="1">IFERROR(__xludf.DUMMYFUNCTION("""COMPUTED_VALUE"""),"CASTANHAL")</f>
        <v>CASTANHAL</v>
      </c>
      <c r="K635" s="1">
        <f ca="1">IFERROR(__xludf.DUMMYFUNCTION("""COMPUTED_VALUE"""),15045471)</f>
        <v>15045471</v>
      </c>
      <c r="L635" s="2" t="str">
        <f ca="1">IFERROR(__xludf.DUMMYFUNCTION("""COMPUTED_VALUE"""),"001920919820000")</f>
        <v>001920919820000</v>
      </c>
      <c r="M635" s="2" t="str">
        <f ca="1">IFERROR(__xludf.DUMMYFUNCTION("""COMPUTED_VALUE"""),"1920919820000")</f>
        <v>1920919820000</v>
      </c>
      <c r="N635" s="1" t="str">
        <f ca="1">IFERROR(__xludf.DUMMYFUNCTION("""COMPUTED_VALUE"""),"EEEFM PADRE SALVADOR TRACCAIOLLI")</f>
        <v>EEEFM PADRE SALVADOR TRACCAIOLLI</v>
      </c>
      <c r="O635" s="1"/>
      <c r="P635" s="1"/>
      <c r="Q635" s="1" t="s">
        <v>637</v>
      </c>
    </row>
    <row r="636" spans="1:17" x14ac:dyDescent="0.25">
      <c r="A636" s="2" t="str">
        <f ca="1">IFERROR(__xludf.DUMMYFUNCTION("""COMPUTED_VALUE"""),"REG DE INTEGRA DO GUAMA")</f>
        <v>REG DE INTEGRA DO GUAMA</v>
      </c>
      <c r="B636" s="1" t="str">
        <f ca="1">IFERROR(__xludf.DUMMYFUNCTION("""COMPUTED_VALUE"""),"DRE CASTANHAL")</f>
        <v>DRE CASTANHAL</v>
      </c>
      <c r="C636" s="2" t="str">
        <f ca="1">IFERROR(__xludf.DUMMYFUNCTION("""COMPUTED_VALUE"""),"DRE - CASTANHAL")</f>
        <v>DRE - CASTANHAL</v>
      </c>
      <c r="D636" s="1"/>
      <c r="E636" s="2" t="str">
        <f ca="1">IFERROR(__xludf.DUMMYFUNCTION("""COMPUTED_VALUE"""),"DRE - CASTANHAL")</f>
        <v>DRE - CASTANHAL</v>
      </c>
      <c r="F636" s="1">
        <f ca="1">IFERROR(__xludf.DUMMYFUNCTION("""COMPUTED_VALUE"""),3)</f>
        <v>3</v>
      </c>
      <c r="G636" s="1" t="str">
        <f ca="1">IFERROR(__xludf.DUMMYFUNCTION("""COMPUTED_VALUE"""),"DRE CASTANHAL")</f>
        <v>DRE CASTANHAL</v>
      </c>
      <c r="H636" s="1" t="str">
        <f ca="1">IFERROR(__xludf.DUMMYFUNCTION("""COMPUTED_VALUE"""),"08A URE - CASTANHAL")</f>
        <v>08A URE - CASTANHAL</v>
      </c>
      <c r="I636" s="1"/>
      <c r="J636" s="1" t="str">
        <f ca="1">IFERROR(__xludf.DUMMYFUNCTION("""COMPUTED_VALUE"""),"CASTANHAL")</f>
        <v>CASTANHAL</v>
      </c>
      <c r="K636" s="1">
        <f ca="1">IFERROR(__xludf.DUMMYFUNCTION("""COMPUTED_VALUE"""),15045498)</f>
        <v>15045498</v>
      </c>
      <c r="L636" s="2" t="str">
        <f ca="1">IFERROR(__xludf.DUMMYFUNCTION("""COMPUTED_VALUE"""),"001920919790000")</f>
        <v>001920919790000</v>
      </c>
      <c r="M636" s="2" t="str">
        <f ca="1">IFERROR(__xludf.DUMMYFUNCTION("""COMPUTED_VALUE"""),"1920919790000")</f>
        <v>1920919790000</v>
      </c>
      <c r="N636" s="1" t="str">
        <f ca="1">IFERROR(__xludf.DUMMYFUNCTION("""COMPUTED_VALUE"""),"EEEFM PROF CLOTILDE PEREIRA")</f>
        <v>EEEFM PROF CLOTILDE PEREIRA</v>
      </c>
      <c r="O636" s="1"/>
      <c r="P636" s="1"/>
      <c r="Q636" s="1" t="s">
        <v>637</v>
      </c>
    </row>
    <row r="637" spans="1:17" x14ac:dyDescent="0.25">
      <c r="A637" s="2" t="str">
        <f ca="1">IFERROR(__xludf.DUMMYFUNCTION("""COMPUTED_VALUE"""),"REG DE INTEGRA DO GUAMA")</f>
        <v>REG DE INTEGRA DO GUAMA</v>
      </c>
      <c r="B637" s="1" t="str">
        <f ca="1">IFERROR(__xludf.DUMMYFUNCTION("""COMPUTED_VALUE"""),"DRE CASTANHAL")</f>
        <v>DRE CASTANHAL</v>
      </c>
      <c r="C637" s="2" t="str">
        <f ca="1">IFERROR(__xludf.DUMMYFUNCTION("""COMPUTED_VALUE"""),"DRE - CASTANHAL")</f>
        <v>DRE - CASTANHAL</v>
      </c>
      <c r="D637" s="1"/>
      <c r="E637" s="2" t="str">
        <f ca="1">IFERROR(__xludf.DUMMYFUNCTION("""COMPUTED_VALUE"""),"DRE - CASTANHAL")</f>
        <v>DRE - CASTANHAL</v>
      </c>
      <c r="F637" s="1">
        <f ca="1">IFERROR(__xludf.DUMMYFUNCTION("""COMPUTED_VALUE"""),3)</f>
        <v>3</v>
      </c>
      <c r="G637" s="1" t="str">
        <f ca="1">IFERROR(__xludf.DUMMYFUNCTION("""COMPUTED_VALUE"""),"DRE CASTANHAL")</f>
        <v>DRE CASTANHAL</v>
      </c>
      <c r="H637" s="1" t="str">
        <f ca="1">IFERROR(__xludf.DUMMYFUNCTION("""COMPUTED_VALUE"""),"08A URE - CASTANHAL")</f>
        <v>08A URE - CASTANHAL</v>
      </c>
      <c r="I637" s="1"/>
      <c r="J637" s="1" t="str">
        <f ca="1">IFERROR(__xludf.DUMMYFUNCTION("""COMPUTED_VALUE"""),"CASTANHAL")</f>
        <v>CASTANHAL</v>
      </c>
      <c r="K637" s="1">
        <f ca="1">IFERROR(__xludf.DUMMYFUNCTION("""COMPUTED_VALUE"""),15531600)</f>
        <v>15531600</v>
      </c>
      <c r="L637" s="2" t="str">
        <f ca="1">IFERROR(__xludf.DUMMYFUNCTION("""COMPUTED_VALUE"""),"001920929490000")</f>
        <v>001920929490000</v>
      </c>
      <c r="M637" s="2" t="str">
        <f ca="1">IFERROR(__xludf.DUMMYFUNCTION("""COMPUTED_VALUE"""),"1920929490000")</f>
        <v>1920929490000</v>
      </c>
      <c r="N637" s="1" t="str">
        <f ca="1">IFERROR(__xludf.DUMMYFUNCTION("""COMPUTED_VALUE"""),"EEEFM PROF PAULO CESAR COUTINHO RODRIGUES")</f>
        <v>EEEFM PROF PAULO CESAR COUTINHO RODRIGUES</v>
      </c>
      <c r="O637" s="1"/>
      <c r="P637" s="1"/>
      <c r="Q637" s="1" t="s">
        <v>637</v>
      </c>
    </row>
    <row r="638" spans="1:17" x14ac:dyDescent="0.25">
      <c r="A638" s="2" t="str">
        <f ca="1">IFERROR(__xludf.DUMMYFUNCTION("""COMPUTED_VALUE"""),"REG DE INTEGRA DO GUAMA")</f>
        <v>REG DE INTEGRA DO GUAMA</v>
      </c>
      <c r="B638" s="1" t="str">
        <f ca="1">IFERROR(__xludf.DUMMYFUNCTION("""COMPUTED_VALUE"""),"DRE CASTANHAL")</f>
        <v>DRE CASTANHAL</v>
      </c>
      <c r="C638" s="2" t="str">
        <f ca="1">IFERROR(__xludf.DUMMYFUNCTION("""COMPUTED_VALUE"""),"DRE - CASTANHAL")</f>
        <v>DRE - CASTANHAL</v>
      </c>
      <c r="D638" s="1"/>
      <c r="E638" s="2" t="str">
        <f ca="1">IFERROR(__xludf.DUMMYFUNCTION("""COMPUTED_VALUE"""),"DRE - CASTANHAL")</f>
        <v>DRE - CASTANHAL</v>
      </c>
      <c r="F638" s="1">
        <f ca="1">IFERROR(__xludf.DUMMYFUNCTION("""COMPUTED_VALUE"""),3)</f>
        <v>3</v>
      </c>
      <c r="G638" s="1" t="str">
        <f ca="1">IFERROR(__xludf.DUMMYFUNCTION("""COMPUTED_VALUE"""),"DRE CASTANHAL")</f>
        <v>DRE CASTANHAL</v>
      </c>
      <c r="H638" s="1" t="str">
        <f ca="1">IFERROR(__xludf.DUMMYFUNCTION("""COMPUTED_VALUE"""),"08A URE - CASTANHAL")</f>
        <v>08A URE - CASTANHAL</v>
      </c>
      <c r="I638" s="1"/>
      <c r="J638" s="1" t="str">
        <f ca="1">IFERROR(__xludf.DUMMYFUNCTION("""COMPUTED_VALUE"""),"CASTANHAL")</f>
        <v>CASTANHAL</v>
      </c>
      <c r="K638" s="1">
        <f ca="1">IFERROR(__xludf.DUMMYFUNCTION("""COMPUTED_VALUE"""),15150585)</f>
        <v>15150585</v>
      </c>
      <c r="L638" s="2" t="str">
        <f ca="1">IFERROR(__xludf.DUMMYFUNCTION("""COMPUTED_VALUE"""),"001920929060000")</f>
        <v>001920929060000</v>
      </c>
      <c r="M638" s="2" t="str">
        <f ca="1">IFERROR(__xludf.DUMMYFUNCTION("""COMPUTED_VALUE"""),"1920929060000")</f>
        <v>1920929060000</v>
      </c>
      <c r="N638" s="1" t="str">
        <f ca="1">IFERROR(__xludf.DUMMYFUNCTION("""COMPUTED_VALUE"""),"EEEFM PROFA DEUSARINA DA SILVA RODRIGUES")</f>
        <v>EEEFM PROFA DEUSARINA DA SILVA RODRIGUES</v>
      </c>
      <c r="O638" s="1"/>
      <c r="P638" s="1"/>
      <c r="Q638" s="1" t="s">
        <v>637</v>
      </c>
    </row>
    <row r="639" spans="1:17" x14ac:dyDescent="0.25">
      <c r="A639" s="2" t="str">
        <f ca="1">IFERROR(__xludf.DUMMYFUNCTION("""COMPUTED_VALUE"""),"REG DE INTEGRA DO GUAMA")</f>
        <v>REG DE INTEGRA DO GUAMA</v>
      </c>
      <c r="B639" s="1" t="str">
        <f ca="1">IFERROR(__xludf.DUMMYFUNCTION("""COMPUTED_VALUE"""),"DRE CASTANHAL")</f>
        <v>DRE CASTANHAL</v>
      </c>
      <c r="C639" s="2" t="str">
        <f ca="1">IFERROR(__xludf.DUMMYFUNCTION("""COMPUTED_VALUE"""),"DRE - CASTANHAL")</f>
        <v>DRE - CASTANHAL</v>
      </c>
      <c r="D639" s="1"/>
      <c r="E639" s="2" t="str">
        <f ca="1">IFERROR(__xludf.DUMMYFUNCTION("""COMPUTED_VALUE"""),"DRE - CASTANHAL")</f>
        <v>DRE - CASTANHAL</v>
      </c>
      <c r="F639" s="1">
        <f ca="1">IFERROR(__xludf.DUMMYFUNCTION("""COMPUTED_VALUE"""),3)</f>
        <v>3</v>
      </c>
      <c r="G639" s="1" t="str">
        <f ca="1">IFERROR(__xludf.DUMMYFUNCTION("""COMPUTED_VALUE"""),"DRE CASTANHAL")</f>
        <v>DRE CASTANHAL</v>
      </c>
      <c r="H639" s="1" t="str">
        <f ca="1">IFERROR(__xludf.DUMMYFUNCTION("""COMPUTED_VALUE"""),"08A URE - CASTANHAL")</f>
        <v>08A URE - CASTANHAL</v>
      </c>
      <c r="I639" s="1"/>
      <c r="J639" s="1" t="str">
        <f ca="1">IFERROR(__xludf.DUMMYFUNCTION("""COMPUTED_VALUE"""),"CASTANHAL")</f>
        <v>CASTANHAL</v>
      </c>
      <c r="K639" s="1">
        <f ca="1">IFERROR(__xludf.DUMMYFUNCTION("""COMPUTED_VALUE"""),15045650)</f>
        <v>15045650</v>
      </c>
      <c r="L639" s="2" t="str">
        <f ca="1">IFERROR(__xludf.DUMMYFUNCTION("""COMPUTED_VALUE"""),"001920919850000")</f>
        <v>001920919850000</v>
      </c>
      <c r="M639" s="2" t="str">
        <f ca="1">IFERROR(__xludf.DUMMYFUNCTION("""COMPUTED_VALUE"""),"1920919850000")</f>
        <v>1920919850000</v>
      </c>
      <c r="N639" s="1" t="str">
        <f ca="1">IFERROR(__xludf.DUMMYFUNCTION("""COMPUTED_VALUE"""),"EEEM LAMEIRA BITTENCOURT")</f>
        <v>EEEM LAMEIRA BITTENCOURT</v>
      </c>
      <c r="O639" s="1"/>
      <c r="P639" s="1"/>
      <c r="Q639" s="1" t="s">
        <v>637</v>
      </c>
    </row>
    <row r="640" spans="1:17" x14ac:dyDescent="0.25">
      <c r="A640" s="2" t="str">
        <f ca="1">IFERROR(__xludf.DUMMYFUNCTION("""COMPUTED_VALUE"""),"REG DE INTEGRA DO GUAMA")</f>
        <v>REG DE INTEGRA DO GUAMA</v>
      </c>
      <c r="B640" s="1" t="str">
        <f ca="1">IFERROR(__xludf.DUMMYFUNCTION("""COMPUTED_VALUE"""),"DRE CASTANHAL")</f>
        <v>DRE CASTANHAL</v>
      </c>
      <c r="C640" s="2" t="str">
        <f ca="1">IFERROR(__xludf.DUMMYFUNCTION("""COMPUTED_VALUE"""),"DRE - CASTANHAL")</f>
        <v>DRE - CASTANHAL</v>
      </c>
      <c r="D640" s="1"/>
      <c r="E640" s="2" t="str">
        <f ca="1">IFERROR(__xludf.DUMMYFUNCTION("""COMPUTED_VALUE"""),"DRE - CASTANHAL")</f>
        <v>DRE - CASTANHAL</v>
      </c>
      <c r="F640" s="1">
        <f ca="1">IFERROR(__xludf.DUMMYFUNCTION("""COMPUTED_VALUE"""),3)</f>
        <v>3</v>
      </c>
      <c r="G640" s="1" t="str">
        <f ca="1">IFERROR(__xludf.DUMMYFUNCTION("""COMPUTED_VALUE"""),"DRE CASTANHAL")</f>
        <v>DRE CASTANHAL</v>
      </c>
      <c r="H640" s="1" t="str">
        <f ca="1">IFERROR(__xludf.DUMMYFUNCTION("""COMPUTED_VALUE"""),"08A URE - CASTANHAL")</f>
        <v>08A URE - CASTANHAL</v>
      </c>
      <c r="I640" s="1"/>
      <c r="J640" s="1" t="str">
        <f ca="1">IFERROR(__xludf.DUMMYFUNCTION("""COMPUTED_VALUE"""),"CASTANHAL")</f>
        <v>CASTANHAL</v>
      </c>
      <c r="K640" s="1">
        <f ca="1">IFERROR(__xludf.DUMMYFUNCTION("""COMPUTED_VALUE"""),15168689)</f>
        <v>15168689</v>
      </c>
      <c r="L640" s="2" t="str">
        <f ca="1">IFERROR(__xludf.DUMMYFUNCTION("""COMPUTED_VALUE"""),"001920937980000")</f>
        <v>001920937980000</v>
      </c>
      <c r="M640" s="2" t="str">
        <f ca="1">IFERROR(__xludf.DUMMYFUNCTION("""COMPUTED_VALUE"""),"1920937980000")</f>
        <v>1920937980000</v>
      </c>
      <c r="N640" s="1" t="str">
        <f ca="1">IFERROR(__xludf.DUMMYFUNCTION("""COMPUTED_VALUE"""),"EEETMA SAO LUCAS")</f>
        <v>EEETMA SAO LUCAS</v>
      </c>
      <c r="O640" s="1"/>
      <c r="P640" s="1"/>
      <c r="Q640" s="1" t="s">
        <v>637</v>
      </c>
    </row>
    <row r="641" spans="1:17" x14ac:dyDescent="0.25">
      <c r="A641" s="2" t="str">
        <f ca="1">IFERROR(__xludf.DUMMYFUNCTION("""COMPUTED_VALUE"""),"REG DE INTEGRA DO GUAMA")</f>
        <v>REG DE INTEGRA DO GUAMA</v>
      </c>
      <c r="B641" s="1" t="str">
        <f ca="1">IFERROR(__xludf.DUMMYFUNCTION("""COMPUTED_VALUE"""),"DRE CASTANHAL")</f>
        <v>DRE CASTANHAL</v>
      </c>
      <c r="C641" s="2" t="str">
        <f ca="1">IFERROR(__xludf.DUMMYFUNCTION("""COMPUTED_VALUE"""),"DRE - CASTANHAL")</f>
        <v>DRE - CASTANHAL</v>
      </c>
      <c r="D641" s="1"/>
      <c r="E641" s="2" t="str">
        <f ca="1">IFERROR(__xludf.DUMMYFUNCTION("""COMPUTED_VALUE"""),"DRE - CASTANHAL")</f>
        <v>DRE - CASTANHAL</v>
      </c>
      <c r="F641" s="1">
        <f ca="1">IFERROR(__xludf.DUMMYFUNCTION("""COMPUTED_VALUE"""),3)</f>
        <v>3</v>
      </c>
      <c r="G641" s="1"/>
      <c r="H641" s="1" t="str">
        <f ca="1">IFERROR(__xludf.DUMMYFUNCTION("""COMPUTED_VALUE"""),"08A URE - CASTANHAL")</f>
        <v>08A URE - CASTANHAL</v>
      </c>
      <c r="I641" s="1"/>
      <c r="J641" s="1" t="str">
        <f ca="1">IFERROR(__xludf.DUMMYFUNCTION("""COMPUTED_VALUE"""),"CURUCA")</f>
        <v>CURUCA</v>
      </c>
      <c r="K641" s="1">
        <f ca="1">IFERROR(__xludf.DUMMYFUNCTION("""COMPUTED_VALUE"""),15177408)</f>
        <v>15177408</v>
      </c>
      <c r="L641" s="2" t="str">
        <f ca="1">IFERROR(__xludf.DUMMYFUNCTION("""COMPUTED_VALUE"""),"001920920510001")</f>
        <v>001920920510001</v>
      </c>
      <c r="M641" s="2" t="str">
        <f ca="1">IFERROR(__xludf.DUMMYFUNCTION("""COMPUTED_VALUE"""),"1920920510001")</f>
        <v>1920920510001</v>
      </c>
      <c r="N641" s="1" t="str">
        <f ca="1">IFERROR(__xludf.DUMMYFUNCTION("""COMPUTED_VALUE"""),"ANEXO RURAL PROFA RAIMUNDA SENA DA SILVA")</f>
        <v>ANEXO RURAL PROFA RAIMUNDA SENA DA SILVA</v>
      </c>
      <c r="O641" s="1"/>
      <c r="P641" s="1"/>
      <c r="Q641" s="1" t="s">
        <v>637</v>
      </c>
    </row>
    <row r="642" spans="1:17" x14ac:dyDescent="0.25">
      <c r="A642" s="2" t="str">
        <f ca="1">IFERROR(__xludf.DUMMYFUNCTION("""COMPUTED_VALUE"""),"REG DE INTEGRA DO GUAMA")</f>
        <v>REG DE INTEGRA DO GUAMA</v>
      </c>
      <c r="B642" s="1" t="str">
        <f ca="1">IFERROR(__xludf.DUMMYFUNCTION("""COMPUTED_VALUE"""),"DRE CASTANHAL")</f>
        <v>DRE CASTANHAL</v>
      </c>
      <c r="C642" s="2" t="str">
        <f ca="1">IFERROR(__xludf.DUMMYFUNCTION("""COMPUTED_VALUE"""),"DRE - CASTANHAL")</f>
        <v>DRE - CASTANHAL</v>
      </c>
      <c r="D642" s="1"/>
      <c r="E642" s="2" t="str">
        <f ca="1">IFERROR(__xludf.DUMMYFUNCTION("""COMPUTED_VALUE"""),"DRE - CASTANHAL")</f>
        <v>DRE - CASTANHAL</v>
      </c>
      <c r="F642" s="1">
        <f ca="1">IFERROR(__xludf.DUMMYFUNCTION("""COMPUTED_VALUE"""),3)</f>
        <v>3</v>
      </c>
      <c r="G642" s="1" t="str">
        <f ca="1">IFERROR(__xludf.DUMMYFUNCTION("""COMPUTED_VALUE"""),"DRE CASTANHAL")</f>
        <v>DRE CASTANHAL</v>
      </c>
      <c r="H642" s="1" t="str">
        <f ca="1">IFERROR(__xludf.DUMMYFUNCTION("""COMPUTED_VALUE"""),"08A URE - CASTANHAL")</f>
        <v>08A URE - CASTANHAL</v>
      </c>
      <c r="I642" s="1"/>
      <c r="J642" s="1" t="str">
        <f ca="1">IFERROR(__xludf.DUMMYFUNCTION("""COMPUTED_VALUE"""),"CURUCA")</f>
        <v>CURUCA</v>
      </c>
      <c r="K642" s="1">
        <f ca="1">IFERROR(__xludf.DUMMYFUNCTION("""COMPUTED_VALUE"""),15049396)</f>
        <v>15049396</v>
      </c>
      <c r="L642" s="2" t="str">
        <f ca="1">IFERROR(__xludf.DUMMYFUNCTION("""COMPUTED_VALUE"""),"001920920280000")</f>
        <v>001920920280000</v>
      </c>
      <c r="M642" s="2" t="str">
        <f ca="1">IFERROR(__xludf.DUMMYFUNCTION("""COMPUTED_VALUE"""),"1920920280000")</f>
        <v>1920920280000</v>
      </c>
      <c r="N642" s="1" t="str">
        <f ca="1">IFERROR(__xludf.DUMMYFUNCTION("""COMPUTED_VALUE"""),"EEEF ABEL OVIDIO DE CAMPOS")</f>
        <v>EEEF ABEL OVIDIO DE CAMPOS</v>
      </c>
      <c r="O642" s="1"/>
      <c r="P642" s="1"/>
      <c r="Q642" s="1" t="s">
        <v>637</v>
      </c>
    </row>
    <row r="643" spans="1:17" x14ac:dyDescent="0.25">
      <c r="A643" s="2" t="str">
        <f ca="1">IFERROR(__xludf.DUMMYFUNCTION("""COMPUTED_VALUE"""),"REG DE INTEGRA DO GUAMA")</f>
        <v>REG DE INTEGRA DO GUAMA</v>
      </c>
      <c r="B643" s="1" t="str">
        <f ca="1">IFERROR(__xludf.DUMMYFUNCTION("""COMPUTED_VALUE"""),"DRE CASTANHAL")</f>
        <v>DRE CASTANHAL</v>
      </c>
      <c r="C643" s="2" t="str">
        <f ca="1">IFERROR(__xludf.DUMMYFUNCTION("""COMPUTED_VALUE"""),"DRE - CASTANHAL")</f>
        <v>DRE - CASTANHAL</v>
      </c>
      <c r="D643" s="1"/>
      <c r="E643" s="2" t="str">
        <f ca="1">IFERROR(__xludf.DUMMYFUNCTION("""COMPUTED_VALUE"""),"DRE - CASTANHAL")</f>
        <v>DRE - CASTANHAL</v>
      </c>
      <c r="F643" s="1">
        <f ca="1">IFERROR(__xludf.DUMMYFUNCTION("""COMPUTED_VALUE"""),3)</f>
        <v>3</v>
      </c>
      <c r="G643" s="1" t="str">
        <f ca="1">IFERROR(__xludf.DUMMYFUNCTION("""COMPUTED_VALUE"""),"DRE CASTANHAL")</f>
        <v>DRE CASTANHAL</v>
      </c>
      <c r="H643" s="1" t="str">
        <f ca="1">IFERROR(__xludf.DUMMYFUNCTION("""COMPUTED_VALUE"""),"08A URE - CASTANHAL")</f>
        <v>08A URE - CASTANHAL</v>
      </c>
      <c r="I643" s="1"/>
      <c r="J643" s="1" t="str">
        <f ca="1">IFERROR(__xludf.DUMMYFUNCTION("""COMPUTED_VALUE"""),"CURUCA")</f>
        <v>CURUCA</v>
      </c>
      <c r="K643" s="1">
        <f ca="1">IFERROR(__xludf.DUMMYFUNCTION("""COMPUTED_VALUE"""),15049060)</f>
        <v>15049060</v>
      </c>
      <c r="L643" s="2" t="str">
        <f ca="1">IFERROR(__xludf.DUMMYFUNCTION("""COMPUTED_VALUE"""),"001920920110000")</f>
        <v>001920920110000</v>
      </c>
      <c r="M643" s="2" t="str">
        <f ca="1">IFERROR(__xludf.DUMMYFUNCTION("""COMPUTED_VALUE"""),"1920920110000")</f>
        <v>1920920110000</v>
      </c>
      <c r="N643" s="1" t="str">
        <f ca="1">IFERROR(__xludf.DUMMYFUNCTION("""COMPUTED_VALUE"""),"EEEF JUPITER MAIA")</f>
        <v>EEEF JUPITER MAIA</v>
      </c>
      <c r="O643" s="1"/>
      <c r="P643" s="1"/>
      <c r="Q643" s="1" t="s">
        <v>637</v>
      </c>
    </row>
    <row r="644" spans="1:17" x14ac:dyDescent="0.25">
      <c r="A644" s="2" t="str">
        <f ca="1">IFERROR(__xludf.DUMMYFUNCTION("""COMPUTED_VALUE"""),"REG DE INTEGRA DO GUAMA")</f>
        <v>REG DE INTEGRA DO GUAMA</v>
      </c>
      <c r="B644" s="1" t="str">
        <f ca="1">IFERROR(__xludf.DUMMYFUNCTION("""COMPUTED_VALUE"""),"DRE CASTANHAL")</f>
        <v>DRE CASTANHAL</v>
      </c>
      <c r="C644" s="2" t="str">
        <f ca="1">IFERROR(__xludf.DUMMYFUNCTION("""COMPUTED_VALUE"""),"DRE - CASTANHAL")</f>
        <v>DRE - CASTANHAL</v>
      </c>
      <c r="D644" s="1"/>
      <c r="E644" s="2" t="str">
        <f ca="1">IFERROR(__xludf.DUMMYFUNCTION("""COMPUTED_VALUE"""),"DRE - CASTANHAL")</f>
        <v>DRE - CASTANHAL</v>
      </c>
      <c r="F644" s="1">
        <f ca="1">IFERROR(__xludf.DUMMYFUNCTION("""COMPUTED_VALUE"""),3)</f>
        <v>3</v>
      </c>
      <c r="G644" s="1" t="str">
        <f ca="1">IFERROR(__xludf.DUMMYFUNCTION("""COMPUTED_VALUE"""),"DRE CASTANHAL")</f>
        <v>DRE CASTANHAL</v>
      </c>
      <c r="H644" s="1" t="str">
        <f ca="1">IFERROR(__xludf.DUMMYFUNCTION("""COMPUTED_VALUE"""),"08A URE - CASTANHAL")</f>
        <v>08A URE - CASTANHAL</v>
      </c>
      <c r="I644" s="1"/>
      <c r="J644" s="1" t="str">
        <f ca="1">IFERROR(__xludf.DUMMYFUNCTION("""COMPUTED_VALUE"""),"CURUCA")</f>
        <v>CURUCA</v>
      </c>
      <c r="K644" s="1">
        <f ca="1">IFERROR(__xludf.DUMMYFUNCTION("""COMPUTED_VALUE"""),15048853)</f>
        <v>15048853</v>
      </c>
      <c r="L644" s="2" t="str">
        <f ca="1">IFERROR(__xludf.DUMMYFUNCTION("""COMPUTED_VALUE"""),"001920920440000")</f>
        <v>001920920440000</v>
      </c>
      <c r="M644" s="2" t="str">
        <f ca="1">IFERROR(__xludf.DUMMYFUNCTION("""COMPUTED_VALUE"""),"1920920440000")</f>
        <v>1920920440000</v>
      </c>
      <c r="N644" s="1" t="str">
        <f ca="1">IFERROR(__xludf.DUMMYFUNCTION("""COMPUTED_VALUE"""),"EEEF MARIA HYLUISA PINTO FERREIRA")</f>
        <v>EEEF MARIA HYLUISA PINTO FERREIRA</v>
      </c>
      <c r="O644" s="1"/>
      <c r="P644" s="1"/>
      <c r="Q644" s="1" t="s">
        <v>637</v>
      </c>
    </row>
    <row r="645" spans="1:17" x14ac:dyDescent="0.25">
      <c r="A645" s="2" t="str">
        <f ca="1">IFERROR(__xludf.DUMMYFUNCTION("""COMPUTED_VALUE"""),"REG DE INTEGRA DO GUAMA")</f>
        <v>REG DE INTEGRA DO GUAMA</v>
      </c>
      <c r="B645" s="1" t="str">
        <f ca="1">IFERROR(__xludf.DUMMYFUNCTION("""COMPUTED_VALUE"""),"DRE CASTANHAL")</f>
        <v>DRE CASTANHAL</v>
      </c>
      <c r="C645" s="2" t="str">
        <f ca="1">IFERROR(__xludf.DUMMYFUNCTION("""COMPUTED_VALUE"""),"DRE - CASTANHAL")</f>
        <v>DRE - CASTANHAL</v>
      </c>
      <c r="D645" s="1"/>
      <c r="E645" s="2" t="str">
        <f ca="1">IFERROR(__xludf.DUMMYFUNCTION("""COMPUTED_VALUE"""),"DRE - CASTANHAL")</f>
        <v>DRE - CASTANHAL</v>
      </c>
      <c r="F645" s="1">
        <f ca="1">IFERROR(__xludf.DUMMYFUNCTION("""COMPUTED_VALUE"""),3)</f>
        <v>3</v>
      </c>
      <c r="G645" s="1" t="str">
        <f ca="1">IFERROR(__xludf.DUMMYFUNCTION("""COMPUTED_VALUE"""),"DRE CASTANHAL")</f>
        <v>DRE CASTANHAL</v>
      </c>
      <c r="H645" s="1" t="str">
        <f ca="1">IFERROR(__xludf.DUMMYFUNCTION("""COMPUTED_VALUE"""),"08A URE - CASTANHAL")</f>
        <v>08A URE - CASTANHAL</v>
      </c>
      <c r="I645" s="1"/>
      <c r="J645" s="1" t="str">
        <f ca="1">IFERROR(__xludf.DUMMYFUNCTION("""COMPUTED_VALUE"""),"CURUCA")</f>
        <v>CURUCA</v>
      </c>
      <c r="K645" s="1">
        <f ca="1">IFERROR(__xludf.DUMMYFUNCTION("""COMPUTED_VALUE"""),15049043)</f>
        <v>15049043</v>
      </c>
      <c r="L645" s="2" t="str">
        <f ca="1">IFERROR(__xludf.DUMMYFUNCTION("""COMPUTED_VALUE"""),"001920920080000")</f>
        <v>001920920080000</v>
      </c>
      <c r="M645" s="2" t="str">
        <f ca="1">IFERROR(__xludf.DUMMYFUNCTION("""COMPUTED_VALUE"""),"1920920080000")</f>
        <v>1920920080000</v>
      </c>
      <c r="N645" s="1" t="str">
        <f ca="1">IFERROR(__xludf.DUMMYFUNCTION("""COMPUTED_VALUE"""),"EEEFM GONCALO FERREIRA")</f>
        <v>EEEFM GONCALO FERREIRA</v>
      </c>
      <c r="O645" s="1"/>
      <c r="P645" s="1"/>
      <c r="Q645" s="1" t="s">
        <v>637</v>
      </c>
    </row>
    <row r="646" spans="1:17" x14ac:dyDescent="0.25">
      <c r="A646" s="2" t="str">
        <f ca="1">IFERROR(__xludf.DUMMYFUNCTION("""COMPUTED_VALUE"""),"REG DE INTEGRA DO GUAMA")</f>
        <v>REG DE INTEGRA DO GUAMA</v>
      </c>
      <c r="B646" s="1" t="str">
        <f ca="1">IFERROR(__xludf.DUMMYFUNCTION("""COMPUTED_VALUE"""),"DRE CASTANHAL")</f>
        <v>DRE CASTANHAL</v>
      </c>
      <c r="C646" s="2" t="str">
        <f ca="1">IFERROR(__xludf.DUMMYFUNCTION("""COMPUTED_VALUE"""),"DRE - CASTANHAL")</f>
        <v>DRE - CASTANHAL</v>
      </c>
      <c r="D646" s="1"/>
      <c r="E646" s="2" t="str">
        <f ca="1">IFERROR(__xludf.DUMMYFUNCTION("""COMPUTED_VALUE"""),"DRE - CASTANHAL")</f>
        <v>DRE - CASTANHAL</v>
      </c>
      <c r="F646" s="1">
        <f ca="1">IFERROR(__xludf.DUMMYFUNCTION("""COMPUTED_VALUE"""),3)</f>
        <v>3</v>
      </c>
      <c r="G646" s="1" t="str">
        <f ca="1">IFERROR(__xludf.DUMMYFUNCTION("""COMPUTED_VALUE"""),"DRE CASTANHAL")</f>
        <v>DRE CASTANHAL</v>
      </c>
      <c r="H646" s="1" t="str">
        <f ca="1">IFERROR(__xludf.DUMMYFUNCTION("""COMPUTED_VALUE"""),"08A URE - CASTANHAL")</f>
        <v>08A URE - CASTANHAL</v>
      </c>
      <c r="I646" s="1"/>
      <c r="J646" s="1" t="str">
        <f ca="1">IFERROR(__xludf.DUMMYFUNCTION("""COMPUTED_VALUE"""),"CURUCA")</f>
        <v>CURUCA</v>
      </c>
      <c r="K646" s="1">
        <f ca="1">IFERROR(__xludf.DUMMYFUNCTION("""COMPUTED_VALUE"""),15048888)</f>
        <v>15048888</v>
      </c>
      <c r="L646" s="2" t="str">
        <f ca="1">IFERROR(__xludf.DUMMYFUNCTION("""COMPUTED_VALUE"""),"001920920100000")</f>
        <v>001920920100000</v>
      </c>
      <c r="M646" s="2" t="str">
        <f ca="1">IFERROR(__xludf.DUMMYFUNCTION("""COMPUTED_VALUE"""),"1920920100000")</f>
        <v>1920920100000</v>
      </c>
      <c r="N646" s="1" t="str">
        <f ca="1">IFERROR(__xludf.DUMMYFUNCTION("""COMPUTED_VALUE"""),"EEEM PROF OLINDA VERAS ALVES")</f>
        <v>EEEM PROF OLINDA VERAS ALVES</v>
      </c>
      <c r="O646" s="1"/>
      <c r="P646" s="1"/>
      <c r="Q646" s="1" t="s">
        <v>637</v>
      </c>
    </row>
    <row r="647" spans="1:17" x14ac:dyDescent="0.25">
      <c r="A647" s="2" t="str">
        <f ca="1">IFERROR(__xludf.DUMMYFUNCTION("""COMPUTED_VALUE"""),"REG DE INTEGRA DO GUAMA")</f>
        <v>REG DE INTEGRA DO GUAMA</v>
      </c>
      <c r="B647" s="1" t="str">
        <f ca="1">IFERROR(__xludf.DUMMYFUNCTION("""COMPUTED_VALUE"""),"DRE CASTANHAL")</f>
        <v>DRE CASTANHAL</v>
      </c>
      <c r="C647" s="2" t="str">
        <f ca="1">IFERROR(__xludf.DUMMYFUNCTION("""COMPUTED_VALUE"""),"DRE - CASTANHAL")</f>
        <v>DRE - CASTANHAL</v>
      </c>
      <c r="D647" s="1"/>
      <c r="E647" s="2" t="str">
        <f ca="1">IFERROR(__xludf.DUMMYFUNCTION("""COMPUTED_VALUE"""),"DRE - CASTANHAL")</f>
        <v>DRE - CASTANHAL</v>
      </c>
      <c r="F647" s="1">
        <f ca="1">IFERROR(__xludf.DUMMYFUNCTION("""COMPUTED_VALUE"""),3)</f>
        <v>3</v>
      </c>
      <c r="G647" s="1" t="str">
        <f ca="1">IFERROR(__xludf.DUMMYFUNCTION("""COMPUTED_VALUE"""),"DRE CASTANHAL")</f>
        <v>DRE CASTANHAL</v>
      </c>
      <c r="H647" s="1" t="str">
        <f ca="1">IFERROR(__xludf.DUMMYFUNCTION("""COMPUTED_VALUE"""),"08A URE - CASTANHAL")</f>
        <v>08A URE - CASTANHAL</v>
      </c>
      <c r="I647" s="1"/>
      <c r="J647" s="1" t="str">
        <f ca="1">IFERROR(__xludf.DUMMYFUNCTION("""COMPUTED_VALUE"""),"CURUCA")</f>
        <v>CURUCA</v>
      </c>
      <c r="K647" s="1">
        <f ca="1">IFERROR(__xludf.DUMMYFUNCTION("""COMPUTED_VALUE"""),15099881)</f>
        <v>15099881</v>
      </c>
      <c r="L647" s="2" t="str">
        <f ca="1">IFERROR(__xludf.DUMMYFUNCTION("""COMPUTED_VALUE"""),"001920920510000")</f>
        <v>001920920510000</v>
      </c>
      <c r="M647" s="2" t="str">
        <f ca="1">IFERROR(__xludf.DUMMYFUNCTION("""COMPUTED_VALUE"""),"1920920510000")</f>
        <v>1920920510000</v>
      </c>
      <c r="N647" s="1" t="str">
        <f ca="1">IFERROR(__xludf.DUMMYFUNCTION("""COMPUTED_VALUE"""),"EEEM PROFA RAIMUNDA SENA DA SILVA")</f>
        <v>EEEM PROFA RAIMUNDA SENA DA SILVA</v>
      </c>
      <c r="O647" s="1"/>
      <c r="P647" s="1"/>
      <c r="Q647" s="1" t="s">
        <v>637</v>
      </c>
    </row>
    <row r="648" spans="1:17" x14ac:dyDescent="0.25">
      <c r="A648" s="2" t="str">
        <f ca="1">IFERROR(__xludf.DUMMYFUNCTION("""COMPUTED_VALUE"""),"REG DE INTEGRA DO GUAMA")</f>
        <v>REG DE INTEGRA DO GUAMA</v>
      </c>
      <c r="B648" s="1" t="str">
        <f ca="1">IFERROR(__xludf.DUMMYFUNCTION("""COMPUTED_VALUE"""),"DRE CASTANHAL")</f>
        <v>DRE CASTANHAL</v>
      </c>
      <c r="C648" s="2" t="str">
        <f ca="1">IFERROR(__xludf.DUMMYFUNCTION("""COMPUTED_VALUE"""),"DRE - CASTANHAL")</f>
        <v>DRE - CASTANHAL</v>
      </c>
      <c r="D648" s="1"/>
      <c r="E648" s="2" t="str">
        <f ca="1">IFERROR(__xludf.DUMMYFUNCTION("""COMPUTED_VALUE"""),"DRE - CASTANHAL")</f>
        <v>DRE - CASTANHAL</v>
      </c>
      <c r="F648" s="1">
        <f ca="1">IFERROR(__xludf.DUMMYFUNCTION("""COMPUTED_VALUE"""),3)</f>
        <v>3</v>
      </c>
      <c r="G648" s="1" t="str">
        <f ca="1">IFERROR(__xludf.DUMMYFUNCTION("""COMPUTED_VALUE"""),"DRE CASTANHAL")</f>
        <v>DRE CASTANHAL</v>
      </c>
      <c r="H648" s="1" t="str">
        <f ca="1">IFERROR(__xludf.DUMMYFUNCTION("""COMPUTED_VALUE"""),"08A URE - CASTANHAL")</f>
        <v>08A URE - CASTANHAL</v>
      </c>
      <c r="I648" s="1"/>
      <c r="J648" s="1" t="str">
        <f ca="1">IFERROR(__xludf.DUMMYFUNCTION("""COMPUTED_VALUE"""),"CURUCA")</f>
        <v>CURUCA</v>
      </c>
      <c r="K648" s="1">
        <f ca="1">IFERROR(__xludf.DUMMYFUNCTION("""COMPUTED_VALUE"""),15168522)</f>
        <v>15168522</v>
      </c>
      <c r="L648" s="2" t="str">
        <f ca="1">IFERROR(__xludf.DUMMYFUNCTION("""COMPUTED_VALUE"""),"001920937960000")</f>
        <v>001920937960000</v>
      </c>
      <c r="M648" s="2" t="str">
        <f ca="1">IFERROR(__xludf.DUMMYFUNCTION("""COMPUTED_VALUE"""),"1920937960000")</f>
        <v>1920937960000</v>
      </c>
      <c r="N648" s="1" t="str">
        <f ca="1">IFERROR(__xludf.DUMMYFUNCTION("""COMPUTED_VALUE"""),"EEEM PROFÃƒÂ‚Ã‚Âª MARIA DE NAZARE GUIMARAES MACEDO")</f>
        <v>EEEM PROFÃƒÂ‚Ã‚Âª MARIA DE NAZARE GUIMARAES MACEDO</v>
      </c>
      <c r="O648" s="1"/>
      <c r="P648" s="1"/>
      <c r="Q648" s="1" t="s">
        <v>637</v>
      </c>
    </row>
    <row r="649" spans="1:17" x14ac:dyDescent="0.25">
      <c r="A649" s="2" t="str">
        <f ca="1">IFERROR(__xludf.DUMMYFUNCTION("""COMPUTED_VALUE"""),"REG DE INTEGRA DO GUAMA")</f>
        <v>REG DE INTEGRA DO GUAMA</v>
      </c>
      <c r="B649" s="1" t="str">
        <f ca="1">IFERROR(__xludf.DUMMYFUNCTION("""COMPUTED_VALUE"""),"DRE CASTANHAL")</f>
        <v>DRE CASTANHAL</v>
      </c>
      <c r="C649" s="2" t="str">
        <f ca="1">IFERROR(__xludf.DUMMYFUNCTION("""COMPUTED_VALUE"""),"DRE - CASTANHAL")</f>
        <v>DRE - CASTANHAL</v>
      </c>
      <c r="D649" s="1"/>
      <c r="E649" s="2" t="str">
        <f ca="1">IFERROR(__xludf.DUMMYFUNCTION("""COMPUTED_VALUE"""),"DRE - CASTANHAL")</f>
        <v>DRE - CASTANHAL</v>
      </c>
      <c r="F649" s="1">
        <f ca="1">IFERROR(__xludf.DUMMYFUNCTION("""COMPUTED_VALUE"""),3)</f>
        <v>3</v>
      </c>
      <c r="G649" s="1" t="str">
        <f ca="1">IFERROR(__xludf.DUMMYFUNCTION("""COMPUTED_VALUE"""),"DRE CASTANHAL")</f>
        <v>DRE CASTANHAL</v>
      </c>
      <c r="H649" s="1" t="str">
        <f ca="1">IFERROR(__xludf.DUMMYFUNCTION("""COMPUTED_VALUE"""),"08A URE - CASTANHAL")</f>
        <v>08A URE - CASTANHAL</v>
      </c>
      <c r="I649" s="1"/>
      <c r="J649" s="1" t="str">
        <f ca="1">IFERROR(__xludf.DUMMYFUNCTION("""COMPUTED_VALUE"""),"CURUCA")</f>
        <v>CURUCA</v>
      </c>
      <c r="K649" s="1"/>
      <c r="L649" s="2" t="str">
        <f ca="1">IFERROR(__xludf.DUMMYFUNCTION("""COMPUTED_VALUE"""),"001920937960000")</f>
        <v>001920937960000</v>
      </c>
      <c r="M649" s="2" t="str">
        <f ca="1">IFERROR(__xludf.DUMMYFUNCTION("""COMPUTED_VALUE"""),"1920937960000")</f>
        <v>1920937960000</v>
      </c>
      <c r="N649" s="1" t="str">
        <f ca="1">IFERROR(__xludf.DUMMYFUNCTION("""COMPUTED_VALUE"""),"EETEPA PROFª MARIA DE NAZARE GUIMARAES MACEDO")</f>
        <v>EETEPA PROFª MARIA DE NAZARE GUIMARAES MACEDO</v>
      </c>
      <c r="O649" s="1"/>
      <c r="P649" s="1"/>
      <c r="Q649" s="1" t="s">
        <v>637</v>
      </c>
    </row>
    <row r="650" spans="1:17" x14ac:dyDescent="0.25">
      <c r="A650" s="2" t="str">
        <f ca="1">IFERROR(__xludf.DUMMYFUNCTION("""COMPUTED_VALUE"""),"REG DE INTEGRA DO GUAMA")</f>
        <v>REG DE INTEGRA DO GUAMA</v>
      </c>
      <c r="B650" s="1" t="str">
        <f ca="1">IFERROR(__xludf.DUMMYFUNCTION("""COMPUTED_VALUE"""),"DRE CASTANHAL")</f>
        <v>DRE CASTANHAL</v>
      </c>
      <c r="C650" s="2" t="str">
        <f ca="1">IFERROR(__xludf.DUMMYFUNCTION("""COMPUTED_VALUE"""),"DRE - CASTANHAL")</f>
        <v>DRE - CASTANHAL</v>
      </c>
      <c r="D650" s="1"/>
      <c r="E650" s="2" t="str">
        <f ca="1">IFERROR(__xludf.DUMMYFUNCTION("""COMPUTED_VALUE"""),"DRE - CASTANHAL")</f>
        <v>DRE - CASTANHAL</v>
      </c>
      <c r="F650" s="1"/>
      <c r="G650" s="1"/>
      <c r="H650" s="1" t="str">
        <f ca="1">IFERROR(__xludf.DUMMYFUNCTION("""COMPUTED_VALUE"""),"08A URE - CASTANHAL")</f>
        <v>08A URE - CASTANHAL</v>
      </c>
      <c r="I650" s="1"/>
      <c r="J650" s="1" t="str">
        <f ca="1">IFERROR(__xludf.DUMMYFUNCTION("""COMPUTED_VALUE"""),"CURUCA")</f>
        <v>CURUCA</v>
      </c>
      <c r="K650" s="1"/>
      <c r="L650" s="2" t="str">
        <f ca="1">IFERROR(__xludf.DUMMYFUNCTION("""COMPUTED_VALUE"""),"001920997000000")</f>
        <v>001920997000000</v>
      </c>
      <c r="M650" s="2" t="str">
        <f ca="1">IFERROR(__xludf.DUMMYFUNCTION("""COMPUTED_VALUE"""),"1920997000000")</f>
        <v>1920997000000</v>
      </c>
      <c r="N650" s="1" t="str">
        <f ca="1">IFERROR(__xludf.DUMMYFUNCTION("""COMPUTED_VALUE"""),"ESCOLA ESTADUAL RURAL DE CURUCA")</f>
        <v>ESCOLA ESTADUAL RURAL DE CURUCA</v>
      </c>
      <c r="O650" s="1"/>
      <c r="P650" s="1"/>
      <c r="Q650" s="1" t="s">
        <v>637</v>
      </c>
    </row>
    <row r="651" spans="1:17" x14ac:dyDescent="0.25">
      <c r="A651" s="2" t="str">
        <f ca="1">IFERROR(__xludf.DUMMYFUNCTION("""COMPUTED_VALUE"""),"REG DE INTEGRA DO GUAMA")</f>
        <v>REG DE INTEGRA DO GUAMA</v>
      </c>
      <c r="B651" s="1" t="str">
        <f ca="1">IFERROR(__xludf.DUMMYFUNCTION("""COMPUTED_VALUE"""),"DRE CASTANHAL")</f>
        <v>DRE CASTANHAL</v>
      </c>
      <c r="C651" s="2" t="str">
        <f ca="1">IFERROR(__xludf.DUMMYFUNCTION("""COMPUTED_VALUE"""),"DRE - CASTANHAL")</f>
        <v>DRE - CASTANHAL</v>
      </c>
      <c r="D651" s="1"/>
      <c r="E651" s="2" t="str">
        <f ca="1">IFERROR(__xludf.DUMMYFUNCTION("""COMPUTED_VALUE"""),"DRE - CASTANHAL")</f>
        <v>DRE - CASTANHAL</v>
      </c>
      <c r="F651" s="1">
        <f ca="1">IFERROR(__xludf.DUMMYFUNCTION("""COMPUTED_VALUE"""),3)</f>
        <v>3</v>
      </c>
      <c r="G651" s="1"/>
      <c r="H651" s="1" t="str">
        <f ca="1">IFERROR(__xludf.DUMMYFUNCTION("""COMPUTED_VALUE"""),"08A URE - CASTANHAL")</f>
        <v>08A URE - CASTANHAL</v>
      </c>
      <c r="I651" s="1"/>
      <c r="J651" s="1" t="str">
        <f ca="1">IFERROR(__xludf.DUMMYFUNCTION("""COMPUTED_VALUE"""),"INHANGAPI")</f>
        <v>INHANGAPI</v>
      </c>
      <c r="K651" s="1">
        <f ca="1">IFERROR(__xludf.DUMMYFUNCTION("""COMPUTED_VALUE"""),15177386)</f>
        <v>15177386</v>
      </c>
      <c r="L651" s="2" t="str">
        <f ca="1">IFERROR(__xludf.DUMMYFUNCTION("""COMPUTED_VALUE"""),"001920919630004")</f>
        <v>001920919630004</v>
      </c>
      <c r="M651" s="2" t="str">
        <f ca="1">IFERROR(__xludf.DUMMYFUNCTION("""COMPUTED_VALUE"""),"1920919630004")</f>
        <v>1920919630004</v>
      </c>
      <c r="N651" s="1" t="str">
        <f ca="1">IFERROR(__xludf.DUMMYFUNCTION("""COMPUTED_VALUE"""),"ANEXO RURAL VILA DE PERNAMBUCO")</f>
        <v>ANEXO RURAL VILA DE PERNAMBUCO</v>
      </c>
      <c r="O651" s="1"/>
      <c r="P651" s="1"/>
      <c r="Q651" s="1" t="s">
        <v>637</v>
      </c>
    </row>
    <row r="652" spans="1:17" x14ac:dyDescent="0.25">
      <c r="A652" s="2" t="str">
        <f ca="1">IFERROR(__xludf.DUMMYFUNCTION("""COMPUTED_VALUE"""),"REG DE INTEGRA DO GUAMA")</f>
        <v>REG DE INTEGRA DO GUAMA</v>
      </c>
      <c r="B652" s="1" t="str">
        <f ca="1">IFERROR(__xludf.DUMMYFUNCTION("""COMPUTED_VALUE"""),"DRE CASTANHAL")</f>
        <v>DRE CASTANHAL</v>
      </c>
      <c r="C652" s="2" t="str">
        <f ca="1">IFERROR(__xludf.DUMMYFUNCTION("""COMPUTED_VALUE"""),"DRE - CASTANHAL")</f>
        <v>DRE - CASTANHAL</v>
      </c>
      <c r="D652" s="1"/>
      <c r="E652" s="2" t="str">
        <f ca="1">IFERROR(__xludf.DUMMYFUNCTION("""COMPUTED_VALUE"""),"DRE - CASTANHAL")</f>
        <v>DRE - CASTANHAL</v>
      </c>
      <c r="F652" s="1">
        <f ca="1">IFERROR(__xludf.DUMMYFUNCTION("""COMPUTED_VALUE"""),3)</f>
        <v>3</v>
      </c>
      <c r="G652" s="1" t="str">
        <f ca="1">IFERROR(__xludf.DUMMYFUNCTION("""COMPUTED_VALUE"""),"DRE CASTANHAL")</f>
        <v>DRE CASTANHAL</v>
      </c>
      <c r="H652" s="1" t="str">
        <f ca="1">IFERROR(__xludf.DUMMYFUNCTION("""COMPUTED_VALUE"""),"08A URE - CASTANHAL")</f>
        <v>08A URE - CASTANHAL</v>
      </c>
      <c r="I652" s="1"/>
      <c r="J652" s="1" t="str">
        <f ca="1">IFERROR(__xludf.DUMMYFUNCTION("""COMPUTED_VALUE"""),"INHANGAPI")</f>
        <v>INHANGAPI</v>
      </c>
      <c r="K652" s="1">
        <f ca="1">IFERROR(__xludf.DUMMYFUNCTION("""COMPUTED_VALUE"""),15169499)</f>
        <v>15169499</v>
      </c>
      <c r="L652" s="2" t="str">
        <f ca="1">IFERROR(__xludf.DUMMYFUNCTION("""COMPUTED_VALUE"""),"001920919630001")</f>
        <v>001920919630001</v>
      </c>
      <c r="M652" s="2" t="str">
        <f ca="1">IFERROR(__xludf.DUMMYFUNCTION("""COMPUTED_VALUE"""),"1920919630001")</f>
        <v>1920919630001</v>
      </c>
      <c r="N652" s="1" t="str">
        <f ca="1">IFERROR(__xludf.DUMMYFUNCTION("""COMPUTED_VALUE"""),"EE VILA DE PERNAMBUCO -ANEXO")</f>
        <v>EE VILA DE PERNAMBUCO -ANEXO</v>
      </c>
      <c r="O652" s="1"/>
      <c r="P652" s="1"/>
      <c r="Q652" s="1" t="s">
        <v>637</v>
      </c>
    </row>
    <row r="653" spans="1:17" x14ac:dyDescent="0.25">
      <c r="A653" s="2" t="str">
        <f ca="1">IFERROR(__xludf.DUMMYFUNCTION("""COMPUTED_VALUE"""),"REG DE INTEGRA DO GUAMA")</f>
        <v>REG DE INTEGRA DO GUAMA</v>
      </c>
      <c r="B653" s="1" t="str">
        <f ca="1">IFERROR(__xludf.DUMMYFUNCTION("""COMPUTED_VALUE"""),"DRE CASTANHAL")</f>
        <v>DRE CASTANHAL</v>
      </c>
      <c r="C653" s="2" t="str">
        <f ca="1">IFERROR(__xludf.DUMMYFUNCTION("""COMPUTED_VALUE"""),"DRE - CASTANHAL")</f>
        <v>DRE - CASTANHAL</v>
      </c>
      <c r="D653" s="1"/>
      <c r="E653" s="2" t="str">
        <f ca="1">IFERROR(__xludf.DUMMYFUNCTION("""COMPUTED_VALUE"""),"DRE - CASTANHAL")</f>
        <v>DRE - CASTANHAL</v>
      </c>
      <c r="F653" s="1">
        <f ca="1">IFERROR(__xludf.DUMMYFUNCTION("""COMPUTED_VALUE"""),3)</f>
        <v>3</v>
      </c>
      <c r="G653" s="1" t="str">
        <f ca="1">IFERROR(__xludf.DUMMYFUNCTION("""COMPUTED_VALUE"""),"DRE CASTANHAL")</f>
        <v>DRE CASTANHAL</v>
      </c>
      <c r="H653" s="1" t="str">
        <f ca="1">IFERROR(__xludf.DUMMYFUNCTION("""COMPUTED_VALUE"""),"08A URE - CASTANHAL")</f>
        <v>08A URE - CASTANHAL</v>
      </c>
      <c r="I653" s="1"/>
      <c r="J653" s="1" t="str">
        <f ca="1">IFERROR(__xludf.DUMMYFUNCTION("""COMPUTED_VALUE"""),"INHANGAPI")</f>
        <v>INHANGAPI</v>
      </c>
      <c r="K653" s="1">
        <f ca="1">IFERROR(__xludf.DUMMYFUNCTION("""COMPUTED_VALUE"""),15046710)</f>
        <v>15046710</v>
      </c>
      <c r="L653" s="2" t="str">
        <f ca="1">IFERROR(__xludf.DUMMYFUNCTION("""COMPUTED_VALUE"""),"001920919630000")</f>
        <v>001920919630000</v>
      </c>
      <c r="M653" s="2" t="str">
        <f ca="1">IFERROR(__xludf.DUMMYFUNCTION("""COMPUTED_VALUE"""),"1920919630000")</f>
        <v>1920919630000</v>
      </c>
      <c r="N653" s="1" t="str">
        <f ca="1">IFERROR(__xludf.DUMMYFUNCTION("""COMPUTED_VALUE"""),"EEEFM PROF ANTONIO MARCAL")</f>
        <v>EEEFM PROF ANTONIO MARCAL</v>
      </c>
      <c r="O653" s="1"/>
      <c r="P653" s="1"/>
      <c r="Q653" s="1" t="s">
        <v>637</v>
      </c>
    </row>
    <row r="654" spans="1:17" x14ac:dyDescent="0.25">
      <c r="A654" s="2" t="str">
        <f ca="1">IFERROR(__xludf.DUMMYFUNCTION("""COMPUTED_VALUE"""),"REG DE INTEGRA DO GUAMA")</f>
        <v>REG DE INTEGRA DO GUAMA</v>
      </c>
      <c r="B654" s="1" t="str">
        <f ca="1">IFERROR(__xludf.DUMMYFUNCTION("""COMPUTED_VALUE"""),"DRE CASTANHAL")</f>
        <v>DRE CASTANHAL</v>
      </c>
      <c r="C654" s="2" t="str">
        <f ca="1">IFERROR(__xludf.DUMMYFUNCTION("""COMPUTED_VALUE"""),"DRE - CASTANHAL")</f>
        <v>DRE - CASTANHAL</v>
      </c>
      <c r="D654" s="1"/>
      <c r="E654" s="2" t="str">
        <f ca="1">IFERROR(__xludf.DUMMYFUNCTION("""COMPUTED_VALUE"""),"DRE - CASTANHAL")</f>
        <v>DRE - CASTANHAL</v>
      </c>
      <c r="F654" s="1">
        <f ca="1">IFERROR(__xludf.DUMMYFUNCTION("""COMPUTED_VALUE"""),3)</f>
        <v>3</v>
      </c>
      <c r="G654" s="1" t="str">
        <f ca="1">IFERROR(__xludf.DUMMYFUNCTION("""COMPUTED_VALUE"""),"DRE CASTANHAL")</f>
        <v>DRE CASTANHAL</v>
      </c>
      <c r="H654" s="1" t="str">
        <f ca="1">IFERROR(__xludf.DUMMYFUNCTION("""COMPUTED_VALUE"""),"08A URE - CASTANHAL")</f>
        <v>08A URE - CASTANHAL</v>
      </c>
      <c r="I654" s="1"/>
      <c r="J654" s="1" t="str">
        <f ca="1">IFERROR(__xludf.DUMMYFUNCTION("""COMPUTED_VALUE"""),"INHANGAPI")</f>
        <v>INHANGAPI</v>
      </c>
      <c r="K654" s="1">
        <f ca="1">IFERROR(__xludf.DUMMYFUNCTION("""COMPUTED_VALUE"""),15584640)</f>
        <v>15584640</v>
      </c>
      <c r="L654" s="2" t="str">
        <f ca="1">IFERROR(__xludf.DUMMYFUNCTION("""COMPUTED_VALUE"""),"001920936900000")</f>
        <v>001920936900000</v>
      </c>
      <c r="M654" s="2" t="str">
        <f ca="1">IFERROR(__xludf.DUMMYFUNCTION("""COMPUTED_VALUE"""),"1920936900000")</f>
        <v>1920936900000</v>
      </c>
      <c r="N654" s="1" t="str">
        <f ca="1">IFERROR(__xludf.DUMMYFUNCTION("""COMPUTED_VALUE"""),"EEEM AGOSTINHO MORAES DE OLIVEIRA SEDE")</f>
        <v>EEEM AGOSTINHO MORAES DE OLIVEIRA SEDE</v>
      </c>
      <c r="O654" s="1"/>
      <c r="P654" s="1"/>
      <c r="Q654" s="1" t="s">
        <v>637</v>
      </c>
    </row>
    <row r="655" spans="1:17" x14ac:dyDescent="0.25">
      <c r="A655" s="2" t="str">
        <f ca="1">IFERROR(__xludf.DUMMYFUNCTION("""COMPUTED_VALUE"""),"REG DE INTEGRA DO GUAMA")</f>
        <v>REG DE INTEGRA DO GUAMA</v>
      </c>
      <c r="B655" s="1" t="str">
        <f ca="1">IFERROR(__xludf.DUMMYFUNCTION("""COMPUTED_VALUE"""),"DRE CASTANHAL")</f>
        <v>DRE CASTANHAL</v>
      </c>
      <c r="C655" s="2" t="str">
        <f ca="1">IFERROR(__xludf.DUMMYFUNCTION("""COMPUTED_VALUE"""),"DRE - CASTANHAL")</f>
        <v>DRE - CASTANHAL</v>
      </c>
      <c r="D655" s="1"/>
      <c r="E655" s="2" t="str">
        <f ca="1">IFERROR(__xludf.DUMMYFUNCTION("""COMPUTED_VALUE"""),"DRE - CASTANHAL")</f>
        <v>DRE - CASTANHAL</v>
      </c>
      <c r="F655" s="1"/>
      <c r="G655" s="1"/>
      <c r="H655" s="1" t="str">
        <f ca="1">IFERROR(__xludf.DUMMYFUNCTION("""COMPUTED_VALUE"""),"08A URE - CASTANHAL")</f>
        <v>08A URE - CASTANHAL</v>
      </c>
      <c r="I655" s="1"/>
      <c r="J655" s="1" t="str">
        <f ca="1">IFERROR(__xludf.DUMMYFUNCTION("""COMPUTED_VALUE"""),"INHANGAPI")</f>
        <v>INHANGAPI</v>
      </c>
      <c r="K655" s="1"/>
      <c r="L655" s="2" t="str">
        <f ca="1">IFERROR(__xludf.DUMMYFUNCTION("""COMPUTED_VALUE"""),"001920998000000")</f>
        <v>001920998000000</v>
      </c>
      <c r="M655" s="2" t="str">
        <f ca="1">IFERROR(__xludf.DUMMYFUNCTION("""COMPUTED_VALUE"""),"1920998000000")</f>
        <v>1920998000000</v>
      </c>
      <c r="N655" s="1" t="str">
        <f ca="1">IFERROR(__xludf.DUMMYFUNCTION("""COMPUTED_VALUE"""),"ESCOLA ESTADUAL RURAL DE INHANGAPI")</f>
        <v>ESCOLA ESTADUAL RURAL DE INHANGAPI</v>
      </c>
      <c r="O655" s="1"/>
      <c r="P655" s="1"/>
      <c r="Q655" s="1" t="s">
        <v>637</v>
      </c>
    </row>
    <row r="656" spans="1:17" x14ac:dyDescent="0.25">
      <c r="A656" s="2" t="str">
        <f ca="1">IFERROR(__xludf.DUMMYFUNCTION("""COMPUTED_VALUE"""),"REG DE INTEGRA DO GUAMA")</f>
        <v>REG DE INTEGRA DO GUAMA</v>
      </c>
      <c r="B656" s="1" t="str">
        <f ca="1">IFERROR(__xludf.DUMMYFUNCTION("""COMPUTED_VALUE"""),"DRE CASTANHAL")</f>
        <v>DRE CASTANHAL</v>
      </c>
      <c r="C656" s="2" t="str">
        <f ca="1">IFERROR(__xludf.DUMMYFUNCTION("""COMPUTED_VALUE"""),"DRE - CASTANHAL")</f>
        <v>DRE - CASTANHAL</v>
      </c>
      <c r="D656" s="1"/>
      <c r="E656" s="2" t="str">
        <f ca="1">IFERROR(__xludf.DUMMYFUNCTION("""COMPUTED_VALUE"""),"DRE - CASTANHAL")</f>
        <v>DRE - CASTANHAL</v>
      </c>
      <c r="F656" s="1">
        <f ca="1">IFERROR(__xludf.DUMMYFUNCTION("""COMPUTED_VALUE"""),3)</f>
        <v>3</v>
      </c>
      <c r="G656" s="1"/>
      <c r="H656" s="1" t="str">
        <f ca="1">IFERROR(__xludf.DUMMYFUNCTION("""COMPUTED_VALUE"""),"08A URE - CASTANHAL")</f>
        <v>08A URE - CASTANHAL</v>
      </c>
      <c r="I656" s="1"/>
      <c r="J656" s="1" t="str">
        <f ca="1">IFERROR(__xludf.DUMMYFUNCTION("""COMPUTED_VALUE"""),"MARAPANIM")</f>
        <v>MARAPANIM</v>
      </c>
      <c r="K656" s="1">
        <f ca="1">IFERROR(__xludf.DUMMYFUNCTION("""COMPUTED_VALUE"""),15178307)</f>
        <v>15178307</v>
      </c>
      <c r="L656" s="2" t="str">
        <f ca="1">IFERROR(__xludf.DUMMYFUNCTION("""COMPUTED_VALUE"""),"001920936910001")</f>
        <v>001920936910001</v>
      </c>
      <c r="M656" s="2" t="str">
        <f ca="1">IFERROR(__xludf.DUMMYFUNCTION("""COMPUTED_VALUE"""),"1920936910001")</f>
        <v>1920936910001</v>
      </c>
      <c r="N656" s="1" t="str">
        <f ca="1">IFERROR(__xludf.DUMMYFUNCTION("""COMPUTED_VALUE"""),"ANEXO RURAL NELSON REBELO")</f>
        <v>ANEXO RURAL NELSON REBELO</v>
      </c>
      <c r="O656" s="1"/>
      <c r="P656" s="1"/>
      <c r="Q656" s="1" t="s">
        <v>637</v>
      </c>
    </row>
    <row r="657" spans="1:17" x14ac:dyDescent="0.25">
      <c r="A657" s="2" t="str">
        <f ca="1">IFERROR(__xludf.DUMMYFUNCTION("""COMPUTED_VALUE"""),"REG DE INTEGRA DO GUAMA")</f>
        <v>REG DE INTEGRA DO GUAMA</v>
      </c>
      <c r="B657" s="1" t="str">
        <f ca="1">IFERROR(__xludf.DUMMYFUNCTION("""COMPUTED_VALUE"""),"DRE CASTANHAL")</f>
        <v>DRE CASTANHAL</v>
      </c>
      <c r="C657" s="2" t="str">
        <f ca="1">IFERROR(__xludf.DUMMYFUNCTION("""COMPUTED_VALUE"""),"DRE - CASTANHAL")</f>
        <v>DRE - CASTANHAL</v>
      </c>
      <c r="D657" s="1"/>
      <c r="E657" s="2" t="str">
        <f ca="1">IFERROR(__xludf.DUMMYFUNCTION("""COMPUTED_VALUE"""),"DRE - CASTANHAL")</f>
        <v>DRE - CASTANHAL</v>
      </c>
      <c r="F657" s="1">
        <f ca="1">IFERROR(__xludf.DUMMYFUNCTION("""COMPUTED_VALUE"""),3)</f>
        <v>3</v>
      </c>
      <c r="G657" s="1" t="str">
        <f ca="1">IFERROR(__xludf.DUMMYFUNCTION("""COMPUTED_VALUE"""),"DRE CASTANHAL")</f>
        <v>DRE CASTANHAL</v>
      </c>
      <c r="H657" s="1" t="str">
        <f ca="1">IFERROR(__xludf.DUMMYFUNCTION("""COMPUTED_VALUE"""),"08A URE - CASTANHAL")</f>
        <v>08A URE - CASTANHAL</v>
      </c>
      <c r="I657" s="1"/>
      <c r="J657" s="1" t="str">
        <f ca="1">IFERROR(__xludf.DUMMYFUNCTION("""COMPUTED_VALUE"""),"MARAPANIM")</f>
        <v>MARAPANIM</v>
      </c>
      <c r="K657" s="1">
        <f ca="1">IFERROR(__xludf.DUMMYFUNCTION("""COMPUTED_VALUE"""),15585891)</f>
        <v>15585891</v>
      </c>
      <c r="L657" s="2" t="str">
        <f ca="1">IFERROR(__xludf.DUMMYFUNCTION("""COMPUTED_VALUE"""),"001920936910000")</f>
        <v>001920936910000</v>
      </c>
      <c r="M657" s="2" t="str">
        <f ca="1">IFERROR(__xludf.DUMMYFUNCTION("""COMPUTED_VALUE"""),"1920936910000")</f>
        <v>1920936910000</v>
      </c>
      <c r="N657" s="1" t="str">
        <f ca="1">IFERROR(__xludf.DUMMYFUNCTION("""COMPUTED_VALUE"""),"EEEM NELSON REBELO")</f>
        <v>EEEM NELSON REBELO</v>
      </c>
      <c r="O657" s="1"/>
      <c r="P657" s="1"/>
      <c r="Q657" s="1" t="s">
        <v>637</v>
      </c>
    </row>
    <row r="658" spans="1:17" x14ac:dyDescent="0.25">
      <c r="A658" s="2" t="str">
        <f ca="1">IFERROR(__xludf.DUMMYFUNCTION("""COMPUTED_VALUE"""),"REG DE INTEGRA DO GUAMA")</f>
        <v>REG DE INTEGRA DO GUAMA</v>
      </c>
      <c r="B658" s="1" t="str">
        <f ca="1">IFERROR(__xludf.DUMMYFUNCTION("""COMPUTED_VALUE"""),"DRE CASTANHAL")</f>
        <v>DRE CASTANHAL</v>
      </c>
      <c r="C658" s="2" t="str">
        <f ca="1">IFERROR(__xludf.DUMMYFUNCTION("""COMPUTED_VALUE"""),"DRE - CASTANHAL")</f>
        <v>DRE - CASTANHAL</v>
      </c>
      <c r="D658" s="1"/>
      <c r="E658" s="2" t="str">
        <f ca="1">IFERROR(__xludf.DUMMYFUNCTION("""COMPUTED_VALUE"""),"DRE - CASTANHAL")</f>
        <v>DRE - CASTANHAL</v>
      </c>
      <c r="F658" s="1">
        <f ca="1">IFERROR(__xludf.DUMMYFUNCTION("""COMPUTED_VALUE"""),3)</f>
        <v>3</v>
      </c>
      <c r="G658" s="1" t="str">
        <f ca="1">IFERROR(__xludf.DUMMYFUNCTION("""COMPUTED_VALUE"""),"DRE CASTANHAL")</f>
        <v>DRE CASTANHAL</v>
      </c>
      <c r="H658" s="1" t="str">
        <f ca="1">IFERROR(__xludf.DUMMYFUNCTION("""COMPUTED_VALUE"""),"08A URE - CASTANHAL")</f>
        <v>08A URE - CASTANHAL</v>
      </c>
      <c r="I658" s="1"/>
      <c r="J658" s="1" t="str">
        <f ca="1">IFERROR(__xludf.DUMMYFUNCTION("""COMPUTED_VALUE"""),"MARAPANIM")</f>
        <v>MARAPANIM</v>
      </c>
      <c r="K658" s="1">
        <f ca="1">IFERROR(__xludf.DUMMYFUNCTION("""COMPUTED_VALUE"""),15051552)</f>
        <v>15051552</v>
      </c>
      <c r="L658" s="2" t="str">
        <f ca="1">IFERROR(__xludf.DUMMYFUNCTION("""COMPUTED_VALUE"""),"001920920550000")</f>
        <v>001920920550000</v>
      </c>
      <c r="M658" s="2" t="str">
        <f ca="1">IFERROR(__xludf.DUMMYFUNCTION("""COMPUTED_VALUE"""),"1920920550000")</f>
        <v>1920920550000</v>
      </c>
      <c r="N658" s="1" t="str">
        <f ca="1">IFERROR(__xludf.DUMMYFUNCTION("""COMPUTED_VALUE"""),"EEEM REMIGIO FERNANDES SEDE")</f>
        <v>EEEM REMIGIO FERNANDES SEDE</v>
      </c>
      <c r="O658" s="1"/>
      <c r="P658" s="1"/>
      <c r="Q658" s="1" t="s">
        <v>637</v>
      </c>
    </row>
    <row r="659" spans="1:17" x14ac:dyDescent="0.25">
      <c r="A659" s="2" t="str">
        <f ca="1">IFERROR(__xludf.DUMMYFUNCTION("""COMPUTED_VALUE"""),"REG DE INTEGRA DO GUAMA")</f>
        <v>REG DE INTEGRA DO GUAMA</v>
      </c>
      <c r="B659" s="1" t="str">
        <f ca="1">IFERROR(__xludf.DUMMYFUNCTION("""COMPUTED_VALUE"""),"DRE CASTANHAL")</f>
        <v>DRE CASTANHAL</v>
      </c>
      <c r="C659" s="2" t="str">
        <f ca="1">IFERROR(__xludf.DUMMYFUNCTION("""COMPUTED_VALUE"""),"DRE - CASTANHAL")</f>
        <v>DRE - CASTANHAL</v>
      </c>
      <c r="D659" s="1"/>
      <c r="E659" s="2" t="str">
        <f ca="1">IFERROR(__xludf.DUMMYFUNCTION("""COMPUTED_VALUE"""),"DRE - CASTANHAL")</f>
        <v>DRE - CASTANHAL</v>
      </c>
      <c r="F659" s="1">
        <f ca="1">IFERROR(__xludf.DUMMYFUNCTION("""COMPUTED_VALUE"""),3)</f>
        <v>3</v>
      </c>
      <c r="G659" s="1" t="str">
        <f ca="1">IFERROR(__xludf.DUMMYFUNCTION("""COMPUTED_VALUE"""),"DRE CASTANHAL")</f>
        <v>DRE CASTANHAL</v>
      </c>
      <c r="H659" s="1" t="str">
        <f ca="1">IFERROR(__xludf.DUMMYFUNCTION("""COMPUTED_VALUE"""),"08A URE - CASTANHAL")</f>
        <v>08A URE - CASTANHAL</v>
      </c>
      <c r="I659" s="1"/>
      <c r="J659" s="1" t="str">
        <f ca="1">IFERROR(__xludf.DUMMYFUNCTION("""COMPUTED_VALUE"""),"MARAPANIM")</f>
        <v>MARAPANIM</v>
      </c>
      <c r="K659" s="1">
        <f ca="1">IFERROR(__xludf.DUMMYFUNCTION("""COMPUTED_VALUE"""),15169480)</f>
        <v>15169480</v>
      </c>
      <c r="L659" s="2" t="str">
        <f ca="1">IFERROR(__xludf.DUMMYFUNCTION("""COMPUTED_VALUE"""),"001920920550001")</f>
        <v>001920920550001</v>
      </c>
      <c r="M659" s="2" t="str">
        <f ca="1">IFERROR(__xludf.DUMMYFUNCTION("""COMPUTED_VALUE"""),"1920920550001")</f>
        <v>1920920550001</v>
      </c>
      <c r="N659" s="1" t="str">
        <f ca="1">IFERROR(__xludf.DUMMYFUNCTION("""COMPUTED_VALUE"""),"EEEM REMIGIO FERNANDEZ ANEXO I")</f>
        <v>EEEM REMIGIO FERNANDEZ ANEXO I</v>
      </c>
      <c r="O659" s="1"/>
      <c r="P659" s="1"/>
      <c r="Q659" s="1" t="s">
        <v>637</v>
      </c>
    </row>
    <row r="660" spans="1:17" x14ac:dyDescent="0.25">
      <c r="A660" s="2" t="str">
        <f ca="1">IFERROR(__xludf.DUMMYFUNCTION("""COMPUTED_VALUE"""),"REG DE INTEGRA DO GUAMA")</f>
        <v>REG DE INTEGRA DO GUAMA</v>
      </c>
      <c r="B660" s="1" t="str">
        <f ca="1">IFERROR(__xludf.DUMMYFUNCTION("""COMPUTED_VALUE"""),"DRE CASTANHAL")</f>
        <v>DRE CASTANHAL</v>
      </c>
      <c r="C660" s="2" t="str">
        <f ca="1">IFERROR(__xludf.DUMMYFUNCTION("""COMPUTED_VALUE"""),"DRE - CASTANHAL")</f>
        <v>DRE - CASTANHAL</v>
      </c>
      <c r="D660" s="1"/>
      <c r="E660" s="2" t="str">
        <f ca="1">IFERROR(__xludf.DUMMYFUNCTION("""COMPUTED_VALUE"""),"DRE - CASTANHAL")</f>
        <v>DRE - CASTANHAL</v>
      </c>
      <c r="F660" s="1"/>
      <c r="G660" s="1"/>
      <c r="H660" s="1" t="str">
        <f ca="1">IFERROR(__xludf.DUMMYFUNCTION("""COMPUTED_VALUE"""),"08A URE - CASTANHAL")</f>
        <v>08A URE - CASTANHAL</v>
      </c>
      <c r="I660" s="1"/>
      <c r="J660" s="1" t="str">
        <f ca="1">IFERROR(__xludf.DUMMYFUNCTION("""COMPUTED_VALUE"""),"MARAPANIM")</f>
        <v>MARAPANIM</v>
      </c>
      <c r="K660" s="1"/>
      <c r="L660" s="2" t="str">
        <f ca="1">IFERROR(__xludf.DUMMYFUNCTION("""COMPUTED_VALUE"""),"001920999000000")</f>
        <v>001920999000000</v>
      </c>
      <c r="M660" s="2" t="str">
        <f ca="1">IFERROR(__xludf.DUMMYFUNCTION("""COMPUTED_VALUE"""),"1920999000000")</f>
        <v>1920999000000</v>
      </c>
      <c r="N660" s="1" t="str">
        <f ca="1">IFERROR(__xludf.DUMMYFUNCTION("""COMPUTED_VALUE"""),"ESCOLA ESTADUAL RURAL DE MARAPANIM")</f>
        <v>ESCOLA ESTADUAL RURAL DE MARAPANIM</v>
      </c>
      <c r="O660" s="1"/>
      <c r="P660" s="1"/>
      <c r="Q660" s="1" t="s">
        <v>637</v>
      </c>
    </row>
    <row r="661" spans="1:17" x14ac:dyDescent="0.25">
      <c r="A661" s="2" t="str">
        <f ca="1">IFERROR(__xludf.DUMMYFUNCTION("""COMPUTED_VALUE"""),"REG DE INTEGRA DO GUAMA")</f>
        <v>REG DE INTEGRA DO GUAMA</v>
      </c>
      <c r="B661" s="1" t="str">
        <f ca="1">IFERROR(__xludf.DUMMYFUNCTION("""COMPUTED_VALUE"""),"DRE CASTANHAL")</f>
        <v>DRE CASTANHAL</v>
      </c>
      <c r="C661" s="2" t="str">
        <f ca="1">IFERROR(__xludf.DUMMYFUNCTION("""COMPUTED_VALUE"""),"DRE - CASTANHAL")</f>
        <v>DRE - CASTANHAL</v>
      </c>
      <c r="D661" s="1"/>
      <c r="E661" s="2" t="str">
        <f ca="1">IFERROR(__xludf.DUMMYFUNCTION("""COMPUTED_VALUE"""),"DRE - CASTANHAL")</f>
        <v>DRE - CASTANHAL</v>
      </c>
      <c r="F661" s="1">
        <f ca="1">IFERROR(__xludf.DUMMYFUNCTION("""COMPUTED_VALUE"""),3)</f>
        <v>3</v>
      </c>
      <c r="G661" s="1" t="str">
        <f ca="1">IFERROR(__xludf.DUMMYFUNCTION("""COMPUTED_VALUE"""),"DRE CASTANHAL")</f>
        <v>DRE CASTANHAL</v>
      </c>
      <c r="H661" s="1" t="str">
        <f ca="1">IFERROR(__xludf.DUMMYFUNCTION("""COMPUTED_VALUE"""),"08A URE - CASTANHAL")</f>
        <v>08A URE - CASTANHAL</v>
      </c>
      <c r="I661" s="1"/>
      <c r="J661" s="1" t="str">
        <f ca="1">IFERROR(__xludf.DUMMYFUNCTION("""COMPUTED_VALUE"""),"SANTA MARIA DO PARA")</f>
        <v>SANTA MARIA DO PARA</v>
      </c>
      <c r="K661" s="1">
        <f ca="1">IFERROR(__xludf.DUMMYFUNCTION("""COMPUTED_VALUE"""),15062848)</f>
        <v>15062848</v>
      </c>
      <c r="L661" s="2" t="str">
        <f ca="1">IFERROR(__xludf.DUMMYFUNCTION("""COMPUTED_VALUE"""),"001920919530000")</f>
        <v>001920919530000</v>
      </c>
      <c r="M661" s="2" t="str">
        <f ca="1">IFERROR(__xludf.DUMMYFUNCTION("""COMPUTED_VALUE"""),"1920919530000")</f>
        <v>1920919530000</v>
      </c>
      <c r="N661" s="1" t="str">
        <f ca="1">IFERROR(__xludf.DUMMYFUNCTION("""COMPUTED_VALUE"""),"EEEF DR ARMANDO CORREA")</f>
        <v>EEEF DR ARMANDO CORREA</v>
      </c>
      <c r="O661" s="1"/>
      <c r="P661" s="1"/>
      <c r="Q661" s="1" t="s">
        <v>637</v>
      </c>
    </row>
    <row r="662" spans="1:17" x14ac:dyDescent="0.25">
      <c r="A662" s="2" t="str">
        <f ca="1">IFERROR(__xludf.DUMMYFUNCTION("""COMPUTED_VALUE"""),"REG DE INTEGRA DO GUAMA")</f>
        <v>REG DE INTEGRA DO GUAMA</v>
      </c>
      <c r="B662" s="1" t="str">
        <f ca="1">IFERROR(__xludf.DUMMYFUNCTION("""COMPUTED_VALUE"""),"DRE CASTANHAL")</f>
        <v>DRE CASTANHAL</v>
      </c>
      <c r="C662" s="2" t="str">
        <f ca="1">IFERROR(__xludf.DUMMYFUNCTION("""COMPUTED_VALUE"""),"DRE - CASTANHAL")</f>
        <v>DRE - CASTANHAL</v>
      </c>
      <c r="D662" s="1"/>
      <c r="E662" s="2" t="str">
        <f ca="1">IFERROR(__xludf.DUMMYFUNCTION("""COMPUTED_VALUE"""),"DRE - CASTANHAL")</f>
        <v>DRE - CASTANHAL</v>
      </c>
      <c r="F662" s="1">
        <f ca="1">IFERROR(__xludf.DUMMYFUNCTION("""COMPUTED_VALUE"""),3)</f>
        <v>3</v>
      </c>
      <c r="G662" s="1" t="str">
        <f ca="1">IFERROR(__xludf.DUMMYFUNCTION("""COMPUTED_VALUE"""),"DRE CASTANHAL")</f>
        <v>DRE CASTANHAL</v>
      </c>
      <c r="H662" s="1" t="str">
        <f ca="1">IFERROR(__xludf.DUMMYFUNCTION("""COMPUTED_VALUE"""),"08A URE - CASTANHAL")</f>
        <v>08A URE - CASTANHAL</v>
      </c>
      <c r="I662" s="1"/>
      <c r="J662" s="1" t="str">
        <f ca="1">IFERROR(__xludf.DUMMYFUNCTION("""COMPUTED_VALUE"""),"SANTA MARIA DO PARA")</f>
        <v>SANTA MARIA DO PARA</v>
      </c>
      <c r="K662" s="1">
        <f ca="1">IFERROR(__xludf.DUMMYFUNCTION("""COMPUTED_VALUE"""),15062805)</f>
        <v>15062805</v>
      </c>
      <c r="L662" s="2" t="str">
        <f ca="1">IFERROR(__xludf.DUMMYFUNCTION("""COMPUTED_VALUE"""),"001920927960000")</f>
        <v>001920927960000</v>
      </c>
      <c r="M662" s="2" t="str">
        <f ca="1">IFERROR(__xludf.DUMMYFUNCTION("""COMPUTED_VALUE"""),"1920927960000")</f>
        <v>1920927960000</v>
      </c>
      <c r="N662" s="1" t="str">
        <f ca="1">IFERROR(__xludf.DUMMYFUNCTION("""COMPUTED_VALUE"""),"EEEF JOAO BOTELHO DE SOUZA")</f>
        <v>EEEF JOAO BOTELHO DE SOUZA</v>
      </c>
      <c r="O662" s="1"/>
      <c r="P662" s="1"/>
      <c r="Q662" s="1" t="s">
        <v>637</v>
      </c>
    </row>
    <row r="663" spans="1:17" x14ac:dyDescent="0.25">
      <c r="A663" s="2" t="str">
        <f ca="1">IFERROR(__xludf.DUMMYFUNCTION("""COMPUTED_VALUE"""),"REG DE INTEGRA DO GUAMA")</f>
        <v>REG DE INTEGRA DO GUAMA</v>
      </c>
      <c r="B663" s="1" t="str">
        <f ca="1">IFERROR(__xludf.DUMMYFUNCTION("""COMPUTED_VALUE"""),"DRE CASTANHAL")</f>
        <v>DRE CASTANHAL</v>
      </c>
      <c r="C663" s="2" t="str">
        <f ca="1">IFERROR(__xludf.DUMMYFUNCTION("""COMPUTED_VALUE"""),"DRE - CASTANHAL")</f>
        <v>DRE - CASTANHAL</v>
      </c>
      <c r="D663" s="1"/>
      <c r="E663" s="2" t="str">
        <f ca="1">IFERROR(__xludf.DUMMYFUNCTION("""COMPUTED_VALUE"""),"DRE - CASTANHAL")</f>
        <v>DRE - CASTANHAL</v>
      </c>
      <c r="F663" s="1">
        <f ca="1">IFERROR(__xludf.DUMMYFUNCTION("""COMPUTED_VALUE"""),3)</f>
        <v>3</v>
      </c>
      <c r="G663" s="1" t="str">
        <f ca="1">IFERROR(__xludf.DUMMYFUNCTION("""COMPUTED_VALUE"""),"DRE CASTANHAL")</f>
        <v>DRE CASTANHAL</v>
      </c>
      <c r="H663" s="1" t="str">
        <f ca="1">IFERROR(__xludf.DUMMYFUNCTION("""COMPUTED_VALUE"""),"08A URE - CASTANHAL")</f>
        <v>08A URE - CASTANHAL</v>
      </c>
      <c r="I663" s="1"/>
      <c r="J663" s="1" t="str">
        <f ca="1">IFERROR(__xludf.DUMMYFUNCTION("""COMPUTED_VALUE"""),"SANTA MARIA DO PARA")</f>
        <v>SANTA MARIA DO PARA</v>
      </c>
      <c r="K663" s="1">
        <f ca="1">IFERROR(__xludf.DUMMYFUNCTION("""COMPUTED_VALUE"""),15062813)</f>
        <v>15062813</v>
      </c>
      <c r="L663" s="2" t="str">
        <f ca="1">IFERROR(__xludf.DUMMYFUNCTION("""COMPUTED_VALUE"""),"001920919500000")</f>
        <v>001920919500000</v>
      </c>
      <c r="M663" s="2" t="str">
        <f ca="1">IFERROR(__xludf.DUMMYFUNCTION("""COMPUTED_VALUE"""),"1920919500000")</f>
        <v>1920919500000</v>
      </c>
      <c r="N663" s="1" t="str">
        <f ca="1">IFERROR(__xludf.DUMMYFUNCTION("""COMPUTED_VALUE"""),"EEEF MAGALHAES BARATA SEDE")</f>
        <v>EEEF MAGALHAES BARATA SEDE</v>
      </c>
      <c r="O663" s="1"/>
      <c r="P663" s="1"/>
      <c r="Q663" s="1" t="s">
        <v>637</v>
      </c>
    </row>
    <row r="664" spans="1:17" x14ac:dyDescent="0.25">
      <c r="A664" s="2" t="str">
        <f ca="1">IFERROR(__xludf.DUMMYFUNCTION("""COMPUTED_VALUE"""),"REG DE INTEGRA DO GUAMA")</f>
        <v>REG DE INTEGRA DO GUAMA</v>
      </c>
      <c r="B664" s="1" t="str">
        <f ca="1">IFERROR(__xludf.DUMMYFUNCTION("""COMPUTED_VALUE"""),"DRE CASTANHAL")</f>
        <v>DRE CASTANHAL</v>
      </c>
      <c r="C664" s="2" t="str">
        <f ca="1">IFERROR(__xludf.DUMMYFUNCTION("""COMPUTED_VALUE"""),"DRE - CASTANHAL")</f>
        <v>DRE - CASTANHAL</v>
      </c>
      <c r="D664" s="1"/>
      <c r="E664" s="2" t="str">
        <f ca="1">IFERROR(__xludf.DUMMYFUNCTION("""COMPUTED_VALUE"""),"DRE - CASTANHAL")</f>
        <v>DRE - CASTANHAL</v>
      </c>
      <c r="F664" s="1">
        <f ca="1">IFERROR(__xludf.DUMMYFUNCTION("""COMPUTED_VALUE"""),3)</f>
        <v>3</v>
      </c>
      <c r="G664" s="1" t="str">
        <f ca="1">IFERROR(__xludf.DUMMYFUNCTION("""COMPUTED_VALUE"""),"DRE CASTANHAL")</f>
        <v>DRE CASTANHAL</v>
      </c>
      <c r="H664" s="1" t="str">
        <f ca="1">IFERROR(__xludf.DUMMYFUNCTION("""COMPUTED_VALUE"""),"08A URE - CASTANHAL")</f>
        <v>08A URE - CASTANHAL</v>
      </c>
      <c r="I664" s="1"/>
      <c r="J664" s="1" t="str">
        <f ca="1">IFERROR(__xludf.DUMMYFUNCTION("""COMPUTED_VALUE"""),"SANTA MARIA DO PARA")</f>
        <v>SANTA MARIA DO PARA</v>
      </c>
      <c r="K664" s="1">
        <f ca="1">IFERROR(__xludf.DUMMYFUNCTION("""COMPUTED_VALUE"""),15062791)</f>
        <v>15062791</v>
      </c>
      <c r="L664" s="2" t="str">
        <f ca="1">IFERROR(__xludf.DUMMYFUNCTION("""COMPUTED_VALUE"""),"001920919540000")</f>
        <v>001920919540000</v>
      </c>
      <c r="M664" s="2" t="str">
        <f ca="1">IFERROR(__xludf.DUMMYFUNCTION("""COMPUTED_VALUE"""),"1920919540000")</f>
        <v>1920919540000</v>
      </c>
      <c r="N664" s="1" t="str">
        <f ca="1">IFERROR(__xludf.DUMMYFUNCTION("""COMPUTED_VALUE"""),"EEEF PROF FRANCISCO NUNES")</f>
        <v>EEEF PROF FRANCISCO NUNES</v>
      </c>
      <c r="O664" s="1"/>
      <c r="P664" s="1"/>
      <c r="Q664" s="1" t="s">
        <v>637</v>
      </c>
    </row>
    <row r="665" spans="1:17" x14ac:dyDescent="0.25">
      <c r="A665" s="2" t="str">
        <f ca="1">IFERROR(__xludf.DUMMYFUNCTION("""COMPUTED_VALUE"""),"REG DE INTEGRA DO GUAMA")</f>
        <v>REG DE INTEGRA DO GUAMA</v>
      </c>
      <c r="B665" s="1" t="str">
        <f ca="1">IFERROR(__xludf.DUMMYFUNCTION("""COMPUTED_VALUE"""),"DRE CASTANHAL")</f>
        <v>DRE CASTANHAL</v>
      </c>
      <c r="C665" s="2" t="str">
        <f ca="1">IFERROR(__xludf.DUMMYFUNCTION("""COMPUTED_VALUE"""),"DRE - CASTANHAL")</f>
        <v>DRE - CASTANHAL</v>
      </c>
      <c r="D665" s="1"/>
      <c r="E665" s="2" t="str">
        <f ca="1">IFERROR(__xludf.DUMMYFUNCTION("""COMPUTED_VALUE"""),"DRE - CASTANHAL")</f>
        <v>DRE - CASTANHAL</v>
      </c>
      <c r="F665" s="1">
        <f ca="1">IFERROR(__xludf.DUMMYFUNCTION("""COMPUTED_VALUE"""),3)</f>
        <v>3</v>
      </c>
      <c r="G665" s="1" t="str">
        <f ca="1">IFERROR(__xludf.DUMMYFUNCTION("""COMPUTED_VALUE"""),"DRE CASTANHAL")</f>
        <v>DRE CASTANHAL</v>
      </c>
      <c r="H665" s="1" t="str">
        <f ca="1">IFERROR(__xludf.DUMMYFUNCTION("""COMPUTED_VALUE"""),"08A URE - CASTANHAL")</f>
        <v>08A URE - CASTANHAL</v>
      </c>
      <c r="I665" s="1"/>
      <c r="J665" s="1" t="str">
        <f ca="1">IFERROR(__xludf.DUMMYFUNCTION("""COMPUTED_VALUE"""),"SANTA MARIA DO PARA")</f>
        <v>SANTA MARIA DO PARA</v>
      </c>
      <c r="K665" s="1">
        <f ca="1">IFERROR(__xludf.DUMMYFUNCTION("""COMPUTED_VALUE"""),15062856)</f>
        <v>15062856</v>
      </c>
      <c r="L665" s="2" t="str">
        <f ca="1">IFERROR(__xludf.DUMMYFUNCTION("""COMPUTED_VALUE"""),"001920919560000")</f>
        <v>001920919560000</v>
      </c>
      <c r="M665" s="2" t="str">
        <f ca="1">IFERROR(__xludf.DUMMYFUNCTION("""COMPUTED_VALUE"""),"1920919560000")</f>
        <v>1920919560000</v>
      </c>
      <c r="N665" s="1" t="str">
        <f ca="1">IFERROR(__xludf.DUMMYFUNCTION("""COMPUTED_VALUE"""),"EEEFM JOAO GABRIEL DA SILVA")</f>
        <v>EEEFM JOAO GABRIEL DA SILVA</v>
      </c>
      <c r="O665" s="1"/>
      <c r="P665" s="1"/>
      <c r="Q665" s="1" t="s">
        <v>637</v>
      </c>
    </row>
    <row r="666" spans="1:17" x14ac:dyDescent="0.25">
      <c r="A666" s="2" t="str">
        <f ca="1">IFERROR(__xludf.DUMMYFUNCTION("""COMPUTED_VALUE"""),"REG DE INTEGRA DO GUAMA")</f>
        <v>REG DE INTEGRA DO GUAMA</v>
      </c>
      <c r="B666" s="1" t="str">
        <f ca="1">IFERROR(__xludf.DUMMYFUNCTION("""COMPUTED_VALUE"""),"DRE CASTANHAL")</f>
        <v>DRE CASTANHAL</v>
      </c>
      <c r="C666" s="2" t="str">
        <f ca="1">IFERROR(__xludf.DUMMYFUNCTION("""COMPUTED_VALUE"""),"DRE - CASTANHAL")</f>
        <v>DRE - CASTANHAL</v>
      </c>
      <c r="D666" s="1"/>
      <c r="E666" s="2" t="str">
        <f ca="1">IFERROR(__xludf.DUMMYFUNCTION("""COMPUTED_VALUE"""),"DRE - CASTANHAL")</f>
        <v>DRE - CASTANHAL</v>
      </c>
      <c r="F666" s="1">
        <f ca="1">IFERROR(__xludf.DUMMYFUNCTION("""COMPUTED_VALUE"""),3)</f>
        <v>3</v>
      </c>
      <c r="G666" s="1" t="str">
        <f ca="1">IFERROR(__xludf.DUMMYFUNCTION("""COMPUTED_VALUE"""),"DRE CASTANHAL")</f>
        <v>DRE CASTANHAL</v>
      </c>
      <c r="H666" s="1" t="str">
        <f ca="1">IFERROR(__xludf.DUMMYFUNCTION("""COMPUTED_VALUE"""),"08A URE - CASTANHAL")</f>
        <v>08A URE - CASTANHAL</v>
      </c>
      <c r="I666" s="1"/>
      <c r="J666" s="1" t="str">
        <f ca="1">IFERROR(__xludf.DUMMYFUNCTION("""COMPUTED_VALUE"""),"SANTA MARIA DO PARA")</f>
        <v>SANTA MARIA DO PARA</v>
      </c>
      <c r="K666" s="1">
        <f ca="1">IFERROR(__xludf.DUMMYFUNCTION("""COMPUTED_VALUE"""),15062821)</f>
        <v>15062821</v>
      </c>
      <c r="L666" s="2" t="str">
        <f ca="1">IFERROR(__xludf.DUMMYFUNCTION("""COMPUTED_VALUE"""),"001920919510000")</f>
        <v>001920919510000</v>
      </c>
      <c r="M666" s="2" t="str">
        <f ca="1">IFERROR(__xludf.DUMMYFUNCTION("""COMPUTED_VALUE"""),"1920919510000")</f>
        <v>1920919510000</v>
      </c>
      <c r="N666" s="1" t="str">
        <f ca="1">IFERROR(__xludf.DUMMYFUNCTION("""COMPUTED_VALUE"""),"EEEFM PROF MARCOS NUNES")</f>
        <v>EEEFM PROF MARCOS NUNES</v>
      </c>
      <c r="O666" s="1"/>
      <c r="P666" s="1"/>
      <c r="Q666" s="1" t="s">
        <v>637</v>
      </c>
    </row>
    <row r="667" spans="1:17" x14ac:dyDescent="0.25">
      <c r="A667" s="2" t="str">
        <f ca="1">IFERROR(__xludf.DUMMYFUNCTION("""COMPUTED_VALUE"""),"REG DE INTEGRA DO GUAMA")</f>
        <v>REG DE INTEGRA DO GUAMA</v>
      </c>
      <c r="B667" s="1" t="str">
        <f ca="1">IFERROR(__xludf.DUMMYFUNCTION("""COMPUTED_VALUE"""),"DRE CASTANHAL")</f>
        <v>DRE CASTANHAL</v>
      </c>
      <c r="C667" s="2" t="str">
        <f ca="1">IFERROR(__xludf.DUMMYFUNCTION("""COMPUTED_VALUE"""),"DRE - CASTANHAL")</f>
        <v>DRE - CASTANHAL</v>
      </c>
      <c r="D667" s="1"/>
      <c r="E667" s="2" t="str">
        <f ca="1">IFERROR(__xludf.DUMMYFUNCTION("""COMPUTED_VALUE"""),"DRE - CASTANHAL")</f>
        <v>DRE - CASTANHAL</v>
      </c>
      <c r="F667" s="1">
        <f ca="1">IFERROR(__xludf.DUMMYFUNCTION("""COMPUTED_VALUE"""),3)</f>
        <v>3</v>
      </c>
      <c r="G667" s="1" t="str">
        <f ca="1">IFERROR(__xludf.DUMMYFUNCTION("""COMPUTED_VALUE"""),"DRE CASTANHAL")</f>
        <v>DRE CASTANHAL</v>
      </c>
      <c r="H667" s="1" t="str">
        <f ca="1">IFERROR(__xludf.DUMMYFUNCTION("""COMPUTED_VALUE"""),"08A URE - CASTANHAL")</f>
        <v>08A URE - CASTANHAL</v>
      </c>
      <c r="I667" s="1"/>
      <c r="J667" s="1" t="str">
        <f ca="1">IFERROR(__xludf.DUMMYFUNCTION("""COMPUTED_VALUE"""),"SANTA MARIA DO PARA")</f>
        <v>SANTA MARIA DO PARA</v>
      </c>
      <c r="K667" s="1">
        <f ca="1">IFERROR(__xludf.DUMMYFUNCTION("""COMPUTED_VALUE"""),15062767)</f>
        <v>15062767</v>
      </c>
      <c r="L667" s="2" t="str">
        <f ca="1">IFERROR(__xludf.DUMMYFUNCTION("""COMPUTED_VALUE"""),"001920919580000")</f>
        <v>001920919580000</v>
      </c>
      <c r="M667" s="2" t="str">
        <f ca="1">IFERROR(__xludf.DUMMYFUNCTION("""COMPUTED_VALUE"""),"1920919580000")</f>
        <v>1920919580000</v>
      </c>
      <c r="N667" s="1" t="str">
        <f ca="1">IFERROR(__xludf.DUMMYFUNCTION("""COMPUTED_VALUE"""),"EEEFM SEVERIANO BENEDITO DE SOUZA")</f>
        <v>EEEFM SEVERIANO BENEDITO DE SOUZA</v>
      </c>
      <c r="O667" s="1"/>
      <c r="P667" s="1"/>
      <c r="Q667" s="1" t="s">
        <v>637</v>
      </c>
    </row>
    <row r="668" spans="1:17" x14ac:dyDescent="0.25">
      <c r="A668" s="2" t="str">
        <f ca="1">IFERROR(__xludf.DUMMYFUNCTION("""COMPUTED_VALUE"""),"REG DE INTEGRA DO GUAMA")</f>
        <v>REG DE INTEGRA DO GUAMA</v>
      </c>
      <c r="B668" s="1" t="str">
        <f ca="1">IFERROR(__xludf.DUMMYFUNCTION("""COMPUTED_VALUE"""),"DRE CASTANHAL")</f>
        <v>DRE CASTANHAL</v>
      </c>
      <c r="C668" s="2" t="str">
        <f ca="1">IFERROR(__xludf.DUMMYFUNCTION("""COMPUTED_VALUE"""),"DRE - CASTANHAL")</f>
        <v>DRE - CASTANHAL</v>
      </c>
      <c r="D668" s="1"/>
      <c r="E668" s="2" t="str">
        <f ca="1">IFERROR(__xludf.DUMMYFUNCTION("""COMPUTED_VALUE"""),"DRE - CASTANHAL")</f>
        <v>DRE - CASTANHAL</v>
      </c>
      <c r="F668" s="1">
        <f ca="1">IFERROR(__xludf.DUMMYFUNCTION("""COMPUTED_VALUE"""),3)</f>
        <v>3</v>
      </c>
      <c r="G668" s="1"/>
      <c r="H668" s="1" t="str">
        <f ca="1">IFERROR(__xludf.DUMMYFUNCTION("""COMPUTED_VALUE"""),"08A URE - CASTANHAL")</f>
        <v>08A URE - CASTANHAL</v>
      </c>
      <c r="I668" s="1"/>
      <c r="J668" s="1" t="str">
        <f ca="1">IFERROR(__xludf.DUMMYFUNCTION("""COMPUTED_VALUE"""),"SAO DOMINGOS DO CAPIM")</f>
        <v>SAO DOMINGOS DO CAPIM</v>
      </c>
      <c r="K668" s="1">
        <f ca="1">IFERROR(__xludf.DUMMYFUNCTION("""COMPUTED_VALUE"""),15177424)</f>
        <v>15177424</v>
      </c>
      <c r="L668" s="2" t="str">
        <f ca="1">IFERROR(__xludf.DUMMYFUNCTION("""COMPUTED_VALUE"""),"001920915470001")</f>
        <v>001920915470001</v>
      </c>
      <c r="M668" s="2" t="str">
        <f ca="1">IFERROR(__xludf.DUMMYFUNCTION("""COMPUTED_VALUE"""),"1920915470001")</f>
        <v>1920915470001</v>
      </c>
      <c r="N668" s="1" t="str">
        <f ca="1">IFERROR(__xludf.DUMMYFUNCTION("""COMPUTED_VALUE"""),"ANEXO RURAL PROF JONATHAS ATIAS")</f>
        <v>ANEXO RURAL PROF JONATHAS ATIAS</v>
      </c>
      <c r="O668" s="1"/>
      <c r="P668" s="1"/>
      <c r="Q668" s="1" t="s">
        <v>637</v>
      </c>
    </row>
    <row r="669" spans="1:17" x14ac:dyDescent="0.25">
      <c r="A669" s="2" t="str">
        <f ca="1">IFERROR(__xludf.DUMMYFUNCTION("""COMPUTED_VALUE"""),"REG DE INTEGRA DO GUAMA")</f>
        <v>REG DE INTEGRA DO GUAMA</v>
      </c>
      <c r="B669" s="1" t="str">
        <f ca="1">IFERROR(__xludf.DUMMYFUNCTION("""COMPUTED_VALUE"""),"DRE CASTANHAL")</f>
        <v>DRE CASTANHAL</v>
      </c>
      <c r="C669" s="2" t="str">
        <f ca="1">IFERROR(__xludf.DUMMYFUNCTION("""COMPUTED_VALUE"""),"DRE - CASTANHAL")</f>
        <v>DRE - CASTANHAL</v>
      </c>
      <c r="D669" s="1"/>
      <c r="E669" s="2" t="str">
        <f ca="1">IFERROR(__xludf.DUMMYFUNCTION("""COMPUTED_VALUE"""),"DRE - CASTANHAL")</f>
        <v>DRE - CASTANHAL</v>
      </c>
      <c r="F669" s="1">
        <f ca="1">IFERROR(__xludf.DUMMYFUNCTION("""COMPUTED_VALUE"""),3)</f>
        <v>3</v>
      </c>
      <c r="G669" s="1" t="str">
        <f ca="1">IFERROR(__xludf.DUMMYFUNCTION("""COMPUTED_VALUE"""),"DRE CASTANHAL")</f>
        <v>DRE CASTANHAL</v>
      </c>
      <c r="H669" s="1" t="str">
        <f ca="1">IFERROR(__xludf.DUMMYFUNCTION("""COMPUTED_VALUE"""),"08A URE - CASTANHAL")</f>
        <v>08A URE - CASTANHAL</v>
      </c>
      <c r="I669" s="1"/>
      <c r="J669" s="1" t="str">
        <f ca="1">IFERROR(__xludf.DUMMYFUNCTION("""COMPUTED_VALUE"""),"SAO DOMINGOS DO CAPIM")</f>
        <v>SAO DOMINGOS DO CAPIM</v>
      </c>
      <c r="K669" s="1">
        <f ca="1">IFERROR(__xludf.DUMMYFUNCTION("""COMPUTED_VALUE"""),15094669)</f>
        <v>15094669</v>
      </c>
      <c r="L669" s="2" t="str">
        <f ca="1">IFERROR(__xludf.DUMMYFUNCTION("""COMPUTED_VALUE"""),"001920915470000")</f>
        <v>001920915470000</v>
      </c>
      <c r="M669" s="2" t="str">
        <f ca="1">IFERROR(__xludf.DUMMYFUNCTION("""COMPUTED_VALUE"""),"1920915470000")</f>
        <v>1920915470000</v>
      </c>
      <c r="N669" s="1" t="str">
        <f ca="1">IFERROR(__xludf.DUMMYFUNCTION("""COMPUTED_VALUE"""),"EEEF PROF JONATHAS ATIAS")</f>
        <v>EEEF PROF JONATHAS ATIAS</v>
      </c>
      <c r="O669" s="1"/>
      <c r="P669" s="1"/>
      <c r="Q669" s="1" t="s">
        <v>637</v>
      </c>
    </row>
    <row r="670" spans="1:17" x14ac:dyDescent="0.25">
      <c r="A670" s="2" t="str">
        <f ca="1">IFERROR(__xludf.DUMMYFUNCTION("""COMPUTED_VALUE"""),"REG DE INTEGRA DO GUAMA")</f>
        <v>REG DE INTEGRA DO GUAMA</v>
      </c>
      <c r="B670" s="1" t="str">
        <f ca="1">IFERROR(__xludf.DUMMYFUNCTION("""COMPUTED_VALUE"""),"DRE CASTANHAL")</f>
        <v>DRE CASTANHAL</v>
      </c>
      <c r="C670" s="2" t="str">
        <f ca="1">IFERROR(__xludf.DUMMYFUNCTION("""COMPUTED_VALUE"""),"DRE - CASTANHAL")</f>
        <v>DRE - CASTANHAL</v>
      </c>
      <c r="D670" s="1"/>
      <c r="E670" s="2" t="str">
        <f ca="1">IFERROR(__xludf.DUMMYFUNCTION("""COMPUTED_VALUE"""),"DRE - CASTANHAL")</f>
        <v>DRE - CASTANHAL</v>
      </c>
      <c r="F670" s="1">
        <f ca="1">IFERROR(__xludf.DUMMYFUNCTION("""COMPUTED_VALUE"""),3)</f>
        <v>3</v>
      </c>
      <c r="G670" s="1" t="str">
        <f ca="1">IFERROR(__xludf.DUMMYFUNCTION("""COMPUTED_VALUE"""),"DRE CASTANHAL")</f>
        <v>DRE CASTANHAL</v>
      </c>
      <c r="H670" s="1" t="str">
        <f ca="1">IFERROR(__xludf.DUMMYFUNCTION("""COMPUTED_VALUE"""),"08A URE - CASTANHAL")</f>
        <v>08A URE - CASTANHAL</v>
      </c>
      <c r="I670" s="1"/>
      <c r="J670" s="1" t="str">
        <f ca="1">IFERROR(__xludf.DUMMYFUNCTION("""COMPUTED_VALUE"""),"SAO DOMINGOS DO CAPIM")</f>
        <v>SAO DOMINGOS DO CAPIM</v>
      </c>
      <c r="K670" s="1">
        <f ca="1">IFERROR(__xludf.DUMMYFUNCTION("""COMPUTED_VALUE"""),15094693)</f>
        <v>15094693</v>
      </c>
      <c r="L670" s="2" t="str">
        <f ca="1">IFERROR(__xludf.DUMMYFUNCTION("""COMPUTED_VALUE"""),"001920902560000")</f>
        <v>001920902560000</v>
      </c>
      <c r="M670" s="2" t="str">
        <f ca="1">IFERROR(__xludf.DUMMYFUNCTION("""COMPUTED_VALUE"""),"1920902560000")</f>
        <v>1920902560000</v>
      </c>
      <c r="N670" s="1" t="str">
        <f ca="1">IFERROR(__xludf.DUMMYFUNCTION("""COMPUTED_VALUE"""),"EEEF PROF VICENTINA SODRE DE ARAUJO")</f>
        <v>EEEF PROF VICENTINA SODRE DE ARAUJO</v>
      </c>
      <c r="O670" s="1"/>
      <c r="P670" s="1"/>
      <c r="Q670" s="1" t="s">
        <v>637</v>
      </c>
    </row>
    <row r="671" spans="1:17" x14ac:dyDescent="0.25">
      <c r="A671" s="2" t="str">
        <f ca="1">IFERROR(__xludf.DUMMYFUNCTION("""COMPUTED_VALUE"""),"REG DE INTEGRA DO GUAMA")</f>
        <v>REG DE INTEGRA DO GUAMA</v>
      </c>
      <c r="B671" s="1" t="str">
        <f ca="1">IFERROR(__xludf.DUMMYFUNCTION("""COMPUTED_VALUE"""),"DRE CASTANHAL")</f>
        <v>DRE CASTANHAL</v>
      </c>
      <c r="C671" s="2" t="str">
        <f ca="1">IFERROR(__xludf.DUMMYFUNCTION("""COMPUTED_VALUE"""),"DRE - CASTANHAL")</f>
        <v>DRE - CASTANHAL</v>
      </c>
      <c r="D671" s="1"/>
      <c r="E671" s="2" t="str">
        <f ca="1">IFERROR(__xludf.DUMMYFUNCTION("""COMPUTED_VALUE"""),"DRE - CASTANHAL")</f>
        <v>DRE - CASTANHAL</v>
      </c>
      <c r="F671" s="1">
        <f ca="1">IFERROR(__xludf.DUMMYFUNCTION("""COMPUTED_VALUE"""),3)</f>
        <v>3</v>
      </c>
      <c r="G671" s="1" t="str">
        <f ca="1">IFERROR(__xludf.DUMMYFUNCTION("""COMPUTED_VALUE"""),"DRE CASTANHAL")</f>
        <v>DRE CASTANHAL</v>
      </c>
      <c r="H671" s="1" t="str">
        <f ca="1">IFERROR(__xludf.DUMMYFUNCTION("""COMPUTED_VALUE"""),"08A URE - CASTANHAL")</f>
        <v>08A URE - CASTANHAL</v>
      </c>
      <c r="I671" s="1"/>
      <c r="J671" s="1" t="str">
        <f ca="1">IFERROR(__xludf.DUMMYFUNCTION("""COMPUTED_VALUE"""),"SAO DOMINGOS DO CAPIM")</f>
        <v>SAO DOMINGOS DO CAPIM</v>
      </c>
      <c r="K671" s="1">
        <f ca="1">IFERROR(__xludf.DUMMYFUNCTION("""COMPUTED_VALUE"""),15094596)</f>
        <v>15094596</v>
      </c>
      <c r="L671" s="2" t="str">
        <f ca="1">IFERROR(__xludf.DUMMYFUNCTION("""COMPUTED_VALUE"""),"001920915440000")</f>
        <v>001920915440000</v>
      </c>
      <c r="M671" s="2" t="str">
        <f ca="1">IFERROR(__xludf.DUMMYFUNCTION("""COMPUTED_VALUE"""),"1920915440000")</f>
        <v>1920915440000</v>
      </c>
      <c r="N671" s="1" t="str">
        <f ca="1">IFERROR(__xludf.DUMMYFUNCTION("""COMPUTED_VALUE"""),"EEEFM MAROJA NETO SEDE")</f>
        <v>EEEFM MAROJA NETO SEDE</v>
      </c>
      <c r="O671" s="1"/>
      <c r="P671" s="1"/>
      <c r="Q671" s="1" t="s">
        <v>637</v>
      </c>
    </row>
    <row r="672" spans="1:17" x14ac:dyDescent="0.25">
      <c r="A672" s="2" t="str">
        <f ca="1">IFERROR(__xludf.DUMMYFUNCTION("""COMPUTED_VALUE"""),"REG DE INTEGRA DO GUAMA")</f>
        <v>REG DE INTEGRA DO GUAMA</v>
      </c>
      <c r="B672" s="1" t="str">
        <f ca="1">IFERROR(__xludf.DUMMYFUNCTION("""COMPUTED_VALUE"""),"DRE CASTANHAL")</f>
        <v>DRE CASTANHAL</v>
      </c>
      <c r="C672" s="2" t="str">
        <f ca="1">IFERROR(__xludf.DUMMYFUNCTION("""COMPUTED_VALUE"""),"DRE - CASTANHAL")</f>
        <v>DRE - CASTANHAL</v>
      </c>
      <c r="D672" s="1"/>
      <c r="E672" s="2" t="str">
        <f ca="1">IFERROR(__xludf.DUMMYFUNCTION("""COMPUTED_VALUE"""),"DRE - CASTANHAL")</f>
        <v>DRE - CASTANHAL</v>
      </c>
      <c r="F672" s="1"/>
      <c r="G672" s="1"/>
      <c r="H672" s="1" t="str">
        <f ca="1">IFERROR(__xludf.DUMMYFUNCTION("""COMPUTED_VALUE"""),"08A URE - CASTANHAL")</f>
        <v>08A URE - CASTANHAL</v>
      </c>
      <c r="I672" s="1"/>
      <c r="J672" s="1" t="str">
        <f ca="1">IFERROR(__xludf.DUMMYFUNCTION("""COMPUTED_VALUE"""),"SAO DOMINGOS DO CAPIM")</f>
        <v>SAO DOMINGOS DO CAPIM</v>
      </c>
      <c r="K672" s="1"/>
      <c r="L672" s="2" t="str">
        <f ca="1">IFERROR(__xludf.DUMMYFUNCTION("""COMPUTED_VALUE"""),"001921000000000")</f>
        <v>001921000000000</v>
      </c>
      <c r="M672" s="2" t="str">
        <f ca="1">IFERROR(__xludf.DUMMYFUNCTION("""COMPUTED_VALUE"""),"1921000000000")</f>
        <v>1921000000000</v>
      </c>
      <c r="N672" s="1" t="str">
        <f ca="1">IFERROR(__xludf.DUMMYFUNCTION("""COMPUTED_VALUE"""),"ESCOLA ESTADUAL RURAL DE SAO DOMINGOS DO CAPIM")</f>
        <v>ESCOLA ESTADUAL RURAL DE SAO DOMINGOS DO CAPIM</v>
      </c>
      <c r="O672" s="1"/>
      <c r="P672" s="1"/>
      <c r="Q672" s="1" t="s">
        <v>637</v>
      </c>
    </row>
    <row r="673" spans="1:17" x14ac:dyDescent="0.25">
      <c r="A673" s="2" t="str">
        <f ca="1">IFERROR(__xludf.DUMMYFUNCTION("""COMPUTED_VALUE"""),"REG DE INTEGRA DO GUAMA")</f>
        <v>REG DE INTEGRA DO GUAMA</v>
      </c>
      <c r="B673" s="1" t="str">
        <f ca="1">IFERROR(__xludf.DUMMYFUNCTION("""COMPUTED_VALUE"""),"DRE CASTANHAL")</f>
        <v>DRE CASTANHAL</v>
      </c>
      <c r="C673" s="2" t="str">
        <f ca="1">IFERROR(__xludf.DUMMYFUNCTION("""COMPUTED_VALUE"""),"DRE - CASTANHAL")</f>
        <v>DRE - CASTANHAL</v>
      </c>
      <c r="D673" s="1"/>
      <c r="E673" s="2" t="str">
        <f ca="1">IFERROR(__xludf.DUMMYFUNCTION("""COMPUTED_VALUE"""),"DRE - CASTANHAL")</f>
        <v>DRE - CASTANHAL</v>
      </c>
      <c r="F673" s="1">
        <f ca="1">IFERROR(__xludf.DUMMYFUNCTION("""COMPUTED_VALUE"""),3)</f>
        <v>3</v>
      </c>
      <c r="G673" s="1" t="str">
        <f ca="1">IFERROR(__xludf.DUMMYFUNCTION("""COMPUTED_VALUE"""),"DRE CASTANHAL")</f>
        <v>DRE CASTANHAL</v>
      </c>
      <c r="H673" s="1" t="str">
        <f ca="1">IFERROR(__xludf.DUMMYFUNCTION("""COMPUTED_VALUE"""),"08A URE - CASTANHAL")</f>
        <v>08A URE - CASTANHAL</v>
      </c>
      <c r="I673" s="1"/>
      <c r="J673" s="1" t="str">
        <f ca="1">IFERROR(__xludf.DUMMYFUNCTION("""COMPUTED_VALUE"""),"SAO FRANCISCO DO PARA")</f>
        <v>SAO FRANCISCO DO PARA</v>
      </c>
      <c r="K673" s="1">
        <f ca="1">IFERROR(__xludf.DUMMYFUNCTION("""COMPUTED_VALUE"""),15063879)</f>
        <v>15063879</v>
      </c>
      <c r="L673" s="2" t="str">
        <f ca="1">IFERROR(__xludf.DUMMYFUNCTION("""COMPUTED_VALUE"""),"001920936830000")</f>
        <v>001920936830000</v>
      </c>
      <c r="M673" s="2" t="str">
        <f ca="1">IFERROR(__xludf.DUMMYFUNCTION("""COMPUTED_VALUE"""),"1920936830000")</f>
        <v>1920936830000</v>
      </c>
      <c r="N673" s="1" t="str">
        <f ca="1">IFERROR(__xludf.DUMMYFUNCTION("""COMPUTED_VALUE"""),"EEEM PROFA MARIA DA CONCEICAO GOMES DE SOUZA")</f>
        <v>EEEM PROFA MARIA DA CONCEICAO GOMES DE SOUZA</v>
      </c>
      <c r="O673" s="1"/>
      <c r="P673" s="1"/>
      <c r="Q673" s="1" t="s">
        <v>637</v>
      </c>
    </row>
    <row r="674" spans="1:17" x14ac:dyDescent="0.25">
      <c r="A674" s="2" t="str">
        <f ca="1">IFERROR(__xludf.DUMMYFUNCTION("""COMPUTED_VALUE"""),"REG DE INTEGRA DO GUAMA")</f>
        <v>REG DE INTEGRA DO GUAMA</v>
      </c>
      <c r="B674" s="1" t="str">
        <f ca="1">IFERROR(__xludf.DUMMYFUNCTION("""COMPUTED_VALUE"""),"DRE CASTANHAL")</f>
        <v>DRE CASTANHAL</v>
      </c>
      <c r="C674" s="2" t="str">
        <f ca="1">IFERROR(__xludf.DUMMYFUNCTION("""COMPUTED_VALUE"""),"DRE - CASTANHAL")</f>
        <v>DRE - CASTANHAL</v>
      </c>
      <c r="D674" s="1"/>
      <c r="E674" s="2" t="str">
        <f ca="1">IFERROR(__xludf.DUMMYFUNCTION("""COMPUTED_VALUE"""),"DRE - CASTANHAL")</f>
        <v>DRE - CASTANHAL</v>
      </c>
      <c r="F674" s="1">
        <f ca="1">IFERROR(__xludf.DUMMYFUNCTION("""COMPUTED_VALUE"""),3)</f>
        <v>3</v>
      </c>
      <c r="G674" s="1" t="str">
        <f ca="1">IFERROR(__xludf.DUMMYFUNCTION("""COMPUTED_VALUE"""),"DRE CASTANHAL")</f>
        <v>DRE CASTANHAL</v>
      </c>
      <c r="H674" s="1" t="str">
        <f ca="1">IFERROR(__xludf.DUMMYFUNCTION("""COMPUTED_VALUE"""),"08A URE - CASTANHAL")</f>
        <v>08A URE - CASTANHAL</v>
      </c>
      <c r="I674" s="1"/>
      <c r="J674" s="1" t="str">
        <f ca="1">IFERROR(__xludf.DUMMYFUNCTION("""COMPUTED_VALUE"""),"SAO JOAO DA PONTA")</f>
        <v>SAO JOAO DA PONTA</v>
      </c>
      <c r="K674" s="1">
        <f ca="1">IFERROR(__xludf.DUMMYFUNCTION("""COMPUTED_VALUE"""),15053440)</f>
        <v>15053440</v>
      </c>
      <c r="L674" s="2" t="str">
        <f ca="1">IFERROR(__xludf.DUMMYFUNCTION("""COMPUTED_VALUE"""),"001920920930000")</f>
        <v>001920920930000</v>
      </c>
      <c r="M674" s="2" t="str">
        <f ca="1">IFERROR(__xludf.DUMMYFUNCTION("""COMPUTED_VALUE"""),"1920920930000")</f>
        <v>1920920930000</v>
      </c>
      <c r="N674" s="1" t="str">
        <f ca="1">IFERROR(__xludf.DUMMYFUNCTION("""COMPUTED_VALUE"""),"EEEM PROF ANTONIA ROSA")</f>
        <v>EEEM PROF ANTONIA ROSA</v>
      </c>
      <c r="O674" s="1"/>
      <c r="P674" s="1"/>
      <c r="Q674" s="1" t="s">
        <v>637</v>
      </c>
    </row>
    <row r="675" spans="1:17" x14ac:dyDescent="0.25">
      <c r="A675" s="2" t="str">
        <f ca="1">IFERROR(__xludf.DUMMYFUNCTION("""COMPUTED_VALUE"""),"REG DE INTEGRA DO GUAMA")</f>
        <v>REG DE INTEGRA DO GUAMA</v>
      </c>
      <c r="B675" s="1" t="str">
        <f ca="1">IFERROR(__xludf.DUMMYFUNCTION("""COMPUTED_VALUE"""),"DRE CASTANHAL")</f>
        <v>DRE CASTANHAL</v>
      </c>
      <c r="C675" s="2" t="str">
        <f ca="1">IFERROR(__xludf.DUMMYFUNCTION("""COMPUTED_VALUE"""),"DRE - CASTANHAL")</f>
        <v>DRE - CASTANHAL</v>
      </c>
      <c r="D675" s="1"/>
      <c r="E675" s="2" t="str">
        <f ca="1">IFERROR(__xludf.DUMMYFUNCTION("""COMPUTED_VALUE"""),"DRE - CASTANHAL")</f>
        <v>DRE - CASTANHAL</v>
      </c>
      <c r="F675" s="1">
        <f ca="1">IFERROR(__xludf.DUMMYFUNCTION("""COMPUTED_VALUE"""),3)</f>
        <v>3</v>
      </c>
      <c r="G675" s="1"/>
      <c r="H675" s="1" t="str">
        <f ca="1">IFERROR(__xludf.DUMMYFUNCTION("""COMPUTED_VALUE"""),"08A URE - CASTANHAL")</f>
        <v>08A URE - CASTANHAL</v>
      </c>
      <c r="I675" s="1"/>
      <c r="J675" s="1" t="str">
        <f ca="1">IFERROR(__xludf.DUMMYFUNCTION("""COMPUTED_VALUE"""),"SAO MIGUEL DO GUAMA")</f>
        <v>SAO MIGUEL DO GUAMA</v>
      </c>
      <c r="K675" s="1">
        <f ca="1">IFERROR(__xludf.DUMMYFUNCTION("""COMPUTED_VALUE"""),15177459)</f>
        <v>15177459</v>
      </c>
      <c r="L675" s="2" t="str">
        <f ca="1">IFERROR(__xludf.DUMMYFUNCTION("""COMPUTED_VALUE"""),"001920917010004")</f>
        <v>001920917010004</v>
      </c>
      <c r="M675" s="2" t="str">
        <f ca="1">IFERROR(__xludf.DUMMYFUNCTION("""COMPUTED_VALUE"""),"1920917010004")</f>
        <v>1920917010004</v>
      </c>
      <c r="N675" s="1" t="str">
        <f ca="1">IFERROR(__xludf.DUMMYFUNCTION("""COMPUTED_VALUE"""),"ANEXO RURAL FREI MIGUEL DE BULHOES")</f>
        <v>ANEXO RURAL FREI MIGUEL DE BULHOES</v>
      </c>
      <c r="O675" s="1"/>
      <c r="P675" s="1"/>
      <c r="Q675" s="1" t="s">
        <v>637</v>
      </c>
    </row>
    <row r="676" spans="1:17" x14ac:dyDescent="0.25">
      <c r="A676" s="2" t="str">
        <f ca="1">IFERROR(__xludf.DUMMYFUNCTION("""COMPUTED_VALUE"""),"REG DE INTEGRA DO GUAMA")</f>
        <v>REG DE INTEGRA DO GUAMA</v>
      </c>
      <c r="B676" s="1" t="str">
        <f ca="1">IFERROR(__xludf.DUMMYFUNCTION("""COMPUTED_VALUE"""),"DRE CASTANHAL")</f>
        <v>DRE CASTANHAL</v>
      </c>
      <c r="C676" s="2" t="str">
        <f ca="1">IFERROR(__xludf.DUMMYFUNCTION("""COMPUTED_VALUE"""),"DRE - CASTANHAL")</f>
        <v>DRE - CASTANHAL</v>
      </c>
      <c r="D676" s="1"/>
      <c r="E676" s="2" t="str">
        <f ca="1">IFERROR(__xludf.DUMMYFUNCTION("""COMPUTED_VALUE"""),"DRE - CASTANHAL")</f>
        <v>DRE - CASTANHAL</v>
      </c>
      <c r="F676" s="1">
        <f ca="1">IFERROR(__xludf.DUMMYFUNCTION("""COMPUTED_VALUE"""),3)</f>
        <v>3</v>
      </c>
      <c r="G676" s="1" t="str">
        <f ca="1">IFERROR(__xludf.DUMMYFUNCTION("""COMPUTED_VALUE"""),"DRE CASTANHAL")</f>
        <v>DRE CASTANHAL</v>
      </c>
      <c r="H676" s="1" t="str">
        <f ca="1">IFERROR(__xludf.DUMMYFUNCTION("""COMPUTED_VALUE"""),"08A URE - CASTANHAL")</f>
        <v>08A URE - CASTANHAL</v>
      </c>
      <c r="I676" s="1"/>
      <c r="J676" s="1" t="str">
        <f ca="1">IFERROR(__xludf.DUMMYFUNCTION("""COMPUTED_VALUE"""),"SAO MIGUEL DO GUAMA")</f>
        <v>SAO MIGUEL DO GUAMA</v>
      </c>
      <c r="K676" s="1">
        <f ca="1">IFERROR(__xludf.DUMMYFUNCTION("""COMPUTED_VALUE"""),15095916)</f>
        <v>15095916</v>
      </c>
      <c r="L676" s="2" t="str">
        <f ca="1">IFERROR(__xludf.DUMMYFUNCTION("""COMPUTED_VALUE"""),"001920917010000")</f>
        <v>001920917010000</v>
      </c>
      <c r="M676" s="2" t="str">
        <f ca="1">IFERROR(__xludf.DUMMYFUNCTION("""COMPUTED_VALUE"""),"1920917010000")</f>
        <v>1920917010000</v>
      </c>
      <c r="N676" s="1" t="str">
        <f ca="1">IFERROR(__xludf.DUMMYFUNCTION("""COMPUTED_VALUE"""),"EEEM FREI MIGUEL DE BULHOES - SEDE")</f>
        <v>EEEM FREI MIGUEL DE BULHOES - SEDE</v>
      </c>
      <c r="O676" s="1"/>
      <c r="P676" s="1"/>
      <c r="Q676" s="1" t="s">
        <v>637</v>
      </c>
    </row>
    <row r="677" spans="1:17" x14ac:dyDescent="0.25">
      <c r="A677" s="2" t="str">
        <f ca="1">IFERROR(__xludf.DUMMYFUNCTION("""COMPUTED_VALUE"""),"REG DE INTEGRA DO GUAMA")</f>
        <v>REG DE INTEGRA DO GUAMA</v>
      </c>
      <c r="B677" s="1" t="str">
        <f ca="1">IFERROR(__xludf.DUMMYFUNCTION("""COMPUTED_VALUE"""),"DRE CASTANHAL")</f>
        <v>DRE CASTANHAL</v>
      </c>
      <c r="C677" s="2" t="str">
        <f ca="1">IFERROR(__xludf.DUMMYFUNCTION("""COMPUTED_VALUE"""),"DRE - CASTANHAL")</f>
        <v>DRE - CASTANHAL</v>
      </c>
      <c r="D677" s="1"/>
      <c r="E677" s="2" t="str">
        <f ca="1">IFERROR(__xludf.DUMMYFUNCTION("""COMPUTED_VALUE"""),"DRE - CASTANHAL")</f>
        <v>DRE - CASTANHAL</v>
      </c>
      <c r="F677" s="1">
        <f ca="1">IFERROR(__xludf.DUMMYFUNCTION("""COMPUTED_VALUE"""),3)</f>
        <v>3</v>
      </c>
      <c r="G677" s="1" t="str">
        <f ca="1">IFERROR(__xludf.DUMMYFUNCTION("""COMPUTED_VALUE"""),"DRE CASTANHAL")</f>
        <v>DRE CASTANHAL</v>
      </c>
      <c r="H677" s="1" t="str">
        <f ca="1">IFERROR(__xludf.DUMMYFUNCTION("""COMPUTED_VALUE"""),"08A URE - CASTANHAL")</f>
        <v>08A URE - CASTANHAL</v>
      </c>
      <c r="I677" s="1"/>
      <c r="J677" s="1" t="str">
        <f ca="1">IFERROR(__xludf.DUMMYFUNCTION("""COMPUTED_VALUE"""),"SAO MIGUEL DO GUAMA")</f>
        <v>SAO MIGUEL DO GUAMA</v>
      </c>
      <c r="K677" s="1">
        <f ca="1">IFERROR(__xludf.DUMMYFUNCTION("""COMPUTED_VALUE"""),15213404)</f>
        <v>15213404</v>
      </c>
      <c r="L677" s="2" t="str">
        <f ca="1">IFERROR(__xludf.DUMMYFUNCTION("""COMPUTED_VALUE"""),"001920937310000")</f>
        <v>001920937310000</v>
      </c>
      <c r="M677" s="2" t="str">
        <f ca="1">IFERROR(__xludf.DUMMYFUNCTION("""COMPUTED_VALUE"""),"1920937310000")</f>
        <v>1920937310000</v>
      </c>
      <c r="N677" s="1" t="str">
        <f ca="1">IFERROR(__xludf.DUMMYFUNCTION("""COMPUTED_VALUE"""),"EEEM IRMA CARLA GIUSSANI")</f>
        <v>EEEM IRMA CARLA GIUSSANI</v>
      </c>
      <c r="O677" s="1"/>
      <c r="P677" s="1"/>
      <c r="Q677" s="1" t="s">
        <v>637</v>
      </c>
    </row>
    <row r="678" spans="1:17" x14ac:dyDescent="0.25">
      <c r="A678" s="2" t="str">
        <f ca="1">IFERROR(__xludf.DUMMYFUNCTION("""COMPUTED_VALUE"""),"REG DE INTEGRA DO GUAMA")</f>
        <v>REG DE INTEGRA DO GUAMA</v>
      </c>
      <c r="B678" s="1" t="str">
        <f ca="1">IFERROR(__xludf.DUMMYFUNCTION("""COMPUTED_VALUE"""),"DRE CASTANHAL")</f>
        <v>DRE CASTANHAL</v>
      </c>
      <c r="C678" s="2" t="str">
        <f ca="1">IFERROR(__xludf.DUMMYFUNCTION("""COMPUTED_VALUE"""),"DRE - CASTANHAL")</f>
        <v>DRE - CASTANHAL</v>
      </c>
      <c r="D678" s="1"/>
      <c r="E678" s="2" t="str">
        <f ca="1">IFERROR(__xludf.DUMMYFUNCTION("""COMPUTED_VALUE"""),"DRE - CASTANHAL")</f>
        <v>DRE - CASTANHAL</v>
      </c>
      <c r="F678" s="1"/>
      <c r="G678" s="1"/>
      <c r="H678" s="1" t="str">
        <f ca="1">IFERROR(__xludf.DUMMYFUNCTION("""COMPUTED_VALUE"""),"08A URE - CASTANHAL")</f>
        <v>08A URE - CASTANHAL</v>
      </c>
      <c r="I678" s="1"/>
      <c r="J678" s="1" t="str">
        <f ca="1">IFERROR(__xludf.DUMMYFUNCTION("""COMPUTED_VALUE"""),"SAO MIGUEL DO GUAMA")</f>
        <v>SAO MIGUEL DO GUAMA</v>
      </c>
      <c r="K678" s="1"/>
      <c r="L678" s="2" t="str">
        <f ca="1">IFERROR(__xludf.DUMMYFUNCTION("""COMPUTED_VALUE"""),"001921001000000")</f>
        <v>001921001000000</v>
      </c>
      <c r="M678" s="2" t="str">
        <f ca="1">IFERROR(__xludf.DUMMYFUNCTION("""COMPUTED_VALUE"""),"1921001000000")</f>
        <v>1921001000000</v>
      </c>
      <c r="N678" s="1" t="str">
        <f ca="1">IFERROR(__xludf.DUMMYFUNCTION("""COMPUTED_VALUE"""),"ESCOLA ESTADUAL RURAL DE SAO MIGUEL DO GUAMA")</f>
        <v>ESCOLA ESTADUAL RURAL DE SAO MIGUEL DO GUAMA</v>
      </c>
      <c r="O678" s="1"/>
      <c r="P678" s="1"/>
      <c r="Q678" s="1" t="s">
        <v>637</v>
      </c>
    </row>
    <row r="679" spans="1:17" x14ac:dyDescent="0.25">
      <c r="A679" s="2" t="str">
        <f ca="1">IFERROR(__xludf.DUMMYFUNCTION("""COMPUTED_VALUE"""),"REG DE INTEGRA DO GUAMA")</f>
        <v>REG DE INTEGRA DO GUAMA</v>
      </c>
      <c r="B679" s="1" t="str">
        <f ca="1">IFERROR(__xludf.DUMMYFUNCTION("""COMPUTED_VALUE"""),"DRE CASTANHAL")</f>
        <v>DRE CASTANHAL</v>
      </c>
      <c r="C679" s="2" t="str">
        <f ca="1">IFERROR(__xludf.DUMMYFUNCTION("""COMPUTED_VALUE"""),"DRE - CASTANHAL")</f>
        <v>DRE - CASTANHAL</v>
      </c>
      <c r="D679" s="1"/>
      <c r="E679" s="2" t="str">
        <f ca="1">IFERROR(__xludf.DUMMYFUNCTION("""COMPUTED_VALUE"""),"DRE - CASTANHAL")</f>
        <v>DRE - CASTANHAL</v>
      </c>
      <c r="F679" s="1">
        <f ca="1">IFERROR(__xludf.DUMMYFUNCTION("""COMPUTED_VALUE"""),3)</f>
        <v>3</v>
      </c>
      <c r="G679" s="1" t="str">
        <f ca="1">IFERROR(__xludf.DUMMYFUNCTION("""COMPUTED_VALUE"""),"DRE CASTANHAL")</f>
        <v>DRE CASTANHAL</v>
      </c>
      <c r="H679" s="1" t="str">
        <f ca="1">IFERROR(__xludf.DUMMYFUNCTION("""COMPUTED_VALUE"""),"08A URE - CASTANHAL")</f>
        <v>08A URE - CASTANHAL</v>
      </c>
      <c r="I679" s="1"/>
      <c r="J679" s="1" t="str">
        <f ca="1">IFERROR(__xludf.DUMMYFUNCTION("""COMPUTED_VALUE"""),"TERRA ALTA")</f>
        <v>TERRA ALTA</v>
      </c>
      <c r="K679" s="1">
        <f ca="1">IFERROR(__xludf.DUMMYFUNCTION("""COMPUTED_VALUE"""),15048993)</f>
        <v>15048993</v>
      </c>
      <c r="L679" s="2" t="str">
        <f ca="1">IFERROR(__xludf.DUMMYFUNCTION("""COMPUTED_VALUE"""),"001920920360000")</f>
        <v>001920920360000</v>
      </c>
      <c r="M679" s="2" t="str">
        <f ca="1">IFERROR(__xludf.DUMMYFUNCTION("""COMPUTED_VALUE"""),"1920920360000")</f>
        <v>1920920360000</v>
      </c>
      <c r="N679" s="1" t="str">
        <f ca="1">IFERROR(__xludf.DUMMYFUNCTION("""COMPUTED_VALUE"""),"EEEF AUGUSTO RAMOS PINHEIROS")</f>
        <v>EEEF AUGUSTO RAMOS PINHEIROS</v>
      </c>
      <c r="O679" s="1"/>
      <c r="P679" s="1"/>
      <c r="Q679" s="1" t="s">
        <v>637</v>
      </c>
    </row>
    <row r="680" spans="1:17" x14ac:dyDescent="0.25">
      <c r="A680" s="2" t="str">
        <f ca="1">IFERROR(__xludf.DUMMYFUNCTION("""COMPUTED_VALUE"""),"REG DE INTEGRA DO GUAMA")</f>
        <v>REG DE INTEGRA DO GUAMA</v>
      </c>
      <c r="B680" s="1" t="str">
        <f ca="1">IFERROR(__xludf.DUMMYFUNCTION("""COMPUTED_VALUE"""),"DRE CASTANHAL")</f>
        <v>DRE CASTANHAL</v>
      </c>
      <c r="C680" s="2" t="str">
        <f ca="1">IFERROR(__xludf.DUMMYFUNCTION("""COMPUTED_VALUE"""),"DRE - CASTANHAL")</f>
        <v>DRE - CASTANHAL</v>
      </c>
      <c r="D680" s="1"/>
      <c r="E680" s="2" t="str">
        <f ca="1">IFERROR(__xludf.DUMMYFUNCTION("""COMPUTED_VALUE"""),"DRE - CASTANHAL")</f>
        <v>DRE - CASTANHAL</v>
      </c>
      <c r="F680" s="1">
        <f ca="1">IFERROR(__xludf.DUMMYFUNCTION("""COMPUTED_VALUE"""),3)</f>
        <v>3</v>
      </c>
      <c r="G680" s="1" t="str">
        <f ca="1">IFERROR(__xludf.DUMMYFUNCTION("""COMPUTED_VALUE"""),"DRE CASTANHAL")</f>
        <v>DRE CASTANHAL</v>
      </c>
      <c r="H680" s="1" t="str">
        <f ca="1">IFERROR(__xludf.DUMMYFUNCTION("""COMPUTED_VALUE"""),"08A URE - CASTANHAL")</f>
        <v>08A URE - CASTANHAL</v>
      </c>
      <c r="I680" s="1"/>
      <c r="J680" s="1" t="str">
        <f ca="1">IFERROR(__xludf.DUMMYFUNCTION("""COMPUTED_VALUE"""),"TERRA ALTA")</f>
        <v>TERRA ALTA</v>
      </c>
      <c r="K680" s="1">
        <f ca="1">IFERROR(__xludf.DUMMYFUNCTION("""COMPUTED_VALUE"""),15049051)</f>
        <v>15049051</v>
      </c>
      <c r="L680" s="2" t="str">
        <f ca="1">IFERROR(__xludf.DUMMYFUNCTION("""COMPUTED_VALUE"""),"001920920380000")</f>
        <v>001920920380000</v>
      </c>
      <c r="M680" s="2" t="str">
        <f ca="1">IFERROR(__xludf.DUMMYFUNCTION("""COMPUTED_VALUE"""),"1920920380000")</f>
        <v>1920920380000</v>
      </c>
      <c r="N680" s="1" t="str">
        <f ca="1">IFERROR(__xludf.DUMMYFUNCTION("""COMPUTED_VALUE"""),"EEEFM INACIO PASSARINHO SEDE")</f>
        <v>EEEFM INACIO PASSARINHO SEDE</v>
      </c>
      <c r="O680" s="1"/>
      <c r="P680" s="1"/>
      <c r="Q680" s="1" t="s">
        <v>637</v>
      </c>
    </row>
    <row r="681" spans="1:17" x14ac:dyDescent="0.25">
      <c r="A681" s="2" t="str">
        <f ca="1">IFERROR(__xludf.DUMMYFUNCTION("""COMPUTED_VALUE"""),"REG DE INTEGRA DO ARAGUAIA")</f>
        <v>REG DE INTEGRA DO ARAGUAIA</v>
      </c>
      <c r="B681" s="1" t="str">
        <f ca="1">IFERROR(__xludf.DUMMYFUNCTION("""COMPUTED_VALUE"""),"DRE CONCEICAO DO ARAGUAIA")</f>
        <v>DRE CONCEICAO DO ARAGUAIA</v>
      </c>
      <c r="C681" s="2" t="str">
        <f ca="1">IFERROR(__xludf.DUMMYFUNCTION("""COMPUTED_VALUE"""),"DRE - CONCEICAO DO ARAGUAIA")</f>
        <v>DRE - CONCEICAO DO ARAGUAIA</v>
      </c>
      <c r="D681" s="1"/>
      <c r="E681" s="2" t="str">
        <f ca="1">IFERROR(__xludf.DUMMYFUNCTION("""COMPUTED_VALUE"""),"DRE - CONCEICAO DO ARAGUAIA")</f>
        <v>DRE - CONCEICAO DO ARAGUAIA</v>
      </c>
      <c r="F681" s="1">
        <f ca="1">IFERROR(__xludf.DUMMYFUNCTION("""COMPUTED_VALUE"""),2)</f>
        <v>2</v>
      </c>
      <c r="G681" s="1" t="str">
        <f ca="1">IFERROR(__xludf.DUMMYFUNCTION("""COMPUTED_VALUE"""),"DRE CONCEICAO DO ARAGUAIA")</f>
        <v>DRE CONCEICAO DO ARAGUAIA</v>
      </c>
      <c r="H681" s="1" t="str">
        <f ca="1">IFERROR(__xludf.DUMMYFUNCTION("""COMPUTED_VALUE"""),"15A URE - CONCEICAO DO ARAGUAIA")</f>
        <v>15A URE - CONCEICAO DO ARAGUAIA</v>
      </c>
      <c r="I681" s="1"/>
      <c r="J681" s="1" t="str">
        <f ca="1">IFERROR(__xludf.DUMMYFUNCTION("""COMPUTED_VALUE"""),"CONCEICAO DO ARAGUAIA")</f>
        <v>CONCEICAO DO ARAGUAIA</v>
      </c>
      <c r="K681" s="1"/>
      <c r="L681" s="2" t="str">
        <f ca="1">IFERROR(__xludf.DUMMYFUNCTION("""COMPUTED_VALUE"""),"001920900150000")</f>
        <v>001920900150000</v>
      </c>
      <c r="M681" s="2" t="str">
        <f ca="1">IFERROR(__xludf.DUMMYFUNCTION("""COMPUTED_VALUE"""),"1920900150000")</f>
        <v>1920900150000</v>
      </c>
      <c r="N681" s="1" t="str">
        <f ca="1">IFERROR(__xludf.DUMMYFUNCTION("""COMPUTED_VALUE"""),"15 URE")</f>
        <v>15 URE</v>
      </c>
      <c r="O681" s="1"/>
      <c r="P681" s="1"/>
      <c r="Q681" s="1" t="s">
        <v>700</v>
      </c>
    </row>
    <row r="682" spans="1:17" x14ac:dyDescent="0.25">
      <c r="A682" s="2" t="str">
        <f ca="1">IFERROR(__xludf.DUMMYFUNCTION("""COMPUTED_VALUE"""),"REG DE INTEGRA DO ARAGUAIA")</f>
        <v>REG DE INTEGRA DO ARAGUAIA</v>
      </c>
      <c r="B682" s="1" t="str">
        <f ca="1">IFERROR(__xludf.DUMMYFUNCTION("""COMPUTED_VALUE"""),"DRE CONCEICAO DO ARAGUAIA")</f>
        <v>DRE CONCEICAO DO ARAGUAIA</v>
      </c>
      <c r="C682" s="2" t="str">
        <f ca="1">IFERROR(__xludf.DUMMYFUNCTION("""COMPUTED_VALUE"""),"DRE - CONCEICAO DO ARAGUAIA")</f>
        <v>DRE - CONCEICAO DO ARAGUAIA</v>
      </c>
      <c r="D682" s="1"/>
      <c r="E682" s="2" t="str">
        <f ca="1">IFERROR(__xludf.DUMMYFUNCTION("""COMPUTED_VALUE"""),"DRE - CONCEICAO DO ARAGUAIA")</f>
        <v>DRE - CONCEICAO DO ARAGUAIA</v>
      </c>
      <c r="F682" s="1">
        <f ca="1">IFERROR(__xludf.DUMMYFUNCTION("""COMPUTED_VALUE"""),2)</f>
        <v>2</v>
      </c>
      <c r="G682" s="1"/>
      <c r="H682" s="1" t="str">
        <f ca="1">IFERROR(__xludf.DUMMYFUNCTION("""COMPUTED_VALUE"""),"15A URE - CONCEICAO DO ARAGUAIA")</f>
        <v>15A URE - CONCEICAO DO ARAGUAIA</v>
      </c>
      <c r="I682" s="1"/>
      <c r="J682" s="1" t="str">
        <f ca="1">IFERROR(__xludf.DUMMYFUNCTION("""COMPUTED_VALUE"""),"CONCEICAO DO ARAGUAIA")</f>
        <v>CONCEICAO DO ARAGUAIA</v>
      </c>
      <c r="K682" s="1">
        <f ca="1">IFERROR(__xludf.DUMMYFUNCTION("""COMPUTED_VALUE"""),15178021)</f>
        <v>15178021</v>
      </c>
      <c r="L682" s="2" t="str">
        <f ca="1">IFERROR(__xludf.DUMMYFUNCTION("""COMPUTED_VALUE"""),"001920912750001")</f>
        <v>001920912750001</v>
      </c>
      <c r="M682" s="2" t="str">
        <f ca="1">IFERROR(__xludf.DUMMYFUNCTION("""COMPUTED_VALUE"""),"1920912750001")</f>
        <v>1920912750001</v>
      </c>
      <c r="N682" s="1" t="str">
        <f ca="1">IFERROR(__xludf.DUMMYFUNCTION("""COMPUTED_VALUE"""),"ANEXO RURAL PROF ACY DE JESUS NEVES DE BARROS PEREIRA")</f>
        <v>ANEXO RURAL PROF ACY DE JESUS NEVES DE BARROS PEREIRA</v>
      </c>
      <c r="O682" s="1"/>
      <c r="P682" s="1"/>
      <c r="Q682" s="1" t="s">
        <v>700</v>
      </c>
    </row>
    <row r="683" spans="1:17" x14ac:dyDescent="0.25">
      <c r="A683" s="2" t="str">
        <f ca="1">IFERROR(__xludf.DUMMYFUNCTION("""COMPUTED_VALUE"""),"REG DE INTEGRA DO ARAGUAIA")</f>
        <v>REG DE INTEGRA DO ARAGUAIA</v>
      </c>
      <c r="B683" s="1" t="str">
        <f ca="1">IFERROR(__xludf.DUMMYFUNCTION("""COMPUTED_VALUE"""),"DRE CONCEICAO DO ARAGUAIA")</f>
        <v>DRE CONCEICAO DO ARAGUAIA</v>
      </c>
      <c r="C683" s="2" t="str">
        <f ca="1">IFERROR(__xludf.DUMMYFUNCTION("""COMPUTED_VALUE"""),"DRE - CONCEICAO DO ARAGUAIA")</f>
        <v>DRE - CONCEICAO DO ARAGUAIA</v>
      </c>
      <c r="D683" s="1"/>
      <c r="E683" s="2" t="str">
        <f ca="1">IFERROR(__xludf.DUMMYFUNCTION("""COMPUTED_VALUE"""),"DRE - CONCEICAO DO ARAGUAIA")</f>
        <v>DRE - CONCEICAO DO ARAGUAIA</v>
      </c>
      <c r="F683" s="1">
        <f ca="1">IFERROR(__xludf.DUMMYFUNCTION("""COMPUTED_VALUE"""),2)</f>
        <v>2</v>
      </c>
      <c r="G683" s="1" t="str">
        <f ca="1">IFERROR(__xludf.DUMMYFUNCTION("""COMPUTED_VALUE"""),"DRE CONCEICAO DO ARAGUAIA")</f>
        <v>DRE CONCEICAO DO ARAGUAIA</v>
      </c>
      <c r="H683" s="1" t="str">
        <f ca="1">IFERROR(__xludf.DUMMYFUNCTION("""COMPUTED_VALUE"""),"15A URE - CONCEICAO DO ARAGUAIA")</f>
        <v>15A URE - CONCEICAO DO ARAGUAIA</v>
      </c>
      <c r="I683" s="1"/>
      <c r="J683" s="1" t="str">
        <f ca="1">IFERROR(__xludf.DUMMYFUNCTION("""COMPUTED_VALUE"""),"CONCEICAO DO ARAGUAIA")</f>
        <v>CONCEICAO DO ARAGUAIA</v>
      </c>
      <c r="K683" s="1">
        <f ca="1">IFERROR(__xludf.DUMMYFUNCTION("""COMPUTED_VALUE"""),15134547)</f>
        <v>15134547</v>
      </c>
      <c r="L683" s="2" t="str">
        <f ca="1">IFERROR(__xludf.DUMMYFUNCTION("""COMPUTED_VALUE"""),"001920912770000")</f>
        <v>001920912770000</v>
      </c>
      <c r="M683" s="2" t="str">
        <f ca="1">IFERROR(__xludf.DUMMYFUNCTION("""COMPUTED_VALUE"""),"1920912770000")</f>
        <v>1920912770000</v>
      </c>
      <c r="N683" s="1" t="str">
        <f ca="1">IFERROR(__xludf.DUMMYFUNCTION("""COMPUTED_VALUE"""),"EEEF FREI GIL DE VILA NOVA")</f>
        <v>EEEF FREI GIL DE VILA NOVA</v>
      </c>
      <c r="O683" s="1"/>
      <c r="P683" s="1"/>
      <c r="Q683" s="1" t="s">
        <v>700</v>
      </c>
    </row>
    <row r="684" spans="1:17" x14ac:dyDescent="0.25">
      <c r="A684" s="2" t="str">
        <f ca="1">IFERROR(__xludf.DUMMYFUNCTION("""COMPUTED_VALUE"""),"REG DE INTEGRA DO ARAGUAIA")</f>
        <v>REG DE INTEGRA DO ARAGUAIA</v>
      </c>
      <c r="B684" s="1" t="str">
        <f ca="1">IFERROR(__xludf.DUMMYFUNCTION("""COMPUTED_VALUE"""),"DRE CONCEICAO DO ARAGUAIA")</f>
        <v>DRE CONCEICAO DO ARAGUAIA</v>
      </c>
      <c r="C684" s="2" t="str">
        <f ca="1">IFERROR(__xludf.DUMMYFUNCTION("""COMPUTED_VALUE"""),"DRE - CONCEICAO DO ARAGUAIA")</f>
        <v>DRE - CONCEICAO DO ARAGUAIA</v>
      </c>
      <c r="D684" s="1"/>
      <c r="E684" s="2" t="str">
        <f ca="1">IFERROR(__xludf.DUMMYFUNCTION("""COMPUTED_VALUE"""),"DRE - CONCEICAO DO ARAGUAIA")</f>
        <v>DRE - CONCEICAO DO ARAGUAIA</v>
      </c>
      <c r="F684" s="1">
        <f ca="1">IFERROR(__xludf.DUMMYFUNCTION("""COMPUTED_VALUE"""),2)</f>
        <v>2</v>
      </c>
      <c r="G684" s="1" t="str">
        <f ca="1">IFERROR(__xludf.DUMMYFUNCTION("""COMPUTED_VALUE"""),"DRE CONCEICAO DO ARAGUAIA")</f>
        <v>DRE CONCEICAO DO ARAGUAIA</v>
      </c>
      <c r="H684" s="1" t="str">
        <f ca="1">IFERROR(__xludf.DUMMYFUNCTION("""COMPUTED_VALUE"""),"15A URE - CONCEICAO DO ARAGUAIA")</f>
        <v>15A URE - CONCEICAO DO ARAGUAIA</v>
      </c>
      <c r="I684" s="1"/>
      <c r="J684" s="1" t="str">
        <f ca="1">IFERROR(__xludf.DUMMYFUNCTION("""COMPUTED_VALUE"""),"CONCEICAO DO ARAGUAIA")</f>
        <v>CONCEICAO DO ARAGUAIA</v>
      </c>
      <c r="K684" s="1">
        <f ca="1">IFERROR(__xludf.DUMMYFUNCTION("""COMPUTED_VALUE"""),15134571)</f>
        <v>15134571</v>
      </c>
      <c r="L684" s="2" t="str">
        <f ca="1">IFERROR(__xludf.DUMMYFUNCTION("""COMPUTED_VALUE"""),"001920912740000")</f>
        <v>001920912740000</v>
      </c>
      <c r="M684" s="2" t="str">
        <f ca="1">IFERROR(__xludf.DUMMYFUNCTION("""COMPUTED_VALUE"""),"1920912740000")</f>
        <v>1920912740000</v>
      </c>
      <c r="N684" s="1" t="str">
        <f ca="1">IFERROR(__xludf.DUMMYFUNCTION("""COMPUTED_VALUE"""),"EEEFM BRAULIA GURJAO")</f>
        <v>EEEFM BRAULIA GURJAO</v>
      </c>
      <c r="O684" s="1"/>
      <c r="P684" s="1"/>
      <c r="Q684" s="1" t="s">
        <v>700</v>
      </c>
    </row>
    <row r="685" spans="1:17" x14ac:dyDescent="0.25">
      <c r="A685" s="2" t="str">
        <f ca="1">IFERROR(__xludf.DUMMYFUNCTION("""COMPUTED_VALUE"""),"REG DE INTEGRA DO ARAGUAIA")</f>
        <v>REG DE INTEGRA DO ARAGUAIA</v>
      </c>
      <c r="B685" s="1" t="str">
        <f ca="1">IFERROR(__xludf.DUMMYFUNCTION("""COMPUTED_VALUE"""),"DRE CONCEICAO DO ARAGUAIA")</f>
        <v>DRE CONCEICAO DO ARAGUAIA</v>
      </c>
      <c r="C685" s="2" t="str">
        <f ca="1">IFERROR(__xludf.DUMMYFUNCTION("""COMPUTED_VALUE"""),"DRE - CONCEICAO DO ARAGUAIA")</f>
        <v>DRE - CONCEICAO DO ARAGUAIA</v>
      </c>
      <c r="D685" s="1"/>
      <c r="E685" s="2" t="str">
        <f ca="1">IFERROR(__xludf.DUMMYFUNCTION("""COMPUTED_VALUE"""),"DRE - CONCEICAO DO ARAGUAIA")</f>
        <v>DRE - CONCEICAO DO ARAGUAIA</v>
      </c>
      <c r="F685" s="1">
        <f ca="1">IFERROR(__xludf.DUMMYFUNCTION("""COMPUTED_VALUE"""),2)</f>
        <v>2</v>
      </c>
      <c r="G685" s="1" t="str">
        <f ca="1">IFERROR(__xludf.DUMMYFUNCTION("""COMPUTED_VALUE"""),"DRE CONCEICAO DO ARAGUAIA")</f>
        <v>DRE CONCEICAO DO ARAGUAIA</v>
      </c>
      <c r="H685" s="1" t="str">
        <f ca="1">IFERROR(__xludf.DUMMYFUNCTION("""COMPUTED_VALUE"""),"15A URE - CONCEICAO DO ARAGUAIA")</f>
        <v>15A URE - CONCEICAO DO ARAGUAIA</v>
      </c>
      <c r="I685" s="1"/>
      <c r="J685" s="1" t="str">
        <f ca="1">IFERROR(__xludf.DUMMYFUNCTION("""COMPUTED_VALUE"""),"CONCEICAO DO ARAGUAIA")</f>
        <v>CONCEICAO DO ARAGUAIA</v>
      </c>
      <c r="K685" s="1">
        <f ca="1">IFERROR(__xludf.DUMMYFUNCTION("""COMPUTED_VALUE"""),15134580)</f>
        <v>15134580</v>
      </c>
      <c r="L685" s="2" t="str">
        <f ca="1">IFERROR(__xludf.DUMMYFUNCTION("""COMPUTED_VALUE"""),"001920912750000")</f>
        <v>001920912750000</v>
      </c>
      <c r="M685" s="2" t="str">
        <f ca="1">IFERROR(__xludf.DUMMYFUNCTION("""COMPUTED_VALUE"""),"1920912750000")</f>
        <v>1920912750000</v>
      </c>
      <c r="N685" s="1" t="str">
        <f ca="1">IFERROR(__xludf.DUMMYFUNCTION("""COMPUTED_VALUE"""),"EEEFM PROF ACY DE JESUS NEVES DE BARROS PEREIRA")</f>
        <v>EEEFM PROF ACY DE JESUS NEVES DE BARROS PEREIRA</v>
      </c>
      <c r="O685" s="1"/>
      <c r="P685" s="1"/>
      <c r="Q685" s="1" t="s">
        <v>700</v>
      </c>
    </row>
    <row r="686" spans="1:17" x14ac:dyDescent="0.25">
      <c r="A686" s="2" t="str">
        <f ca="1">IFERROR(__xludf.DUMMYFUNCTION("""COMPUTED_VALUE"""),"REG DE INTEGRA DO ARAGUAIA")</f>
        <v>REG DE INTEGRA DO ARAGUAIA</v>
      </c>
      <c r="B686" s="1" t="str">
        <f ca="1">IFERROR(__xludf.DUMMYFUNCTION("""COMPUTED_VALUE"""),"DRE CONCEICAO DO ARAGUAIA")</f>
        <v>DRE CONCEICAO DO ARAGUAIA</v>
      </c>
      <c r="C686" s="2" t="str">
        <f ca="1">IFERROR(__xludf.DUMMYFUNCTION("""COMPUTED_VALUE"""),"DRE - CONCEICAO DO ARAGUAIA")</f>
        <v>DRE - CONCEICAO DO ARAGUAIA</v>
      </c>
      <c r="D686" s="1"/>
      <c r="E686" s="2" t="str">
        <f ca="1">IFERROR(__xludf.DUMMYFUNCTION("""COMPUTED_VALUE"""),"DRE - CONCEICAO DO ARAGUAIA")</f>
        <v>DRE - CONCEICAO DO ARAGUAIA</v>
      </c>
      <c r="F686" s="1">
        <f ca="1">IFERROR(__xludf.DUMMYFUNCTION("""COMPUTED_VALUE"""),2)</f>
        <v>2</v>
      </c>
      <c r="G686" s="1" t="str">
        <f ca="1">IFERROR(__xludf.DUMMYFUNCTION("""COMPUTED_VALUE"""),"DRE CONCEICAO DO ARAGUAIA")</f>
        <v>DRE CONCEICAO DO ARAGUAIA</v>
      </c>
      <c r="H686" s="1" t="str">
        <f ca="1">IFERROR(__xludf.DUMMYFUNCTION("""COMPUTED_VALUE"""),"15A URE - CONCEICAO DO ARAGUAIA")</f>
        <v>15A URE - CONCEICAO DO ARAGUAIA</v>
      </c>
      <c r="I686" s="1"/>
      <c r="J686" s="1" t="str">
        <f ca="1">IFERROR(__xludf.DUMMYFUNCTION("""COMPUTED_VALUE"""),"CONCEICAO DO ARAGUAIA")</f>
        <v>CONCEICAO DO ARAGUAIA</v>
      </c>
      <c r="K686" s="1">
        <f ca="1">IFERROR(__xludf.DUMMYFUNCTION("""COMPUTED_VALUE"""),15140760)</f>
        <v>15140760</v>
      </c>
      <c r="L686" s="2" t="str">
        <f ca="1">IFERROR(__xludf.DUMMYFUNCTION("""COMPUTED_VALUE"""),"001920929050000")</f>
        <v>001920929050000</v>
      </c>
      <c r="M686" s="2" t="str">
        <f ca="1">IFERROR(__xludf.DUMMYFUNCTION("""COMPUTED_VALUE"""),"1920929050000")</f>
        <v>1920929050000</v>
      </c>
      <c r="N686" s="1" t="str">
        <f ca="1">IFERROR(__xludf.DUMMYFUNCTION("""COMPUTED_VALUE"""),"EEEFM PROF DEOCLECIANO ALVES MOREIRA")</f>
        <v>EEEFM PROF DEOCLECIANO ALVES MOREIRA</v>
      </c>
      <c r="O686" s="1"/>
      <c r="P686" s="1"/>
      <c r="Q686" s="1" t="s">
        <v>700</v>
      </c>
    </row>
    <row r="687" spans="1:17" x14ac:dyDescent="0.25">
      <c r="A687" s="2" t="str">
        <f ca="1">IFERROR(__xludf.DUMMYFUNCTION("""COMPUTED_VALUE"""),"REG DE INTEGRA DO ARAGUAIA")</f>
        <v>REG DE INTEGRA DO ARAGUAIA</v>
      </c>
      <c r="B687" s="1" t="str">
        <f ca="1">IFERROR(__xludf.DUMMYFUNCTION("""COMPUTED_VALUE"""),"DRE CONCEICAO DO ARAGUAIA")</f>
        <v>DRE CONCEICAO DO ARAGUAIA</v>
      </c>
      <c r="C687" s="2" t="str">
        <f ca="1">IFERROR(__xludf.DUMMYFUNCTION("""COMPUTED_VALUE"""),"DRE - CONCEICAO DO ARAGUAIA")</f>
        <v>DRE - CONCEICAO DO ARAGUAIA</v>
      </c>
      <c r="D687" s="1"/>
      <c r="E687" s="2" t="str">
        <f ca="1">IFERROR(__xludf.DUMMYFUNCTION("""COMPUTED_VALUE"""),"DRE - CONCEICAO DO ARAGUAIA")</f>
        <v>DRE - CONCEICAO DO ARAGUAIA</v>
      </c>
      <c r="F687" s="1">
        <f ca="1">IFERROR(__xludf.DUMMYFUNCTION("""COMPUTED_VALUE"""),2)</f>
        <v>2</v>
      </c>
      <c r="G687" s="1" t="str">
        <f ca="1">IFERROR(__xludf.DUMMYFUNCTION("""COMPUTED_VALUE"""),"DRE CONCEICAO DO ARAGUAIA")</f>
        <v>DRE CONCEICAO DO ARAGUAIA</v>
      </c>
      <c r="H687" s="1" t="str">
        <f ca="1">IFERROR(__xludf.DUMMYFUNCTION("""COMPUTED_VALUE"""),"15A URE - CONCEICAO DO ARAGUAIA")</f>
        <v>15A URE - CONCEICAO DO ARAGUAIA</v>
      </c>
      <c r="I687" s="1"/>
      <c r="J687" s="1" t="str">
        <f ca="1">IFERROR(__xludf.DUMMYFUNCTION("""COMPUTED_VALUE"""),"CONCEICAO DO ARAGUAIA")</f>
        <v>CONCEICAO DO ARAGUAIA</v>
      </c>
      <c r="K687" s="1">
        <f ca="1">IFERROR(__xludf.DUMMYFUNCTION("""COMPUTED_VALUE"""),15134555)</f>
        <v>15134555</v>
      </c>
      <c r="L687" s="2" t="str">
        <f ca="1">IFERROR(__xludf.DUMMYFUNCTION("""COMPUTED_VALUE"""),"001920901600000")</f>
        <v>001920901600000</v>
      </c>
      <c r="M687" s="2" t="str">
        <f ca="1">IFERROR(__xludf.DUMMYFUNCTION("""COMPUTED_VALUE"""),"1920901600000")</f>
        <v>1920901600000</v>
      </c>
      <c r="N687" s="1" t="str">
        <f ca="1">IFERROR(__xludf.DUMMYFUNCTION("""COMPUTED_VALUE"""),"EEEFM PROF JOSE WILSON PEREIRA LEITE")</f>
        <v>EEEFM PROF JOSE WILSON PEREIRA LEITE</v>
      </c>
      <c r="O687" s="1"/>
      <c r="P687" s="1"/>
      <c r="Q687" s="1" t="s">
        <v>700</v>
      </c>
    </row>
    <row r="688" spans="1:17" x14ac:dyDescent="0.25">
      <c r="A688" s="2" t="str">
        <f ca="1">IFERROR(__xludf.DUMMYFUNCTION("""COMPUTED_VALUE"""),"REG DE INTEGRA DO ARAGUAIA")</f>
        <v>REG DE INTEGRA DO ARAGUAIA</v>
      </c>
      <c r="B688" s="1" t="str">
        <f ca="1">IFERROR(__xludf.DUMMYFUNCTION("""COMPUTED_VALUE"""),"DRE CONCEICAO DO ARAGUAIA")</f>
        <v>DRE CONCEICAO DO ARAGUAIA</v>
      </c>
      <c r="C688" s="2" t="str">
        <f ca="1">IFERROR(__xludf.DUMMYFUNCTION("""COMPUTED_VALUE"""),"DRE - CONCEICAO DO ARAGUAIA")</f>
        <v>DRE - CONCEICAO DO ARAGUAIA</v>
      </c>
      <c r="D688" s="1"/>
      <c r="E688" s="2" t="str">
        <f ca="1">IFERROR(__xludf.DUMMYFUNCTION("""COMPUTED_VALUE"""),"DRE - CONCEICAO DO ARAGUAIA")</f>
        <v>DRE - CONCEICAO DO ARAGUAIA</v>
      </c>
      <c r="F688" s="1"/>
      <c r="G688" s="1"/>
      <c r="H688" s="1" t="str">
        <f ca="1">IFERROR(__xludf.DUMMYFUNCTION("""COMPUTED_VALUE"""),"15A URE - CONCEICAO DO ARAGUAIA")</f>
        <v>15A URE - CONCEICAO DO ARAGUAIA</v>
      </c>
      <c r="I688" s="1"/>
      <c r="J688" s="1" t="str">
        <f ca="1">IFERROR(__xludf.DUMMYFUNCTION("""COMPUTED_VALUE"""),"CONCEICAO DO ARAGUAIA")</f>
        <v>CONCEICAO DO ARAGUAIA</v>
      </c>
      <c r="K688" s="1"/>
      <c r="L688" s="2" t="str">
        <f ca="1">IFERROR(__xludf.DUMMYFUNCTION("""COMPUTED_VALUE"""),"001921028000000")</f>
        <v>001921028000000</v>
      </c>
      <c r="M688" s="2" t="str">
        <f ca="1">IFERROR(__xludf.DUMMYFUNCTION("""COMPUTED_VALUE"""),"1921028000000")</f>
        <v>1921028000000</v>
      </c>
      <c r="N688" s="1" t="str">
        <f ca="1">IFERROR(__xludf.DUMMYFUNCTION("""COMPUTED_VALUE"""),"ESCOLA ESTADUAL RURAL DE CONCEICAO DO ARAGUAIA")</f>
        <v>ESCOLA ESTADUAL RURAL DE CONCEICAO DO ARAGUAIA</v>
      </c>
      <c r="O688" s="1"/>
      <c r="P688" s="1"/>
      <c r="Q688" s="1" t="s">
        <v>700</v>
      </c>
    </row>
    <row r="689" spans="1:17" x14ac:dyDescent="0.25">
      <c r="A689" s="2" t="str">
        <f ca="1">IFERROR(__xludf.DUMMYFUNCTION("""COMPUTED_VALUE"""),"REG DE INTEGRA DO ARAGUAIA")</f>
        <v>REG DE INTEGRA DO ARAGUAIA</v>
      </c>
      <c r="B689" s="1" t="str">
        <f ca="1">IFERROR(__xludf.DUMMYFUNCTION("""COMPUTED_VALUE"""),"DRE CONCEICAO DO ARAGUAIA")</f>
        <v>DRE CONCEICAO DO ARAGUAIA</v>
      </c>
      <c r="C689" s="2" t="str">
        <f ca="1">IFERROR(__xludf.DUMMYFUNCTION("""COMPUTED_VALUE"""),"DRE - CONCEICAO DO ARAGUAIA")</f>
        <v>DRE - CONCEICAO DO ARAGUAIA</v>
      </c>
      <c r="D689" s="1"/>
      <c r="E689" s="2" t="str">
        <f ca="1">IFERROR(__xludf.DUMMYFUNCTION("""COMPUTED_VALUE"""),"DRE - CONCEICAO DO ARAGUAIA")</f>
        <v>DRE - CONCEICAO DO ARAGUAIA</v>
      </c>
      <c r="F689" s="1">
        <f ca="1">IFERROR(__xludf.DUMMYFUNCTION("""COMPUTED_VALUE"""),2)</f>
        <v>2</v>
      </c>
      <c r="G689" s="1" t="str">
        <f ca="1">IFERROR(__xludf.DUMMYFUNCTION("""COMPUTED_VALUE"""),"DRE CONCEICAO DO ARAGUAIA")</f>
        <v>DRE CONCEICAO DO ARAGUAIA</v>
      </c>
      <c r="H689" s="1" t="str">
        <f ca="1">IFERROR(__xludf.DUMMYFUNCTION("""COMPUTED_VALUE"""),"15A URE - CONCEICAO DO ARAGUAIA")</f>
        <v>15A URE - CONCEICAO DO ARAGUAIA</v>
      </c>
      <c r="I689" s="1"/>
      <c r="J689" s="1" t="str">
        <f ca="1">IFERROR(__xludf.DUMMYFUNCTION("""COMPUTED_VALUE"""),"CUMARU DO NORTE")</f>
        <v>CUMARU DO NORTE</v>
      </c>
      <c r="K689" s="1">
        <f ca="1">IFERROR(__xludf.DUMMYFUNCTION("""COMPUTED_VALUE"""),15170551)</f>
        <v>15170551</v>
      </c>
      <c r="L689" s="2" t="str">
        <f ca="1">IFERROR(__xludf.DUMMYFUNCTION("""COMPUTED_VALUE"""),"001920937710001")</f>
        <v>001920937710001</v>
      </c>
      <c r="M689" s="2" t="str">
        <f ca="1">IFERROR(__xludf.DUMMYFUNCTION("""COMPUTED_VALUE"""),"1920937710001")</f>
        <v>1920937710001</v>
      </c>
      <c r="N689" s="1" t="str">
        <f ca="1">IFERROR(__xludf.DUMMYFUNCTION("""COMPUTED_VALUE"""),"ANEXO GOROTIRE DA EEEM JOAO PINTO PEREIRA")</f>
        <v>ANEXO GOROTIRE DA EEEM JOAO PINTO PEREIRA</v>
      </c>
      <c r="O689" s="1"/>
      <c r="P689" s="1"/>
      <c r="Q689" s="1" t="s">
        <v>700</v>
      </c>
    </row>
    <row r="690" spans="1:17" x14ac:dyDescent="0.25">
      <c r="A690" s="2" t="str">
        <f ca="1">IFERROR(__xludf.DUMMYFUNCTION("""COMPUTED_VALUE"""),"REG DE INTEGRA DO ARAGUAIA")</f>
        <v>REG DE INTEGRA DO ARAGUAIA</v>
      </c>
      <c r="B690" s="1" t="str">
        <f ca="1">IFERROR(__xludf.DUMMYFUNCTION("""COMPUTED_VALUE"""),"DRE CONCEICAO DO ARAGUAIA")</f>
        <v>DRE CONCEICAO DO ARAGUAIA</v>
      </c>
      <c r="C690" s="2" t="str">
        <f ca="1">IFERROR(__xludf.DUMMYFUNCTION("""COMPUTED_VALUE"""),"DRE - CONCEICAO DO ARAGUAIA")</f>
        <v>DRE - CONCEICAO DO ARAGUAIA</v>
      </c>
      <c r="D690" s="1"/>
      <c r="E690" s="2" t="str">
        <f ca="1">IFERROR(__xludf.DUMMYFUNCTION("""COMPUTED_VALUE"""),"DRE - CONCEICAO DO ARAGUAIA")</f>
        <v>DRE - CONCEICAO DO ARAGUAIA</v>
      </c>
      <c r="F690" s="1">
        <f ca="1">IFERROR(__xludf.DUMMYFUNCTION("""COMPUTED_VALUE"""),2)</f>
        <v>2</v>
      </c>
      <c r="G690" s="1"/>
      <c r="H690" s="1" t="str">
        <f ca="1">IFERROR(__xludf.DUMMYFUNCTION("""COMPUTED_VALUE"""),"15A URE - CONCEICAO DO ARAGUAIA")</f>
        <v>15A URE - CONCEICAO DO ARAGUAIA</v>
      </c>
      <c r="I690" s="1"/>
      <c r="J690" s="1" t="str">
        <f ca="1">IFERROR(__xludf.DUMMYFUNCTION("""COMPUTED_VALUE"""),"CUMARU DO NORTE")</f>
        <v>CUMARU DO NORTE</v>
      </c>
      <c r="K690" s="1">
        <f ca="1">IFERROR(__xludf.DUMMYFUNCTION("""COMPUTED_VALUE"""),15178048)</f>
        <v>15178048</v>
      </c>
      <c r="L690" s="2" t="str">
        <f ca="1">IFERROR(__xludf.DUMMYFUNCTION("""COMPUTED_VALUE"""),"001920937710003")</f>
        <v>001920937710003</v>
      </c>
      <c r="M690" s="2" t="str">
        <f ca="1">IFERROR(__xludf.DUMMYFUNCTION("""COMPUTED_VALUE"""),"1920937710003")</f>
        <v>1920937710003</v>
      </c>
      <c r="N690" s="1" t="str">
        <f ca="1">IFERROR(__xludf.DUMMYFUNCTION("""COMPUTED_VALUE"""),"ANEXO RURAL GOROTIRE")</f>
        <v>ANEXO RURAL GOROTIRE</v>
      </c>
      <c r="O690" s="1"/>
      <c r="P690" s="1"/>
      <c r="Q690" s="1" t="s">
        <v>700</v>
      </c>
    </row>
    <row r="691" spans="1:17" x14ac:dyDescent="0.25">
      <c r="A691" s="2" t="str">
        <f ca="1">IFERROR(__xludf.DUMMYFUNCTION("""COMPUTED_VALUE"""),"REG DE INTEGRA DO ARAGUAIA")</f>
        <v>REG DE INTEGRA DO ARAGUAIA</v>
      </c>
      <c r="B691" s="1" t="str">
        <f ca="1">IFERROR(__xludf.DUMMYFUNCTION("""COMPUTED_VALUE"""),"DRE CONCEICAO DO ARAGUAIA")</f>
        <v>DRE CONCEICAO DO ARAGUAIA</v>
      </c>
      <c r="C691" s="2" t="str">
        <f ca="1">IFERROR(__xludf.DUMMYFUNCTION("""COMPUTED_VALUE"""),"DRE - CONCEICAO DO ARAGUAIA")</f>
        <v>DRE - CONCEICAO DO ARAGUAIA</v>
      </c>
      <c r="D691" s="1"/>
      <c r="E691" s="2" t="str">
        <f ca="1">IFERROR(__xludf.DUMMYFUNCTION("""COMPUTED_VALUE"""),"DRE - CONCEICAO DO ARAGUAIA")</f>
        <v>DRE - CONCEICAO DO ARAGUAIA</v>
      </c>
      <c r="F691" s="1">
        <f ca="1">IFERROR(__xludf.DUMMYFUNCTION("""COMPUTED_VALUE"""),2)</f>
        <v>2</v>
      </c>
      <c r="G691" s="1" t="str">
        <f ca="1">IFERROR(__xludf.DUMMYFUNCTION("""COMPUTED_VALUE"""),"DRE CONCEICAO DO ARAGUAIA")</f>
        <v>DRE CONCEICAO DO ARAGUAIA</v>
      </c>
      <c r="H691" s="1" t="str">
        <f ca="1">IFERROR(__xludf.DUMMYFUNCTION("""COMPUTED_VALUE"""),"15A URE - CONCEICAO DO ARAGUAIA")</f>
        <v>15A URE - CONCEICAO DO ARAGUAIA</v>
      </c>
      <c r="I691" s="1"/>
      <c r="J691" s="1" t="str">
        <f ca="1">IFERROR(__xludf.DUMMYFUNCTION("""COMPUTED_VALUE"""),"CUMARU DO NORTE")</f>
        <v>CUMARU DO NORTE</v>
      </c>
      <c r="K691" s="1">
        <f ca="1">IFERROR(__xludf.DUMMYFUNCTION("""COMPUTED_VALUE"""),15161439)</f>
        <v>15161439</v>
      </c>
      <c r="L691" s="2" t="str">
        <f ca="1">IFERROR(__xludf.DUMMYFUNCTION("""COMPUTED_VALUE"""),"001920937710002")</f>
        <v>001920937710002</v>
      </c>
      <c r="M691" s="2" t="str">
        <f ca="1">IFERROR(__xludf.DUMMYFUNCTION("""COMPUTED_VALUE"""),"1920937710002")</f>
        <v>1920937710002</v>
      </c>
      <c r="N691" s="1" t="str">
        <f ca="1">IFERROR(__xludf.DUMMYFUNCTION("""COMPUTED_VALUE"""),"ANEXO VILA ESTRELA DO PARA")</f>
        <v>ANEXO VILA ESTRELA DO PARA</v>
      </c>
      <c r="O691" s="1"/>
      <c r="P691" s="1"/>
      <c r="Q691" s="1" t="s">
        <v>700</v>
      </c>
    </row>
    <row r="692" spans="1:17" x14ac:dyDescent="0.25">
      <c r="A692" s="2" t="str">
        <f ca="1">IFERROR(__xludf.DUMMYFUNCTION("""COMPUTED_VALUE"""),"REG DE INTEGRA DO ARAGUAIA")</f>
        <v>REG DE INTEGRA DO ARAGUAIA</v>
      </c>
      <c r="B692" s="1" t="str">
        <f ca="1">IFERROR(__xludf.DUMMYFUNCTION("""COMPUTED_VALUE"""),"DRE CONCEICAO DO ARAGUAIA")</f>
        <v>DRE CONCEICAO DO ARAGUAIA</v>
      </c>
      <c r="C692" s="2" t="str">
        <f ca="1">IFERROR(__xludf.DUMMYFUNCTION("""COMPUTED_VALUE"""),"DRE - CONCEICAO DO ARAGUAIA")</f>
        <v>DRE - CONCEICAO DO ARAGUAIA</v>
      </c>
      <c r="D692" s="1"/>
      <c r="E692" s="2" t="str">
        <f ca="1">IFERROR(__xludf.DUMMYFUNCTION("""COMPUTED_VALUE"""),"DRE - CONCEICAO DO ARAGUAIA")</f>
        <v>DRE - CONCEICAO DO ARAGUAIA</v>
      </c>
      <c r="F692" s="1">
        <f ca="1">IFERROR(__xludf.DUMMYFUNCTION("""COMPUTED_VALUE"""),2)</f>
        <v>2</v>
      </c>
      <c r="G692" s="1" t="str">
        <f ca="1">IFERROR(__xludf.DUMMYFUNCTION("""COMPUTED_VALUE"""),"DRE CONCEICAO DO ARAGUAIA")</f>
        <v>DRE CONCEICAO DO ARAGUAIA</v>
      </c>
      <c r="H692" s="1" t="str">
        <f ca="1">IFERROR(__xludf.DUMMYFUNCTION("""COMPUTED_VALUE"""),"15A URE - CONCEICAO DO ARAGUAIA")</f>
        <v>15A URE - CONCEICAO DO ARAGUAIA</v>
      </c>
      <c r="I692" s="1"/>
      <c r="J692" s="1" t="str">
        <f ca="1">IFERROR(__xludf.DUMMYFUNCTION("""COMPUTED_VALUE"""),"CUMARU DO NORTE")</f>
        <v>CUMARU DO NORTE</v>
      </c>
      <c r="K692" s="1">
        <f ca="1">IFERROR(__xludf.DUMMYFUNCTION("""COMPUTED_VALUE"""),15161439)</f>
        <v>15161439</v>
      </c>
      <c r="L692" s="2" t="str">
        <f ca="1">IFERROR(__xludf.DUMMYFUNCTION("""COMPUTED_VALUE"""),"001920937710000")</f>
        <v>001920937710000</v>
      </c>
      <c r="M692" s="2" t="str">
        <f ca="1">IFERROR(__xludf.DUMMYFUNCTION("""COMPUTED_VALUE"""),"1920937710000")</f>
        <v>1920937710000</v>
      </c>
      <c r="N692" s="1" t="str">
        <f ca="1">IFERROR(__xludf.DUMMYFUNCTION("""COMPUTED_VALUE"""),"EEEM JOAO PINTO PEREIRA")</f>
        <v>EEEM JOAO PINTO PEREIRA</v>
      </c>
      <c r="O692" s="1"/>
      <c r="P692" s="1"/>
      <c r="Q692" s="1" t="s">
        <v>700</v>
      </c>
    </row>
    <row r="693" spans="1:17" x14ac:dyDescent="0.25">
      <c r="A693" s="2" t="str">
        <f ca="1">IFERROR(__xludf.DUMMYFUNCTION("""COMPUTED_VALUE"""),"REG DE INTEGRA DO ARAGUAIA")</f>
        <v>REG DE INTEGRA DO ARAGUAIA</v>
      </c>
      <c r="B693" s="1" t="str">
        <f ca="1">IFERROR(__xludf.DUMMYFUNCTION("""COMPUTED_VALUE"""),"DRE CONCEICAO DO ARAGUAIA")</f>
        <v>DRE CONCEICAO DO ARAGUAIA</v>
      </c>
      <c r="C693" s="2" t="str">
        <f ca="1">IFERROR(__xludf.DUMMYFUNCTION("""COMPUTED_VALUE"""),"DRE - CONCEICAO DO ARAGUAIA")</f>
        <v>DRE - CONCEICAO DO ARAGUAIA</v>
      </c>
      <c r="D693" s="1"/>
      <c r="E693" s="2" t="str">
        <f ca="1">IFERROR(__xludf.DUMMYFUNCTION("""COMPUTED_VALUE"""),"DRE - CONCEICAO DO ARAGUAIA")</f>
        <v>DRE - CONCEICAO DO ARAGUAIA</v>
      </c>
      <c r="F693" s="1"/>
      <c r="G693" s="1"/>
      <c r="H693" s="1" t="str">
        <f ca="1">IFERROR(__xludf.DUMMYFUNCTION("""COMPUTED_VALUE"""),"15A URE - CONCEICAO DO ARAGUAIA")</f>
        <v>15A URE - CONCEICAO DO ARAGUAIA</v>
      </c>
      <c r="I693" s="1"/>
      <c r="J693" s="1" t="str">
        <f ca="1">IFERROR(__xludf.DUMMYFUNCTION("""COMPUTED_VALUE"""),"CUMARU DO NORTE")</f>
        <v>CUMARU DO NORTE</v>
      </c>
      <c r="K693" s="1"/>
      <c r="L693" s="2" t="str">
        <f ca="1">IFERROR(__xludf.DUMMYFUNCTION("""COMPUTED_VALUE"""),"001921029000000")</f>
        <v>001921029000000</v>
      </c>
      <c r="M693" s="2" t="str">
        <f ca="1">IFERROR(__xludf.DUMMYFUNCTION("""COMPUTED_VALUE"""),"1921029000000")</f>
        <v>1921029000000</v>
      </c>
      <c r="N693" s="1" t="str">
        <f ca="1">IFERROR(__xludf.DUMMYFUNCTION("""COMPUTED_VALUE"""),"ESCOLA ESTADUAL RURAL DE CUMARU DO NORTE")</f>
        <v>ESCOLA ESTADUAL RURAL DE CUMARU DO NORTE</v>
      </c>
      <c r="O693" s="1"/>
      <c r="P693" s="1"/>
      <c r="Q693" s="1" t="s">
        <v>700</v>
      </c>
    </row>
    <row r="694" spans="1:17" x14ac:dyDescent="0.25">
      <c r="A694" s="2" t="str">
        <f ca="1">IFERROR(__xludf.DUMMYFUNCTION("""COMPUTED_VALUE"""),"REG DE INTEGRA DO ARAGUAIA")</f>
        <v>REG DE INTEGRA DO ARAGUAIA</v>
      </c>
      <c r="B694" s="1" t="str">
        <f ca="1">IFERROR(__xludf.DUMMYFUNCTION("""COMPUTED_VALUE"""),"DRE CONCEICAO DO ARAGUAIA")</f>
        <v>DRE CONCEICAO DO ARAGUAIA</v>
      </c>
      <c r="C694" s="2" t="str">
        <f ca="1">IFERROR(__xludf.DUMMYFUNCTION("""COMPUTED_VALUE"""),"DRE - CONCEICAO DO ARAGUAIA")</f>
        <v>DRE - CONCEICAO DO ARAGUAIA</v>
      </c>
      <c r="D694" s="1"/>
      <c r="E694" s="2" t="str">
        <f ca="1">IFERROR(__xludf.DUMMYFUNCTION("""COMPUTED_VALUE"""),"DRE - CONCEICAO DO ARAGUAIA")</f>
        <v>DRE - CONCEICAO DO ARAGUAIA</v>
      </c>
      <c r="F694" s="1">
        <f ca="1">IFERROR(__xludf.DUMMYFUNCTION("""COMPUTED_VALUE"""),2)</f>
        <v>2</v>
      </c>
      <c r="G694" s="1"/>
      <c r="H694" s="1" t="str">
        <f ca="1">IFERROR(__xludf.DUMMYFUNCTION("""COMPUTED_VALUE"""),"15A URE - CONCEICAO DO ARAGUAIA")</f>
        <v>15A URE - CONCEICAO DO ARAGUAIA</v>
      </c>
      <c r="I694" s="1"/>
      <c r="J694" s="1" t="str">
        <f ca="1">IFERROR(__xludf.DUMMYFUNCTION("""COMPUTED_VALUE"""),"FLORESTA DO ARAGUAIA")</f>
        <v>FLORESTA DO ARAGUAIA</v>
      </c>
      <c r="K694" s="1">
        <f ca="1">IFERROR(__xludf.DUMMYFUNCTION("""COMPUTED_VALUE"""),15178269)</f>
        <v>15178269</v>
      </c>
      <c r="L694" s="2" t="str">
        <f ca="1">IFERROR(__xludf.DUMMYFUNCTION("""COMPUTED_VALUE"""),"001920928790006")</f>
        <v>001920928790006</v>
      </c>
      <c r="M694" s="2" t="str">
        <f ca="1">IFERROR(__xludf.DUMMYFUNCTION("""COMPUTED_VALUE"""),"1920928790006")</f>
        <v>1920928790006</v>
      </c>
      <c r="N694" s="1" t="str">
        <f ca="1">IFERROR(__xludf.DUMMYFUNCTION("""COMPUTED_VALUE"""),"ANEXO RURAL MONSENHOR AUGUSTO DIAS BRITO")</f>
        <v>ANEXO RURAL MONSENHOR AUGUSTO DIAS BRITO</v>
      </c>
      <c r="O694" s="1"/>
      <c r="P694" s="1"/>
      <c r="Q694" s="1" t="s">
        <v>700</v>
      </c>
    </row>
    <row r="695" spans="1:17" x14ac:dyDescent="0.25">
      <c r="A695" s="2" t="str">
        <f ca="1">IFERROR(__xludf.DUMMYFUNCTION("""COMPUTED_VALUE"""),"REG DE INTEGRA DO ARAGUAIA")</f>
        <v>REG DE INTEGRA DO ARAGUAIA</v>
      </c>
      <c r="B695" s="1" t="str">
        <f ca="1">IFERROR(__xludf.DUMMYFUNCTION("""COMPUTED_VALUE"""),"DRE CONCEICAO DO ARAGUAIA")</f>
        <v>DRE CONCEICAO DO ARAGUAIA</v>
      </c>
      <c r="C695" s="2" t="str">
        <f ca="1">IFERROR(__xludf.DUMMYFUNCTION("""COMPUTED_VALUE"""),"DRE - CONCEICAO DO ARAGUAIA")</f>
        <v>DRE - CONCEICAO DO ARAGUAIA</v>
      </c>
      <c r="D695" s="1"/>
      <c r="E695" s="2" t="str">
        <f ca="1">IFERROR(__xludf.DUMMYFUNCTION("""COMPUTED_VALUE"""),"DRE - CONCEICAO DO ARAGUAIA")</f>
        <v>DRE - CONCEICAO DO ARAGUAIA</v>
      </c>
      <c r="F695" s="1">
        <f ca="1">IFERROR(__xludf.DUMMYFUNCTION("""COMPUTED_VALUE"""),2)</f>
        <v>2</v>
      </c>
      <c r="G695" s="1" t="str">
        <f ca="1">IFERROR(__xludf.DUMMYFUNCTION("""COMPUTED_VALUE"""),"DRE CONCEICAO DO ARAGUAIA")</f>
        <v>DRE CONCEICAO DO ARAGUAIA</v>
      </c>
      <c r="H695" s="1" t="str">
        <f ca="1">IFERROR(__xludf.DUMMYFUNCTION("""COMPUTED_VALUE"""),"15A URE - CONCEICAO DO ARAGUAIA")</f>
        <v>15A URE - CONCEICAO DO ARAGUAIA</v>
      </c>
      <c r="I695" s="1"/>
      <c r="J695" s="1" t="str">
        <f ca="1">IFERROR(__xludf.DUMMYFUNCTION("""COMPUTED_VALUE"""),"FLORESTA DO ARAGUAIA")</f>
        <v>FLORESTA DO ARAGUAIA</v>
      </c>
      <c r="K695" s="1">
        <f ca="1">IFERROR(__xludf.DUMMYFUNCTION("""COMPUTED_VALUE"""),15170624)</f>
        <v>15170624</v>
      </c>
      <c r="L695" s="2" t="str">
        <f ca="1">IFERROR(__xludf.DUMMYFUNCTION("""COMPUTED_VALUE"""),"001920928790005")</f>
        <v>001920928790005</v>
      </c>
      <c r="M695" s="2" t="str">
        <f ca="1">IFERROR(__xludf.DUMMYFUNCTION("""COMPUTED_VALUE"""),"1920928790005")</f>
        <v>1920928790005</v>
      </c>
      <c r="N695" s="1" t="str">
        <f ca="1">IFERROR(__xludf.DUMMYFUNCTION("""COMPUTED_VALUE"""),"EEEM MONSENHOR AUGUSTO DIAS BRITO ANEXO V")</f>
        <v>EEEM MONSENHOR AUGUSTO DIAS BRITO ANEXO V</v>
      </c>
      <c r="O695" s="1"/>
      <c r="P695" s="1"/>
      <c r="Q695" s="1" t="s">
        <v>700</v>
      </c>
    </row>
    <row r="696" spans="1:17" x14ac:dyDescent="0.25">
      <c r="A696" s="2" t="str">
        <f ca="1">IFERROR(__xludf.DUMMYFUNCTION("""COMPUTED_VALUE"""),"REG DE INTEGRA DO ARAGUAIA")</f>
        <v>REG DE INTEGRA DO ARAGUAIA</v>
      </c>
      <c r="B696" s="1" t="str">
        <f ca="1">IFERROR(__xludf.DUMMYFUNCTION("""COMPUTED_VALUE"""),"DRE CONCEICAO DO ARAGUAIA")</f>
        <v>DRE CONCEICAO DO ARAGUAIA</v>
      </c>
      <c r="C696" s="2" t="str">
        <f ca="1">IFERROR(__xludf.DUMMYFUNCTION("""COMPUTED_VALUE"""),"DRE - CONCEICAO DO ARAGUAIA")</f>
        <v>DRE - CONCEICAO DO ARAGUAIA</v>
      </c>
      <c r="D696" s="1"/>
      <c r="E696" s="2" t="str">
        <f ca="1">IFERROR(__xludf.DUMMYFUNCTION("""COMPUTED_VALUE"""),"DRE - CONCEICAO DO ARAGUAIA")</f>
        <v>DRE - CONCEICAO DO ARAGUAIA</v>
      </c>
      <c r="F696" s="1">
        <f ca="1">IFERROR(__xludf.DUMMYFUNCTION("""COMPUTED_VALUE"""),2)</f>
        <v>2</v>
      </c>
      <c r="G696" s="1" t="str">
        <f ca="1">IFERROR(__xludf.DUMMYFUNCTION("""COMPUTED_VALUE"""),"DRE CONCEICAO DO ARAGUAIA")</f>
        <v>DRE CONCEICAO DO ARAGUAIA</v>
      </c>
      <c r="H696" s="1" t="str">
        <f ca="1">IFERROR(__xludf.DUMMYFUNCTION("""COMPUTED_VALUE"""),"15A URE - CONCEICAO DO ARAGUAIA")</f>
        <v>15A URE - CONCEICAO DO ARAGUAIA</v>
      </c>
      <c r="I696" s="1"/>
      <c r="J696" s="1" t="str">
        <f ca="1">IFERROR(__xludf.DUMMYFUNCTION("""COMPUTED_VALUE"""),"FLORESTA DO ARAGUAIA")</f>
        <v>FLORESTA DO ARAGUAIA</v>
      </c>
      <c r="K696" s="1">
        <f ca="1">IFERROR(__xludf.DUMMYFUNCTION("""COMPUTED_VALUE"""),15134598)</f>
        <v>15134598</v>
      </c>
      <c r="L696" s="2" t="str">
        <f ca="1">IFERROR(__xludf.DUMMYFUNCTION("""COMPUTED_VALUE"""),"001920928790000")</f>
        <v>001920928790000</v>
      </c>
      <c r="M696" s="2" t="str">
        <f ca="1">IFERROR(__xludf.DUMMYFUNCTION("""COMPUTED_VALUE"""),"1920928790000")</f>
        <v>1920928790000</v>
      </c>
      <c r="N696" s="1" t="str">
        <f ca="1">IFERROR(__xludf.DUMMYFUNCTION("""COMPUTED_VALUE"""),"EEEM MONSENHOR AUGUSTO DIAS DE BRITO")</f>
        <v>EEEM MONSENHOR AUGUSTO DIAS DE BRITO</v>
      </c>
      <c r="O696" s="1"/>
      <c r="P696" s="1"/>
      <c r="Q696" s="1" t="s">
        <v>700</v>
      </c>
    </row>
    <row r="697" spans="1:17" x14ac:dyDescent="0.25">
      <c r="A697" s="2" t="str">
        <f ca="1">IFERROR(__xludf.DUMMYFUNCTION("""COMPUTED_VALUE"""),"REG DE INTEGRA DO ARAGUAIA")</f>
        <v>REG DE INTEGRA DO ARAGUAIA</v>
      </c>
      <c r="B697" s="1" t="str">
        <f ca="1">IFERROR(__xludf.DUMMYFUNCTION("""COMPUTED_VALUE"""),"DRE CONCEICAO DO ARAGUAIA")</f>
        <v>DRE CONCEICAO DO ARAGUAIA</v>
      </c>
      <c r="C697" s="2" t="str">
        <f ca="1">IFERROR(__xludf.DUMMYFUNCTION("""COMPUTED_VALUE"""),"DRE - CONCEICAO DO ARAGUAIA")</f>
        <v>DRE - CONCEICAO DO ARAGUAIA</v>
      </c>
      <c r="D697" s="1"/>
      <c r="E697" s="2" t="str">
        <f ca="1">IFERROR(__xludf.DUMMYFUNCTION("""COMPUTED_VALUE"""),"DRE - CONCEICAO DO ARAGUAIA")</f>
        <v>DRE - CONCEICAO DO ARAGUAIA</v>
      </c>
      <c r="F697" s="1"/>
      <c r="G697" s="1"/>
      <c r="H697" s="1" t="str">
        <f ca="1">IFERROR(__xludf.DUMMYFUNCTION("""COMPUTED_VALUE"""),"15A URE - CONCEICAO DO ARAGUAIA")</f>
        <v>15A URE - CONCEICAO DO ARAGUAIA</v>
      </c>
      <c r="I697" s="1"/>
      <c r="J697" s="1" t="str">
        <f ca="1">IFERROR(__xludf.DUMMYFUNCTION("""COMPUTED_VALUE"""),"FLORESTA DO ARAGUAIA")</f>
        <v>FLORESTA DO ARAGUAIA</v>
      </c>
      <c r="K697" s="1"/>
      <c r="L697" s="2" t="str">
        <f ca="1">IFERROR(__xludf.DUMMYFUNCTION("""COMPUTED_VALUE"""),"001921030000000")</f>
        <v>001921030000000</v>
      </c>
      <c r="M697" s="2" t="str">
        <f ca="1">IFERROR(__xludf.DUMMYFUNCTION("""COMPUTED_VALUE"""),"1921030000000")</f>
        <v>1921030000000</v>
      </c>
      <c r="N697" s="1" t="str">
        <f ca="1">IFERROR(__xludf.DUMMYFUNCTION("""COMPUTED_VALUE"""),"ESCOLA ESTADUAL RURAL DE FLORESTA DO ARAGUAIA")</f>
        <v>ESCOLA ESTADUAL RURAL DE FLORESTA DO ARAGUAIA</v>
      </c>
      <c r="O697" s="1"/>
      <c r="P697" s="1"/>
      <c r="Q697" s="1" t="s">
        <v>700</v>
      </c>
    </row>
    <row r="698" spans="1:17" x14ac:dyDescent="0.25">
      <c r="A698" s="2" t="str">
        <f ca="1">IFERROR(__xludf.DUMMYFUNCTION("""COMPUTED_VALUE"""),"REG DE INTEGRA DO ARAGUAIA")</f>
        <v>REG DE INTEGRA DO ARAGUAIA</v>
      </c>
      <c r="B698" s="1" t="str">
        <f ca="1">IFERROR(__xludf.DUMMYFUNCTION("""COMPUTED_VALUE"""),"DRE CONCEICAO DO ARAGUAIA")</f>
        <v>DRE CONCEICAO DO ARAGUAIA</v>
      </c>
      <c r="C698" s="2" t="str">
        <f ca="1">IFERROR(__xludf.DUMMYFUNCTION("""COMPUTED_VALUE"""),"DRE - CONCEICAO DO ARAGUAIA")</f>
        <v>DRE - CONCEICAO DO ARAGUAIA</v>
      </c>
      <c r="D698" s="1"/>
      <c r="E698" s="2" t="str">
        <f ca="1">IFERROR(__xludf.DUMMYFUNCTION("""COMPUTED_VALUE"""),"DRE - CONCEICAO DO ARAGUAIA")</f>
        <v>DRE - CONCEICAO DO ARAGUAIA</v>
      </c>
      <c r="F698" s="1">
        <f ca="1">IFERROR(__xludf.DUMMYFUNCTION("""COMPUTED_VALUE"""),2)</f>
        <v>2</v>
      </c>
      <c r="G698" s="1" t="str">
        <f ca="1">IFERROR(__xludf.DUMMYFUNCTION("""COMPUTED_VALUE"""),"DRE CONCEICAO DO ARAGUAIA")</f>
        <v>DRE CONCEICAO DO ARAGUAIA</v>
      </c>
      <c r="H698" s="1" t="str">
        <f ca="1">IFERROR(__xludf.DUMMYFUNCTION("""COMPUTED_VALUE"""),"15A URE - CONCEICAO DO ARAGUAIA")</f>
        <v>15A URE - CONCEICAO DO ARAGUAIA</v>
      </c>
      <c r="I698" s="1"/>
      <c r="J698" s="1" t="str">
        <f ca="1">IFERROR(__xludf.DUMMYFUNCTION("""COMPUTED_VALUE"""),"PAU DARCO")</f>
        <v>PAU DARCO</v>
      </c>
      <c r="K698" s="1">
        <f ca="1">IFERROR(__xludf.DUMMYFUNCTION("""COMPUTED_VALUE"""),15131572)</f>
        <v>15131572</v>
      </c>
      <c r="L698" s="2" t="str">
        <f ca="1">IFERROR(__xludf.DUMMYFUNCTION("""COMPUTED_VALUE"""),"001920936610000")</f>
        <v>001920936610000</v>
      </c>
      <c r="M698" s="2" t="str">
        <f ca="1">IFERROR(__xludf.DUMMYFUNCTION("""COMPUTED_VALUE"""),"1920936610000")</f>
        <v>1920936610000</v>
      </c>
      <c r="N698" s="1" t="str">
        <f ca="1">IFERROR(__xludf.DUMMYFUNCTION("""COMPUTED_VALUE"""),"EEEM PAULO HANNEMANN")</f>
        <v>EEEM PAULO HANNEMANN</v>
      </c>
      <c r="O698" s="1"/>
      <c r="P698" s="1"/>
      <c r="Q698" s="1" t="s">
        <v>700</v>
      </c>
    </row>
    <row r="699" spans="1:17" x14ac:dyDescent="0.25">
      <c r="A699" s="2" t="str">
        <f ca="1">IFERROR(__xludf.DUMMYFUNCTION("""COMPUTED_VALUE"""),"REG DE INTEGRA DO ARAGUAIA")</f>
        <v>REG DE INTEGRA DO ARAGUAIA</v>
      </c>
      <c r="B699" s="1" t="str">
        <f ca="1">IFERROR(__xludf.DUMMYFUNCTION("""COMPUTED_VALUE"""),"DRE CONCEICAO DO ARAGUAIA")</f>
        <v>DRE CONCEICAO DO ARAGUAIA</v>
      </c>
      <c r="C699" s="2" t="str">
        <f ca="1">IFERROR(__xludf.DUMMYFUNCTION("""COMPUTED_VALUE"""),"DRE - CONCEICAO DO ARAGUAIA")</f>
        <v>DRE - CONCEICAO DO ARAGUAIA</v>
      </c>
      <c r="D699" s="1"/>
      <c r="E699" s="2" t="str">
        <f ca="1">IFERROR(__xludf.DUMMYFUNCTION("""COMPUTED_VALUE"""),"DRE - CONCEICAO DO ARAGUAIA")</f>
        <v>DRE - CONCEICAO DO ARAGUAIA</v>
      </c>
      <c r="F699" s="1">
        <f ca="1">IFERROR(__xludf.DUMMYFUNCTION("""COMPUTED_VALUE"""),2)</f>
        <v>2</v>
      </c>
      <c r="G699" s="1"/>
      <c r="H699" s="1" t="str">
        <f ca="1">IFERROR(__xludf.DUMMYFUNCTION("""COMPUTED_VALUE"""),"15A URE - CONCEICAO DO ARAGUAIA")</f>
        <v>15A URE - CONCEICAO DO ARAGUAIA</v>
      </c>
      <c r="I699" s="1"/>
      <c r="J699" s="1" t="str">
        <f ca="1">IFERROR(__xludf.DUMMYFUNCTION("""COMPUTED_VALUE"""),"REDENCAO")</f>
        <v>REDENCAO</v>
      </c>
      <c r="K699" s="1">
        <f ca="1">IFERROR(__xludf.DUMMYFUNCTION("""COMPUTED_VALUE"""),15178072)</f>
        <v>15178072</v>
      </c>
      <c r="L699" s="2" t="str">
        <f ca="1">IFERROR(__xludf.DUMMYFUNCTION("""COMPUTED_VALUE"""),"001920912780009")</f>
        <v>001920912780009</v>
      </c>
      <c r="M699" s="2" t="str">
        <f ca="1">IFERROR(__xludf.DUMMYFUNCTION("""COMPUTED_VALUE"""),"1920912780009")</f>
        <v>1920912780009</v>
      </c>
      <c r="N699" s="1" t="str">
        <f ca="1">IFERROR(__xludf.DUMMYFUNCTION("""COMPUTED_VALUE"""),"ANEXO RURAL ENG PALMA MUNIZ")</f>
        <v>ANEXO RURAL ENG PALMA MUNIZ</v>
      </c>
      <c r="O699" s="1"/>
      <c r="P699" s="1"/>
      <c r="Q699" s="1" t="s">
        <v>700</v>
      </c>
    </row>
    <row r="700" spans="1:17" x14ac:dyDescent="0.25">
      <c r="A700" s="2" t="str">
        <f ca="1">IFERROR(__xludf.DUMMYFUNCTION("""COMPUTED_VALUE"""),"REG DE INTEGRA DO ARAGUAIA")</f>
        <v>REG DE INTEGRA DO ARAGUAIA</v>
      </c>
      <c r="B700" s="1" t="str">
        <f ca="1">IFERROR(__xludf.DUMMYFUNCTION("""COMPUTED_VALUE"""),"DRE CONCEICAO DO ARAGUAIA")</f>
        <v>DRE CONCEICAO DO ARAGUAIA</v>
      </c>
      <c r="C700" s="2" t="str">
        <f ca="1">IFERROR(__xludf.DUMMYFUNCTION("""COMPUTED_VALUE"""),"DRE - CONCEICAO DO ARAGUAIA")</f>
        <v>DRE - CONCEICAO DO ARAGUAIA</v>
      </c>
      <c r="D700" s="1"/>
      <c r="E700" s="2" t="str">
        <f ca="1">IFERROR(__xludf.DUMMYFUNCTION("""COMPUTED_VALUE"""),"DRE - CONCEICAO DO ARAGUAIA")</f>
        <v>DRE - CONCEICAO DO ARAGUAIA</v>
      </c>
      <c r="F700" s="1">
        <f ca="1">IFERROR(__xludf.DUMMYFUNCTION("""COMPUTED_VALUE"""),2)</f>
        <v>2</v>
      </c>
      <c r="G700" s="1" t="str">
        <f ca="1">IFERROR(__xludf.DUMMYFUNCTION("""COMPUTED_VALUE"""),"DRE CONCEICAO DO ARAGUAIA")</f>
        <v>DRE CONCEICAO DO ARAGUAIA</v>
      </c>
      <c r="H700" s="1" t="str">
        <f ca="1">IFERROR(__xludf.DUMMYFUNCTION("""COMPUTED_VALUE"""),"15A URE - CONCEICAO DO ARAGUAIA")</f>
        <v>15A URE - CONCEICAO DO ARAGUAIA</v>
      </c>
      <c r="I700" s="1"/>
      <c r="J700" s="1" t="str">
        <f ca="1">IFERROR(__xludf.DUMMYFUNCTION("""COMPUTED_VALUE"""),"REDENCAO")</f>
        <v>REDENCAO</v>
      </c>
      <c r="K700" s="1">
        <f ca="1">IFERROR(__xludf.DUMMYFUNCTION("""COMPUTED_VALUE"""),15131130)</f>
        <v>15131130</v>
      </c>
      <c r="L700" s="2" t="str">
        <f ca="1">IFERROR(__xludf.DUMMYFUNCTION("""COMPUTED_VALUE"""),"001920912780000")</f>
        <v>001920912780000</v>
      </c>
      <c r="M700" s="2" t="str">
        <f ca="1">IFERROR(__xludf.DUMMYFUNCTION("""COMPUTED_VALUE"""),"1920912780000")</f>
        <v>1920912780000</v>
      </c>
      <c r="N700" s="1" t="str">
        <f ca="1">IFERROR(__xludf.DUMMYFUNCTION("""COMPUTED_VALUE"""),"EEEM ENG PALMA MUNIZ SEDE")</f>
        <v>EEEM ENG PALMA MUNIZ SEDE</v>
      </c>
      <c r="O700" s="1"/>
      <c r="P700" s="1"/>
      <c r="Q700" s="1" t="s">
        <v>700</v>
      </c>
    </row>
    <row r="701" spans="1:17" x14ac:dyDescent="0.25">
      <c r="A701" s="2" t="str">
        <f ca="1">IFERROR(__xludf.DUMMYFUNCTION("""COMPUTED_VALUE"""),"REG DE INTEGRA DO ARAGUAIA")</f>
        <v>REG DE INTEGRA DO ARAGUAIA</v>
      </c>
      <c r="B701" s="1" t="str">
        <f ca="1">IFERROR(__xludf.DUMMYFUNCTION("""COMPUTED_VALUE"""),"DRE CONCEICAO DO ARAGUAIA")</f>
        <v>DRE CONCEICAO DO ARAGUAIA</v>
      </c>
      <c r="C701" s="2" t="str">
        <f ca="1">IFERROR(__xludf.DUMMYFUNCTION("""COMPUTED_VALUE"""),"DRE - CONCEICAO DO ARAGUAIA")</f>
        <v>DRE - CONCEICAO DO ARAGUAIA</v>
      </c>
      <c r="D701" s="1"/>
      <c r="E701" s="2" t="str">
        <f ca="1">IFERROR(__xludf.DUMMYFUNCTION("""COMPUTED_VALUE"""),"DRE - CONCEICAO DO ARAGUAIA")</f>
        <v>DRE - CONCEICAO DO ARAGUAIA</v>
      </c>
      <c r="F701" s="1">
        <f ca="1">IFERROR(__xludf.DUMMYFUNCTION("""COMPUTED_VALUE"""),2)</f>
        <v>2</v>
      </c>
      <c r="G701" s="1" t="str">
        <f ca="1">IFERROR(__xludf.DUMMYFUNCTION("""COMPUTED_VALUE"""),"DRE CONCEICAO DO ARAGUAIA")</f>
        <v>DRE CONCEICAO DO ARAGUAIA</v>
      </c>
      <c r="H701" s="1" t="str">
        <f ca="1">IFERROR(__xludf.DUMMYFUNCTION("""COMPUTED_VALUE"""),"15A URE - CONCEICAO DO ARAGUAIA")</f>
        <v>15A URE - CONCEICAO DO ARAGUAIA</v>
      </c>
      <c r="I701" s="1"/>
      <c r="J701" s="1" t="str">
        <f ca="1">IFERROR(__xludf.DUMMYFUNCTION("""COMPUTED_VALUE"""),"REDENCAO")</f>
        <v>REDENCAO</v>
      </c>
      <c r="K701" s="1">
        <f ca="1">IFERROR(__xludf.DUMMYFUNCTION("""COMPUTED_VALUE"""),15586421)</f>
        <v>15586421</v>
      </c>
      <c r="L701" s="2" t="str">
        <f ca="1">IFERROR(__xludf.DUMMYFUNCTION("""COMPUTED_VALUE"""),"001920937070000")</f>
        <v>001920937070000</v>
      </c>
      <c r="M701" s="2" t="str">
        <f ca="1">IFERROR(__xludf.DUMMYFUNCTION("""COMPUTED_VALUE"""),"1920937070000")</f>
        <v>1920937070000</v>
      </c>
      <c r="N701" s="1" t="str">
        <f ca="1">IFERROR(__xludf.DUMMYFUNCTION("""COMPUTED_VALUE"""),"EEEM MARIA BENTA OLIVEIRA DE SOUSA")</f>
        <v>EEEM MARIA BENTA OLIVEIRA DE SOUSA</v>
      </c>
      <c r="O701" s="1"/>
      <c r="P701" s="1"/>
      <c r="Q701" s="1" t="s">
        <v>700</v>
      </c>
    </row>
    <row r="702" spans="1:17" x14ac:dyDescent="0.25">
      <c r="A702" s="2" t="str">
        <f ca="1">IFERROR(__xludf.DUMMYFUNCTION("""COMPUTED_VALUE"""),"REG DE INTEGRA DO ARAGUAIA")</f>
        <v>REG DE INTEGRA DO ARAGUAIA</v>
      </c>
      <c r="B702" s="1" t="str">
        <f ca="1">IFERROR(__xludf.DUMMYFUNCTION("""COMPUTED_VALUE"""),"DRE CONCEICAO DO ARAGUAIA")</f>
        <v>DRE CONCEICAO DO ARAGUAIA</v>
      </c>
      <c r="C702" s="2" t="str">
        <f ca="1">IFERROR(__xludf.DUMMYFUNCTION("""COMPUTED_VALUE"""),"DRE - CONCEICAO DO ARAGUAIA")</f>
        <v>DRE - CONCEICAO DO ARAGUAIA</v>
      </c>
      <c r="D702" s="1"/>
      <c r="E702" s="2" t="str">
        <f ca="1">IFERROR(__xludf.DUMMYFUNCTION("""COMPUTED_VALUE"""),"DRE - CONCEICAO DO ARAGUAIA")</f>
        <v>DRE - CONCEICAO DO ARAGUAIA</v>
      </c>
      <c r="F702" s="1">
        <f ca="1">IFERROR(__xludf.DUMMYFUNCTION("""COMPUTED_VALUE"""),2)</f>
        <v>2</v>
      </c>
      <c r="G702" s="1" t="str">
        <f ca="1">IFERROR(__xludf.DUMMYFUNCTION("""COMPUTED_VALUE"""),"DRE CONCEICAO DO ARAGUAIA")</f>
        <v>DRE CONCEICAO DO ARAGUAIA</v>
      </c>
      <c r="H702" s="1" t="str">
        <f ca="1">IFERROR(__xludf.DUMMYFUNCTION("""COMPUTED_VALUE"""),"15A URE - CONCEICAO DO ARAGUAIA")</f>
        <v>15A URE - CONCEICAO DO ARAGUAIA</v>
      </c>
      <c r="I702" s="1"/>
      <c r="J702" s="1" t="str">
        <f ca="1">IFERROR(__xludf.DUMMYFUNCTION("""COMPUTED_VALUE"""),"REDENCAO")</f>
        <v>REDENCAO</v>
      </c>
      <c r="K702" s="1">
        <f ca="1">IFERROR(__xludf.DUMMYFUNCTION("""COMPUTED_VALUE"""),15131122)</f>
        <v>15131122</v>
      </c>
      <c r="L702" s="2" t="str">
        <f ca="1">IFERROR(__xludf.DUMMYFUNCTION("""COMPUTED_VALUE"""),"001920928720000")</f>
        <v>001920928720000</v>
      </c>
      <c r="M702" s="2" t="str">
        <f ca="1">IFERROR(__xludf.DUMMYFUNCTION("""COMPUTED_VALUE"""),"1920928720000")</f>
        <v>1920928720000</v>
      </c>
      <c r="N702" s="1" t="str">
        <f ca="1">IFERROR(__xludf.DUMMYFUNCTION("""COMPUTED_VALUE"""),"EEEM PROFA DEUZUITA PEREIRA DE QUEIROZ")</f>
        <v>EEEM PROFA DEUZUITA PEREIRA DE QUEIROZ</v>
      </c>
      <c r="O702" s="1"/>
      <c r="P702" s="1"/>
      <c r="Q702" s="1" t="s">
        <v>700</v>
      </c>
    </row>
    <row r="703" spans="1:17" x14ac:dyDescent="0.25">
      <c r="A703" s="2" t="str">
        <f ca="1">IFERROR(__xludf.DUMMYFUNCTION("""COMPUTED_VALUE"""),"REG DE INTEGRA DO ARAGUAIA")</f>
        <v>REG DE INTEGRA DO ARAGUAIA</v>
      </c>
      <c r="B703" s="1" t="str">
        <f ca="1">IFERROR(__xludf.DUMMYFUNCTION("""COMPUTED_VALUE"""),"DRE CONCEICAO DO ARAGUAIA")</f>
        <v>DRE CONCEICAO DO ARAGUAIA</v>
      </c>
      <c r="C703" s="2" t="str">
        <f ca="1">IFERROR(__xludf.DUMMYFUNCTION("""COMPUTED_VALUE"""),"DRE - CONCEICAO DO ARAGUAIA")</f>
        <v>DRE - CONCEICAO DO ARAGUAIA</v>
      </c>
      <c r="D703" s="1"/>
      <c r="E703" s="2" t="str">
        <f ca="1">IFERROR(__xludf.DUMMYFUNCTION("""COMPUTED_VALUE"""),"DRE - CONCEICAO DO ARAGUAIA")</f>
        <v>DRE - CONCEICAO DO ARAGUAIA</v>
      </c>
      <c r="F703" s="1">
        <f ca="1">IFERROR(__xludf.DUMMYFUNCTION("""COMPUTED_VALUE"""),2)</f>
        <v>2</v>
      </c>
      <c r="G703" s="1" t="str">
        <f ca="1">IFERROR(__xludf.DUMMYFUNCTION("""COMPUTED_VALUE"""),"DRE CONCEICAO DO ARAGUAIA")</f>
        <v>DRE CONCEICAO DO ARAGUAIA</v>
      </c>
      <c r="H703" s="1" t="str">
        <f ca="1">IFERROR(__xludf.DUMMYFUNCTION("""COMPUTED_VALUE"""),"15A URE - CONCEICAO DO ARAGUAIA")</f>
        <v>15A URE - CONCEICAO DO ARAGUAIA</v>
      </c>
      <c r="I703" s="1"/>
      <c r="J703" s="1" t="str">
        <f ca="1">IFERROR(__xludf.DUMMYFUNCTION("""COMPUTED_VALUE"""),"REDENCAO")</f>
        <v>REDENCAO</v>
      </c>
      <c r="K703" s="1">
        <f ca="1">IFERROR(__xludf.DUMMYFUNCTION("""COMPUTED_VALUE"""),15169227)</f>
        <v>15169227</v>
      </c>
      <c r="L703" s="2" t="str">
        <f ca="1">IFERROR(__xludf.DUMMYFUNCTION("""COMPUTED_VALUE"""),"001920912780006")</f>
        <v>001920912780006</v>
      </c>
      <c r="M703" s="2" t="str">
        <f ca="1">IFERROR(__xludf.DUMMYFUNCTION("""COMPUTED_VALUE"""),"1920912780006")</f>
        <v>1920912780006</v>
      </c>
      <c r="N703" s="1" t="str">
        <f ca="1">IFERROR(__xludf.DUMMYFUNCTION("""COMPUTED_VALUE"""),"EEEM RONAN FIDELIS DE MELO - ANEXO")</f>
        <v>EEEM RONAN FIDELIS DE MELO - ANEXO</v>
      </c>
      <c r="O703" s="1"/>
      <c r="P703" s="1"/>
      <c r="Q703" s="1" t="s">
        <v>700</v>
      </c>
    </row>
    <row r="704" spans="1:17" x14ac:dyDescent="0.25">
      <c r="A704" s="2" t="str">
        <f ca="1">IFERROR(__xludf.DUMMYFUNCTION("""COMPUTED_VALUE"""),"REG DE INTEGRA DO ARAGUAIA")</f>
        <v>REG DE INTEGRA DO ARAGUAIA</v>
      </c>
      <c r="B704" s="1" t="str">
        <f ca="1">IFERROR(__xludf.DUMMYFUNCTION("""COMPUTED_VALUE"""),"DRE CONCEICAO DO ARAGUAIA")</f>
        <v>DRE CONCEICAO DO ARAGUAIA</v>
      </c>
      <c r="C704" s="2" t="str">
        <f ca="1">IFERROR(__xludf.DUMMYFUNCTION("""COMPUTED_VALUE"""),"DRE - CONCEICAO DO ARAGUAIA")</f>
        <v>DRE - CONCEICAO DO ARAGUAIA</v>
      </c>
      <c r="D704" s="1"/>
      <c r="E704" s="2" t="str">
        <f ca="1">IFERROR(__xludf.DUMMYFUNCTION("""COMPUTED_VALUE"""),"DRE - CONCEICAO DO ARAGUAIA")</f>
        <v>DRE - CONCEICAO DO ARAGUAIA</v>
      </c>
      <c r="F704" s="1"/>
      <c r="G704" s="1"/>
      <c r="H704" s="1" t="str">
        <f ca="1">IFERROR(__xludf.DUMMYFUNCTION("""COMPUTED_VALUE"""),"15A URE - CONCEICAO DO ARAGUAIA")</f>
        <v>15A URE - CONCEICAO DO ARAGUAIA</v>
      </c>
      <c r="I704" s="1"/>
      <c r="J704" s="1" t="str">
        <f ca="1">IFERROR(__xludf.DUMMYFUNCTION("""COMPUTED_VALUE"""),"REDENCAO")</f>
        <v>REDENCAO</v>
      </c>
      <c r="K704" s="1"/>
      <c r="L704" s="2" t="str">
        <f ca="1">IFERROR(__xludf.DUMMYFUNCTION("""COMPUTED_VALUE"""),"001921031000000")</f>
        <v>001921031000000</v>
      </c>
      <c r="M704" s="2" t="str">
        <f ca="1">IFERROR(__xludf.DUMMYFUNCTION("""COMPUTED_VALUE"""),"1921031000000")</f>
        <v>1921031000000</v>
      </c>
      <c r="N704" s="1" t="str">
        <f ca="1">IFERROR(__xludf.DUMMYFUNCTION("""COMPUTED_VALUE"""),"ESCOLA ESTADUAL RURAL DE REDENCAO")</f>
        <v>ESCOLA ESTADUAL RURAL DE REDENCAO</v>
      </c>
      <c r="O704" s="1"/>
      <c r="P704" s="1"/>
      <c r="Q704" s="1" t="s">
        <v>700</v>
      </c>
    </row>
    <row r="705" spans="1:17" x14ac:dyDescent="0.25">
      <c r="A705" s="2" t="str">
        <f ca="1">IFERROR(__xludf.DUMMYFUNCTION("""COMPUTED_VALUE"""),"REG DE INTEGRA DO ARAGUAIA")</f>
        <v>REG DE INTEGRA DO ARAGUAIA</v>
      </c>
      <c r="B705" s="1" t="str">
        <f ca="1">IFERROR(__xludf.DUMMYFUNCTION("""COMPUTED_VALUE"""),"DRE CONCEICAO DO ARAGUAIA")</f>
        <v>DRE CONCEICAO DO ARAGUAIA</v>
      </c>
      <c r="C705" s="2" t="str">
        <f ca="1">IFERROR(__xludf.DUMMYFUNCTION("""COMPUTED_VALUE"""),"DRE - CONCEICAO DO ARAGUAIA")</f>
        <v>DRE - CONCEICAO DO ARAGUAIA</v>
      </c>
      <c r="D705" s="1"/>
      <c r="E705" s="2" t="str">
        <f ca="1">IFERROR(__xludf.DUMMYFUNCTION("""COMPUTED_VALUE"""),"DRE - CONCEICAO DO ARAGUAIA")</f>
        <v>DRE - CONCEICAO DO ARAGUAIA</v>
      </c>
      <c r="F705" s="1">
        <f ca="1">IFERROR(__xludf.DUMMYFUNCTION("""COMPUTED_VALUE"""),2)</f>
        <v>2</v>
      </c>
      <c r="G705" s="1"/>
      <c r="H705" s="1" t="str">
        <f ca="1">IFERROR(__xludf.DUMMYFUNCTION("""COMPUTED_VALUE"""),"15A URE - CONCEICAO DO ARAGUAIA")</f>
        <v>15A URE - CONCEICAO DO ARAGUAIA</v>
      </c>
      <c r="I705" s="1"/>
      <c r="J705" s="1" t="str">
        <f ca="1">IFERROR(__xludf.DUMMYFUNCTION("""COMPUTED_VALUE"""),"SANTA MARIA DAS BARREIRAS")</f>
        <v>SANTA MARIA DAS BARREIRAS</v>
      </c>
      <c r="K705" s="1">
        <f ca="1">IFERROR(__xludf.DUMMYFUNCTION("""COMPUTED_VALUE"""),15178099)</f>
        <v>15178099</v>
      </c>
      <c r="L705" s="2" t="str">
        <f ca="1">IFERROR(__xludf.DUMMYFUNCTION("""COMPUTED_VALUE"""),"001920912900006")</f>
        <v>001920912900006</v>
      </c>
      <c r="M705" s="2" t="str">
        <f ca="1">IFERROR(__xludf.DUMMYFUNCTION("""COMPUTED_VALUE"""),"1920912900006")</f>
        <v>1920912900006</v>
      </c>
      <c r="N705" s="1" t="str">
        <f ca="1">IFERROR(__xludf.DUMMYFUNCTION("""COMPUTED_VALUE"""),"ANEXO RURAL CASTRO ALVES")</f>
        <v>ANEXO RURAL CASTRO ALVES</v>
      </c>
      <c r="O705" s="1"/>
      <c r="P705" s="1"/>
      <c r="Q705" s="1" t="s">
        <v>700</v>
      </c>
    </row>
    <row r="706" spans="1:17" x14ac:dyDescent="0.25">
      <c r="A706" s="2" t="str">
        <f ca="1">IFERROR(__xludf.DUMMYFUNCTION("""COMPUTED_VALUE"""),"REG DE INTEGRA DO ARAGUAIA")</f>
        <v>REG DE INTEGRA DO ARAGUAIA</v>
      </c>
      <c r="B706" s="1" t="str">
        <f ca="1">IFERROR(__xludf.DUMMYFUNCTION("""COMPUTED_VALUE"""),"DRE CONCEICAO DO ARAGUAIA")</f>
        <v>DRE CONCEICAO DO ARAGUAIA</v>
      </c>
      <c r="C706" s="2" t="str">
        <f ca="1">IFERROR(__xludf.DUMMYFUNCTION("""COMPUTED_VALUE"""),"DRE - CONCEICAO DO ARAGUAIA")</f>
        <v>DRE - CONCEICAO DO ARAGUAIA</v>
      </c>
      <c r="D706" s="1"/>
      <c r="E706" s="2" t="str">
        <f ca="1">IFERROR(__xludf.DUMMYFUNCTION("""COMPUTED_VALUE"""),"DRE - CONCEICAO DO ARAGUAIA")</f>
        <v>DRE - CONCEICAO DO ARAGUAIA</v>
      </c>
      <c r="F706" s="1">
        <f ca="1">IFERROR(__xludf.DUMMYFUNCTION("""COMPUTED_VALUE"""),2)</f>
        <v>2</v>
      </c>
      <c r="G706" s="1" t="str">
        <f ca="1">IFERROR(__xludf.DUMMYFUNCTION("""COMPUTED_VALUE"""),"DRE CONCEICAO DO ARAGUAIA")</f>
        <v>DRE CONCEICAO DO ARAGUAIA</v>
      </c>
      <c r="H706" s="1" t="str">
        <f ca="1">IFERROR(__xludf.DUMMYFUNCTION("""COMPUTED_VALUE"""),"15A URE - CONCEICAO DO ARAGUAIA")</f>
        <v>15A URE - CONCEICAO DO ARAGUAIA</v>
      </c>
      <c r="I706" s="1"/>
      <c r="J706" s="1" t="str">
        <f ca="1">IFERROR(__xludf.DUMMYFUNCTION("""COMPUTED_VALUE"""),"SANTA MARIA DAS BARREIRAS")</f>
        <v>SANTA MARIA DAS BARREIRAS</v>
      </c>
      <c r="K706" s="1">
        <f ca="1">IFERROR(__xludf.DUMMYFUNCTION("""COMPUTED_VALUE"""),15136060)</f>
        <v>15136060</v>
      </c>
      <c r="L706" s="2" t="str">
        <f ca="1">IFERROR(__xludf.DUMMYFUNCTION("""COMPUTED_VALUE"""),"001920912900000")</f>
        <v>001920912900000</v>
      </c>
      <c r="M706" s="2" t="str">
        <f ca="1">IFERROR(__xludf.DUMMYFUNCTION("""COMPUTED_VALUE"""),"1920912900000")</f>
        <v>1920912900000</v>
      </c>
      <c r="N706" s="1" t="str">
        <f ca="1">IFERROR(__xludf.DUMMYFUNCTION("""COMPUTED_VALUE"""),"EEEFM CASTRO ALVES SEDE")</f>
        <v>EEEFM CASTRO ALVES SEDE</v>
      </c>
      <c r="O706" s="1"/>
      <c r="P706" s="1"/>
      <c r="Q706" s="1" t="s">
        <v>700</v>
      </c>
    </row>
    <row r="707" spans="1:17" x14ac:dyDescent="0.25">
      <c r="A707" s="2" t="str">
        <f ca="1">IFERROR(__xludf.DUMMYFUNCTION("""COMPUTED_VALUE"""),"REG DE INTEGRA DO ARAGUAIA")</f>
        <v>REG DE INTEGRA DO ARAGUAIA</v>
      </c>
      <c r="B707" s="1" t="str">
        <f ca="1">IFERROR(__xludf.DUMMYFUNCTION("""COMPUTED_VALUE"""),"DRE CONCEICAO DO ARAGUAIA")</f>
        <v>DRE CONCEICAO DO ARAGUAIA</v>
      </c>
      <c r="C707" s="2" t="str">
        <f ca="1">IFERROR(__xludf.DUMMYFUNCTION("""COMPUTED_VALUE"""),"DRE - CONCEICAO DO ARAGUAIA")</f>
        <v>DRE - CONCEICAO DO ARAGUAIA</v>
      </c>
      <c r="D707" s="1"/>
      <c r="E707" s="2" t="str">
        <f ca="1">IFERROR(__xludf.DUMMYFUNCTION("""COMPUTED_VALUE"""),"DRE - CONCEICAO DO ARAGUAIA")</f>
        <v>DRE - CONCEICAO DO ARAGUAIA</v>
      </c>
      <c r="F707" s="1"/>
      <c r="G707" s="1"/>
      <c r="H707" s="1" t="str">
        <f ca="1">IFERROR(__xludf.DUMMYFUNCTION("""COMPUTED_VALUE"""),"15A URE - CONCEICAO DO ARAGUAIA")</f>
        <v>15A URE - CONCEICAO DO ARAGUAIA</v>
      </c>
      <c r="I707" s="1"/>
      <c r="J707" s="1" t="str">
        <f ca="1">IFERROR(__xludf.DUMMYFUNCTION("""COMPUTED_VALUE"""),"SANTA MARIA DAS BARREIRAS")</f>
        <v>SANTA MARIA DAS BARREIRAS</v>
      </c>
      <c r="K707" s="1"/>
      <c r="L707" s="2" t="str">
        <f ca="1">IFERROR(__xludf.DUMMYFUNCTION("""COMPUTED_VALUE"""),"001921032000000")</f>
        <v>001921032000000</v>
      </c>
      <c r="M707" s="2" t="str">
        <f ca="1">IFERROR(__xludf.DUMMYFUNCTION("""COMPUTED_VALUE"""),"1921032000000")</f>
        <v>1921032000000</v>
      </c>
      <c r="N707" s="1" t="str">
        <f ca="1">IFERROR(__xludf.DUMMYFUNCTION("""COMPUTED_VALUE"""),"ESCOLA ESTADUAL RURAL DE SANTA MARIA DAS BARREIRAS")</f>
        <v>ESCOLA ESTADUAL RURAL DE SANTA MARIA DAS BARREIRAS</v>
      </c>
      <c r="O707" s="1"/>
      <c r="P707" s="1"/>
      <c r="Q707" s="1" t="s">
        <v>700</v>
      </c>
    </row>
    <row r="708" spans="1:17" x14ac:dyDescent="0.25">
      <c r="A708" s="2" t="str">
        <f ca="1">IFERROR(__xludf.DUMMYFUNCTION("""COMPUTED_VALUE"""),"REG DE INTEGRA DO ARAGUAIA")</f>
        <v>REG DE INTEGRA DO ARAGUAIA</v>
      </c>
      <c r="B708" s="1" t="str">
        <f ca="1">IFERROR(__xludf.DUMMYFUNCTION("""COMPUTED_VALUE"""),"DRE CONCEICAO DO ARAGUAIA")</f>
        <v>DRE CONCEICAO DO ARAGUAIA</v>
      </c>
      <c r="C708" s="2" t="str">
        <f ca="1">IFERROR(__xludf.DUMMYFUNCTION("""COMPUTED_VALUE"""),"DRE - CONCEICAO DO ARAGUAIA")</f>
        <v>DRE - CONCEICAO DO ARAGUAIA</v>
      </c>
      <c r="D708" s="1"/>
      <c r="E708" s="2" t="str">
        <f ca="1">IFERROR(__xludf.DUMMYFUNCTION("""COMPUTED_VALUE"""),"DRE - CONCEICAO DO ARAGUAIA")</f>
        <v>DRE - CONCEICAO DO ARAGUAIA</v>
      </c>
      <c r="F708" s="1">
        <f ca="1">IFERROR(__xludf.DUMMYFUNCTION("""COMPUTED_VALUE"""),2)</f>
        <v>2</v>
      </c>
      <c r="G708" s="1"/>
      <c r="H708" s="1" t="str">
        <f ca="1">IFERROR(__xludf.DUMMYFUNCTION("""COMPUTED_VALUE"""),"15A URE - CONCEICAO DO ARAGUAIA")</f>
        <v>15A URE - CONCEICAO DO ARAGUAIA</v>
      </c>
      <c r="I708" s="1"/>
      <c r="J708" s="1" t="str">
        <f ca="1">IFERROR(__xludf.DUMMYFUNCTION("""COMPUTED_VALUE"""),"SANTANA DO ARAGUAIA")</f>
        <v>SANTANA DO ARAGUAIA</v>
      </c>
      <c r="K708" s="1">
        <f ca="1">IFERROR(__xludf.DUMMYFUNCTION("""COMPUTED_VALUE"""),15178129)</f>
        <v>15178129</v>
      </c>
      <c r="L708" s="2" t="str">
        <f ca="1">IFERROR(__xludf.DUMMYFUNCTION("""COMPUTED_VALUE"""),"001920912920005")</f>
        <v>001920912920005</v>
      </c>
      <c r="M708" s="2" t="str">
        <f ca="1">IFERROR(__xludf.DUMMYFUNCTION("""COMPUTED_VALUE"""),"1920912920005")</f>
        <v>1920912920005</v>
      </c>
      <c r="N708" s="1" t="str">
        <f ca="1">IFERROR(__xludf.DUMMYFUNCTION("""COMPUTED_VALUE"""),"ANEXO RURAL PROF JORCELI SILVA SESTARI")</f>
        <v>ANEXO RURAL PROF JORCELI SILVA SESTARI</v>
      </c>
      <c r="O708" s="1"/>
      <c r="P708" s="1"/>
      <c r="Q708" s="1" t="s">
        <v>700</v>
      </c>
    </row>
    <row r="709" spans="1:17" x14ac:dyDescent="0.25">
      <c r="A709" s="2" t="str">
        <f ca="1">IFERROR(__xludf.DUMMYFUNCTION("""COMPUTED_VALUE"""),"REG DE INTEGRA DO ARAGUAIA")</f>
        <v>REG DE INTEGRA DO ARAGUAIA</v>
      </c>
      <c r="B709" s="1" t="str">
        <f ca="1">IFERROR(__xludf.DUMMYFUNCTION("""COMPUTED_VALUE"""),"DRE CONCEICAO DO ARAGUAIA")</f>
        <v>DRE CONCEICAO DO ARAGUAIA</v>
      </c>
      <c r="C709" s="2" t="str">
        <f ca="1">IFERROR(__xludf.DUMMYFUNCTION("""COMPUTED_VALUE"""),"DRE - CONCEICAO DO ARAGUAIA")</f>
        <v>DRE - CONCEICAO DO ARAGUAIA</v>
      </c>
      <c r="D709" s="1"/>
      <c r="E709" s="2" t="str">
        <f ca="1">IFERROR(__xludf.DUMMYFUNCTION("""COMPUTED_VALUE"""),"DRE - CONCEICAO DO ARAGUAIA")</f>
        <v>DRE - CONCEICAO DO ARAGUAIA</v>
      </c>
      <c r="F709" s="1">
        <f ca="1">IFERROR(__xludf.DUMMYFUNCTION("""COMPUTED_VALUE"""),2)</f>
        <v>2</v>
      </c>
      <c r="G709" s="1" t="str">
        <f ca="1">IFERROR(__xludf.DUMMYFUNCTION("""COMPUTED_VALUE"""),"DRE CONCEICAO DO ARAGUAIA")</f>
        <v>DRE CONCEICAO DO ARAGUAIA</v>
      </c>
      <c r="H709" s="1" t="str">
        <f ca="1">IFERROR(__xludf.DUMMYFUNCTION("""COMPUTED_VALUE"""),"15A URE - CONCEICAO DO ARAGUAIA")</f>
        <v>15A URE - CONCEICAO DO ARAGUAIA</v>
      </c>
      <c r="I709" s="1"/>
      <c r="J709" s="1" t="str">
        <f ca="1">IFERROR(__xludf.DUMMYFUNCTION("""COMPUTED_VALUE"""),"SANTANA DO ARAGUAIA")</f>
        <v>SANTANA DO ARAGUAIA</v>
      </c>
      <c r="K709" s="1">
        <f ca="1">IFERROR(__xludf.DUMMYFUNCTION("""COMPUTED_VALUE"""),15171582)</f>
        <v>15171582</v>
      </c>
      <c r="L709" s="2" t="str">
        <f ca="1">IFERROR(__xludf.DUMMYFUNCTION("""COMPUTED_VALUE"""),"001920912920004")</f>
        <v>001920912920004</v>
      </c>
      <c r="M709" s="2" t="str">
        <f ca="1">IFERROR(__xludf.DUMMYFUNCTION("""COMPUTED_VALUE"""),"1920912920004")</f>
        <v>1920912920004</v>
      </c>
      <c r="N709" s="1" t="str">
        <f ca="1">IFERROR(__xludf.DUMMYFUNCTION("""COMPUTED_VALUE"""),"EEEM JORCELI SESTARI SILVA ANEXO IV")</f>
        <v>EEEM JORCELI SESTARI SILVA ANEXO IV</v>
      </c>
      <c r="O709" s="1"/>
      <c r="P709" s="1"/>
      <c r="Q709" s="1" t="s">
        <v>700</v>
      </c>
    </row>
    <row r="710" spans="1:17" x14ac:dyDescent="0.25">
      <c r="A710" s="2" t="str">
        <f ca="1">IFERROR(__xludf.DUMMYFUNCTION("""COMPUTED_VALUE"""),"REG DE INTEGRA DO ARAGUAIA")</f>
        <v>REG DE INTEGRA DO ARAGUAIA</v>
      </c>
      <c r="B710" s="1" t="str">
        <f ca="1">IFERROR(__xludf.DUMMYFUNCTION("""COMPUTED_VALUE"""),"DRE CONCEICAO DO ARAGUAIA")</f>
        <v>DRE CONCEICAO DO ARAGUAIA</v>
      </c>
      <c r="C710" s="2" t="str">
        <f ca="1">IFERROR(__xludf.DUMMYFUNCTION("""COMPUTED_VALUE"""),"DRE - CONCEICAO DO ARAGUAIA")</f>
        <v>DRE - CONCEICAO DO ARAGUAIA</v>
      </c>
      <c r="D710" s="1"/>
      <c r="E710" s="2" t="str">
        <f ca="1">IFERROR(__xludf.DUMMYFUNCTION("""COMPUTED_VALUE"""),"DRE - CONCEICAO DO ARAGUAIA")</f>
        <v>DRE - CONCEICAO DO ARAGUAIA</v>
      </c>
      <c r="F710" s="1">
        <f ca="1">IFERROR(__xludf.DUMMYFUNCTION("""COMPUTED_VALUE"""),2)</f>
        <v>2</v>
      </c>
      <c r="G710" s="1" t="str">
        <f ca="1">IFERROR(__xludf.DUMMYFUNCTION("""COMPUTED_VALUE"""),"DRE CONCEICAO DO ARAGUAIA")</f>
        <v>DRE CONCEICAO DO ARAGUAIA</v>
      </c>
      <c r="H710" s="1" t="str">
        <f ca="1">IFERROR(__xludf.DUMMYFUNCTION("""COMPUTED_VALUE"""),"15A URE - CONCEICAO DO ARAGUAIA")</f>
        <v>15A URE - CONCEICAO DO ARAGUAIA</v>
      </c>
      <c r="I710" s="1"/>
      <c r="J710" s="1" t="str">
        <f ca="1">IFERROR(__xludf.DUMMYFUNCTION("""COMPUTED_VALUE"""),"SANTANA DO ARAGUAIA")</f>
        <v>SANTANA DO ARAGUAIA</v>
      </c>
      <c r="K710" s="1">
        <f ca="1">IFERROR(__xludf.DUMMYFUNCTION("""COMPUTED_VALUE"""),15168840)</f>
        <v>15168840</v>
      </c>
      <c r="L710" s="2" t="str">
        <f ca="1">IFERROR(__xludf.DUMMYFUNCTION("""COMPUTED_VALUE"""),"001920912920002")</f>
        <v>001920912920002</v>
      </c>
      <c r="M710" s="2" t="str">
        <f ca="1">IFERROR(__xludf.DUMMYFUNCTION("""COMPUTED_VALUE"""),"1920912920002")</f>
        <v>1920912920002</v>
      </c>
      <c r="N710" s="1" t="str">
        <f ca="1">IFERROR(__xludf.DUMMYFUNCTION("""COMPUTED_VALUE"""),"EEEM JORCELI SILVA SESTARI ANEXO II")</f>
        <v>EEEM JORCELI SILVA SESTARI ANEXO II</v>
      </c>
      <c r="O710" s="1"/>
      <c r="P710" s="1"/>
      <c r="Q710" s="1" t="s">
        <v>700</v>
      </c>
    </row>
    <row r="711" spans="1:17" x14ac:dyDescent="0.25">
      <c r="A711" s="2" t="str">
        <f ca="1">IFERROR(__xludf.DUMMYFUNCTION("""COMPUTED_VALUE"""),"REG DE INTEGRA DO ARAGUAIA")</f>
        <v>REG DE INTEGRA DO ARAGUAIA</v>
      </c>
      <c r="B711" s="1" t="str">
        <f ca="1">IFERROR(__xludf.DUMMYFUNCTION("""COMPUTED_VALUE"""),"DRE CONCEICAO DO ARAGUAIA")</f>
        <v>DRE CONCEICAO DO ARAGUAIA</v>
      </c>
      <c r="C711" s="2" t="str">
        <f ca="1">IFERROR(__xludf.DUMMYFUNCTION("""COMPUTED_VALUE"""),"DRE - CONCEICAO DO ARAGUAIA")</f>
        <v>DRE - CONCEICAO DO ARAGUAIA</v>
      </c>
      <c r="D711" s="1"/>
      <c r="E711" s="2" t="str">
        <f ca="1">IFERROR(__xludf.DUMMYFUNCTION("""COMPUTED_VALUE"""),"DRE - CONCEICAO DO ARAGUAIA")</f>
        <v>DRE - CONCEICAO DO ARAGUAIA</v>
      </c>
      <c r="F711" s="1">
        <f ca="1">IFERROR(__xludf.DUMMYFUNCTION("""COMPUTED_VALUE"""),2)</f>
        <v>2</v>
      </c>
      <c r="G711" s="1" t="str">
        <f ca="1">IFERROR(__xludf.DUMMYFUNCTION("""COMPUTED_VALUE"""),"DRE CONCEICAO DO ARAGUAIA")</f>
        <v>DRE CONCEICAO DO ARAGUAIA</v>
      </c>
      <c r="H711" s="1" t="str">
        <f ca="1">IFERROR(__xludf.DUMMYFUNCTION("""COMPUTED_VALUE"""),"15A URE - CONCEICAO DO ARAGUAIA")</f>
        <v>15A URE - CONCEICAO DO ARAGUAIA</v>
      </c>
      <c r="I711" s="1"/>
      <c r="J711" s="1" t="str">
        <f ca="1">IFERROR(__xludf.DUMMYFUNCTION("""COMPUTED_VALUE"""),"SANTANA DO ARAGUAIA")</f>
        <v>SANTANA DO ARAGUAIA</v>
      </c>
      <c r="K711" s="1">
        <f ca="1">IFERROR(__xludf.DUMMYFUNCTION("""COMPUTED_VALUE"""),15136647)</f>
        <v>15136647</v>
      </c>
      <c r="L711" s="2" t="str">
        <f ca="1">IFERROR(__xludf.DUMMYFUNCTION("""COMPUTED_VALUE"""),"001920912920000")</f>
        <v>001920912920000</v>
      </c>
      <c r="M711" s="2" t="str">
        <f ca="1">IFERROR(__xludf.DUMMYFUNCTION("""COMPUTED_VALUE"""),"1920912920000")</f>
        <v>1920912920000</v>
      </c>
      <c r="N711" s="1" t="str">
        <f ca="1">IFERROR(__xludf.DUMMYFUNCTION("""COMPUTED_VALUE"""),"EEEM PROF JORCELI SILVA SESTARI SEDE")</f>
        <v>EEEM PROF JORCELI SILVA SESTARI SEDE</v>
      </c>
      <c r="O711" s="1"/>
      <c r="P711" s="1"/>
      <c r="Q711" s="1" t="s">
        <v>700</v>
      </c>
    </row>
    <row r="712" spans="1:17" x14ac:dyDescent="0.25">
      <c r="A712" s="2" t="str">
        <f ca="1">IFERROR(__xludf.DUMMYFUNCTION("""COMPUTED_VALUE"""),"REG DE INTEGRA DO ARAGUAIA")</f>
        <v>REG DE INTEGRA DO ARAGUAIA</v>
      </c>
      <c r="B712" s="1" t="str">
        <f ca="1">IFERROR(__xludf.DUMMYFUNCTION("""COMPUTED_VALUE"""),"DRE CONCEICAO DO ARAGUAIA")</f>
        <v>DRE CONCEICAO DO ARAGUAIA</v>
      </c>
      <c r="C712" s="2" t="str">
        <f ca="1">IFERROR(__xludf.DUMMYFUNCTION("""COMPUTED_VALUE"""),"DRE - CONCEICAO DO ARAGUAIA")</f>
        <v>DRE - CONCEICAO DO ARAGUAIA</v>
      </c>
      <c r="D712" s="1"/>
      <c r="E712" s="2" t="str">
        <f ca="1">IFERROR(__xludf.DUMMYFUNCTION("""COMPUTED_VALUE"""),"DRE - CONCEICAO DO ARAGUAIA")</f>
        <v>DRE - CONCEICAO DO ARAGUAIA</v>
      </c>
      <c r="F712" s="1">
        <f ca="1">IFERROR(__xludf.DUMMYFUNCTION("""COMPUTED_VALUE"""),2)</f>
        <v>2</v>
      </c>
      <c r="G712" s="1" t="str">
        <f ca="1">IFERROR(__xludf.DUMMYFUNCTION("""COMPUTED_VALUE"""),"DRE CONCEICAO DO ARAGUAIA")</f>
        <v>DRE CONCEICAO DO ARAGUAIA</v>
      </c>
      <c r="H712" s="1" t="str">
        <f ca="1">IFERROR(__xludf.DUMMYFUNCTION("""COMPUTED_VALUE"""),"15A URE - CONCEICAO DO ARAGUAIA")</f>
        <v>15A URE - CONCEICAO DO ARAGUAIA</v>
      </c>
      <c r="I712" s="1"/>
      <c r="J712" s="1" t="str">
        <f ca="1">IFERROR(__xludf.DUMMYFUNCTION("""COMPUTED_VALUE"""),"SANTANA DO ARAGUAIA")</f>
        <v>SANTANA DO ARAGUAIA</v>
      </c>
      <c r="K712" s="1"/>
      <c r="L712" s="2" t="str">
        <f ca="1">IFERROR(__xludf.DUMMYFUNCTION("""COMPUTED_VALUE"""),"001920938500000")</f>
        <v>001920938500000</v>
      </c>
      <c r="M712" s="2" t="str">
        <f ca="1">IFERROR(__xludf.DUMMYFUNCTION("""COMPUTED_VALUE"""),"1920938500000")</f>
        <v>1920938500000</v>
      </c>
      <c r="N712" s="1" t="str">
        <f ca="1">IFERROR(__xludf.DUMMYFUNCTION("""COMPUTED_VALUE"""),"EETEPA SANTANA DO ARAGUAIA")</f>
        <v>EETEPA SANTANA DO ARAGUAIA</v>
      </c>
      <c r="O712" s="1"/>
      <c r="P712" s="1"/>
      <c r="Q712" s="1" t="s">
        <v>700</v>
      </c>
    </row>
    <row r="713" spans="1:17" x14ac:dyDescent="0.25">
      <c r="A713" s="2" t="str">
        <f ca="1">IFERROR(__xludf.DUMMYFUNCTION("""COMPUTED_VALUE"""),"REG DE INTEGRA DO ARAGUAIA")</f>
        <v>REG DE INTEGRA DO ARAGUAIA</v>
      </c>
      <c r="B713" s="1" t="str">
        <f ca="1">IFERROR(__xludf.DUMMYFUNCTION("""COMPUTED_VALUE"""),"DRE CONCEICAO DO ARAGUAIA")</f>
        <v>DRE CONCEICAO DO ARAGUAIA</v>
      </c>
      <c r="C713" s="2" t="str">
        <f ca="1">IFERROR(__xludf.DUMMYFUNCTION("""COMPUTED_VALUE"""),"DRE - CONCEICAO DO ARAGUAIA")</f>
        <v>DRE - CONCEICAO DO ARAGUAIA</v>
      </c>
      <c r="D713" s="1"/>
      <c r="E713" s="2" t="str">
        <f ca="1">IFERROR(__xludf.DUMMYFUNCTION("""COMPUTED_VALUE"""),"DRE - CONCEICAO DO ARAGUAIA")</f>
        <v>DRE - CONCEICAO DO ARAGUAIA</v>
      </c>
      <c r="F713" s="1"/>
      <c r="G713" s="1"/>
      <c r="H713" s="1" t="str">
        <f ca="1">IFERROR(__xludf.DUMMYFUNCTION("""COMPUTED_VALUE"""),"15A URE - CONCEICAO DO ARAGUAIA")</f>
        <v>15A URE - CONCEICAO DO ARAGUAIA</v>
      </c>
      <c r="I713" s="1"/>
      <c r="J713" s="1" t="str">
        <f ca="1">IFERROR(__xludf.DUMMYFUNCTION("""COMPUTED_VALUE"""),"SANTANA DO ARAGUAIA")</f>
        <v>SANTANA DO ARAGUAIA</v>
      </c>
      <c r="K713" s="1"/>
      <c r="L713" s="2" t="str">
        <f ca="1">IFERROR(__xludf.DUMMYFUNCTION("""COMPUTED_VALUE"""),"001921033000000")</f>
        <v>001921033000000</v>
      </c>
      <c r="M713" s="2" t="str">
        <f ca="1">IFERROR(__xludf.DUMMYFUNCTION("""COMPUTED_VALUE"""),"1921033000000")</f>
        <v>1921033000000</v>
      </c>
      <c r="N713" s="1" t="str">
        <f ca="1">IFERROR(__xludf.DUMMYFUNCTION("""COMPUTED_VALUE"""),"ESCOLA ESTADUAL RURAL DE SANTANA DO ARAGUAIA")</f>
        <v>ESCOLA ESTADUAL RURAL DE SANTANA DO ARAGUAIA</v>
      </c>
      <c r="O713" s="1"/>
      <c r="P713" s="1"/>
      <c r="Q713" s="1" t="s">
        <v>700</v>
      </c>
    </row>
    <row r="714" spans="1:17" x14ac:dyDescent="0.25">
      <c r="A714" s="2" t="str">
        <f ca="1">IFERROR(__xludf.DUMMYFUNCTION("""COMPUTED_VALUE"""),"REG DE INTEGRA DO MARAJO")</f>
        <v>REG DE INTEGRA DO MARAJO</v>
      </c>
      <c r="B714" s="1" t="str">
        <f ca="1">IFERROR(__xludf.DUMMYFUNCTION("""COMPUTED_VALUE"""),"DRE CURRALINHO")</f>
        <v>DRE CURRALINHO</v>
      </c>
      <c r="C714" s="2" t="str">
        <f ca="1">IFERROR(__xludf.DUMMYFUNCTION("""COMPUTED_VALUE"""),"DRE - CURRALINHO")</f>
        <v>DRE - CURRALINHO</v>
      </c>
      <c r="D714" s="1"/>
      <c r="E714" s="2" t="str">
        <f ca="1">IFERROR(__xludf.DUMMYFUNCTION("""COMPUTED_VALUE"""),"DRE - CURRALINHO")</f>
        <v>DRE - CURRALINHO</v>
      </c>
      <c r="F714" s="1">
        <f ca="1">IFERROR(__xludf.DUMMYFUNCTION("""COMPUTED_VALUE"""),2)</f>
        <v>2</v>
      </c>
      <c r="G714" s="1"/>
      <c r="H714" s="1" t="str">
        <f ca="1">IFERROR(__xludf.DUMMYFUNCTION("""COMPUTED_VALUE"""),"13A URE - BREVES")</f>
        <v>13A URE - BREVES</v>
      </c>
      <c r="I714" s="1"/>
      <c r="J714" s="1" t="str">
        <f ca="1">IFERROR(__xludf.DUMMYFUNCTION("""COMPUTED_VALUE"""),"CURRALINHO")</f>
        <v>CURRALINHO</v>
      </c>
      <c r="K714" s="1">
        <f ca="1">IFERROR(__xludf.DUMMYFUNCTION("""COMPUTED_VALUE"""),15178242)</f>
        <v>15178242</v>
      </c>
      <c r="L714" s="2" t="str">
        <f ca="1">IFERROR(__xludf.DUMMYFUNCTION("""COMPUTED_VALUE"""),"001920922050002")</f>
        <v>001920922050002</v>
      </c>
      <c r="M714" s="2" t="str">
        <f ca="1">IFERROR(__xludf.DUMMYFUNCTION("""COMPUTED_VALUE"""),"1920922050002")</f>
        <v>1920922050002</v>
      </c>
      <c r="N714" s="1" t="str">
        <f ca="1">IFERROR(__xludf.DUMMYFUNCTION("""COMPUTED_VALUE"""),"ANEXO RURAL PRADO LOPES")</f>
        <v>ANEXO RURAL PRADO LOPES</v>
      </c>
      <c r="O714" s="1"/>
      <c r="P714" s="1"/>
      <c r="Q714" s="1" t="s">
        <v>733</v>
      </c>
    </row>
    <row r="715" spans="1:17" x14ac:dyDescent="0.25">
      <c r="A715" s="2" t="str">
        <f ca="1">IFERROR(__xludf.DUMMYFUNCTION("""COMPUTED_VALUE"""),"REG DE INTEGRA DO MARAJO")</f>
        <v>REG DE INTEGRA DO MARAJO</v>
      </c>
      <c r="B715" s="1" t="str">
        <f ca="1">IFERROR(__xludf.DUMMYFUNCTION("""COMPUTED_VALUE"""),"DRE CURRALINHO")</f>
        <v>DRE CURRALINHO</v>
      </c>
      <c r="C715" s="2" t="str">
        <f ca="1">IFERROR(__xludf.DUMMYFUNCTION("""COMPUTED_VALUE"""),"DRE - CURRALINHO")</f>
        <v>DRE - CURRALINHO</v>
      </c>
      <c r="D715" s="1"/>
      <c r="E715" s="2" t="str">
        <f ca="1">IFERROR(__xludf.DUMMYFUNCTION("""COMPUTED_VALUE"""),"DRE - CURRALINHO")</f>
        <v>DRE - CURRALINHO</v>
      </c>
      <c r="F715" s="1">
        <f ca="1">IFERROR(__xludf.DUMMYFUNCTION("""COMPUTED_VALUE"""),2)</f>
        <v>2</v>
      </c>
      <c r="G715" s="1" t="str">
        <f ca="1">IFERROR(__xludf.DUMMYFUNCTION("""COMPUTED_VALUE"""),"DRE BREVES")</f>
        <v>DRE BREVES</v>
      </c>
      <c r="H715" s="1" t="str">
        <f ca="1">IFERROR(__xludf.DUMMYFUNCTION("""COMPUTED_VALUE"""),"13A URE - BREVES")</f>
        <v>13A URE - BREVES</v>
      </c>
      <c r="I715" s="1"/>
      <c r="J715" s="1" t="str">
        <f ca="1">IFERROR(__xludf.DUMMYFUNCTION("""COMPUTED_VALUE"""),"CURRALINHO")</f>
        <v>CURRALINHO</v>
      </c>
      <c r="K715" s="1">
        <f ca="1">IFERROR(__xludf.DUMMYFUNCTION("""COMPUTED_VALUE"""),15159299)</f>
        <v>15159299</v>
      </c>
      <c r="L715" s="2" t="str">
        <f ca="1">IFERROR(__xludf.DUMMYFUNCTION("""COMPUTED_VALUE"""),"001920937550000")</f>
        <v>001920937550000</v>
      </c>
      <c r="M715" s="2" t="str">
        <f ca="1">IFERROR(__xludf.DUMMYFUNCTION("""COMPUTED_VALUE"""),"1920937550000")</f>
        <v>1920937550000</v>
      </c>
      <c r="N715" s="1" t="str">
        <f ca="1">IFERROR(__xludf.DUMMYFUNCTION("""COMPUTED_VALUE"""),"EEEFM MANOEL DA VERA CRUZ SA")</f>
        <v>EEEFM MANOEL DA VERA CRUZ SA</v>
      </c>
      <c r="O715" s="1"/>
      <c r="P715" s="1"/>
      <c r="Q715" s="1" t="s">
        <v>733</v>
      </c>
    </row>
    <row r="716" spans="1:17" x14ac:dyDescent="0.25">
      <c r="A716" s="2" t="str">
        <f ca="1">IFERROR(__xludf.DUMMYFUNCTION("""COMPUTED_VALUE"""),"REG DE INTEGRA DO MARAJO")</f>
        <v>REG DE INTEGRA DO MARAJO</v>
      </c>
      <c r="B716" s="1" t="str">
        <f ca="1">IFERROR(__xludf.DUMMYFUNCTION("""COMPUTED_VALUE"""),"DRE CURRALINHO")</f>
        <v>DRE CURRALINHO</v>
      </c>
      <c r="C716" s="2" t="str">
        <f ca="1">IFERROR(__xludf.DUMMYFUNCTION("""COMPUTED_VALUE"""),"DRE - CURRALINHO")</f>
        <v>DRE - CURRALINHO</v>
      </c>
      <c r="D716" s="1"/>
      <c r="E716" s="2" t="str">
        <f ca="1">IFERROR(__xludf.DUMMYFUNCTION("""COMPUTED_VALUE"""),"DRE - CURRALINHO")</f>
        <v>DRE - CURRALINHO</v>
      </c>
      <c r="F716" s="1">
        <f ca="1">IFERROR(__xludf.DUMMYFUNCTION("""COMPUTED_VALUE"""),2)</f>
        <v>2</v>
      </c>
      <c r="G716" s="1" t="str">
        <f ca="1">IFERROR(__xludf.DUMMYFUNCTION("""COMPUTED_VALUE"""),"DRE BREVES")</f>
        <v>DRE BREVES</v>
      </c>
      <c r="H716" s="1" t="str">
        <f ca="1">IFERROR(__xludf.DUMMYFUNCTION("""COMPUTED_VALUE"""),"13A URE - BREVES")</f>
        <v>13A URE - BREVES</v>
      </c>
      <c r="I716" s="1"/>
      <c r="J716" s="1" t="str">
        <f ca="1">IFERROR(__xludf.DUMMYFUNCTION("""COMPUTED_VALUE"""),"CURRALINHO")</f>
        <v>CURRALINHO</v>
      </c>
      <c r="K716" s="1">
        <f ca="1">IFERROR(__xludf.DUMMYFUNCTION("""COMPUTED_VALUE"""),15026680)</f>
        <v>15026680</v>
      </c>
      <c r="L716" s="2" t="str">
        <f ca="1">IFERROR(__xludf.DUMMYFUNCTION("""COMPUTED_VALUE"""),"001920922050000")</f>
        <v>001920922050000</v>
      </c>
      <c r="M716" s="2" t="str">
        <f ca="1">IFERROR(__xludf.DUMMYFUNCTION("""COMPUTED_VALUE"""),"1920922050000")</f>
        <v>1920922050000</v>
      </c>
      <c r="N716" s="1" t="str">
        <f ca="1">IFERROR(__xludf.DUMMYFUNCTION("""COMPUTED_VALUE"""),"EEEFM PRADO LOPES")</f>
        <v>EEEFM PRADO LOPES</v>
      </c>
      <c r="O716" s="1"/>
      <c r="P716" s="1"/>
      <c r="Q716" s="1" t="s">
        <v>733</v>
      </c>
    </row>
    <row r="717" spans="1:17" x14ac:dyDescent="0.25">
      <c r="A717" s="2" t="str">
        <f ca="1">IFERROR(__xludf.DUMMYFUNCTION("""COMPUTED_VALUE"""),"REG DE INTEGRA DO MARAJO")</f>
        <v>REG DE INTEGRA DO MARAJO</v>
      </c>
      <c r="B717" s="1" t="str">
        <f ca="1">IFERROR(__xludf.DUMMYFUNCTION("""COMPUTED_VALUE"""),"DRE CURRALINHO")</f>
        <v>DRE CURRALINHO</v>
      </c>
      <c r="C717" s="2" t="str">
        <f ca="1">IFERROR(__xludf.DUMMYFUNCTION("""COMPUTED_VALUE"""),"DRE - CURRALINHO")</f>
        <v>DRE - CURRALINHO</v>
      </c>
      <c r="D717" s="1"/>
      <c r="E717" s="2" t="str">
        <f ca="1">IFERROR(__xludf.DUMMYFUNCTION("""COMPUTED_VALUE"""),"DRE - CURRALINHO")</f>
        <v>DRE - CURRALINHO</v>
      </c>
      <c r="F717" s="1"/>
      <c r="G717" s="1"/>
      <c r="H717" s="1" t="str">
        <f ca="1">IFERROR(__xludf.DUMMYFUNCTION("""COMPUTED_VALUE"""),"13A URE - BREVES")</f>
        <v>13A URE - BREVES</v>
      </c>
      <c r="I717" s="1"/>
      <c r="J717" s="1" t="str">
        <f ca="1">IFERROR(__xludf.DUMMYFUNCTION("""COMPUTED_VALUE"""),"CURRALINHO")</f>
        <v>CURRALINHO</v>
      </c>
      <c r="K717" s="1"/>
      <c r="L717" s="2" t="str">
        <f ca="1">IFERROR(__xludf.DUMMYFUNCTION("""COMPUTED_VALUE"""),"001921024000000")</f>
        <v>001921024000000</v>
      </c>
      <c r="M717" s="2" t="str">
        <f ca="1">IFERROR(__xludf.DUMMYFUNCTION("""COMPUTED_VALUE"""),"1921024000000")</f>
        <v>1921024000000</v>
      </c>
      <c r="N717" s="1" t="str">
        <f ca="1">IFERROR(__xludf.DUMMYFUNCTION("""COMPUTED_VALUE"""),"ESCOLA ESTADUAL RURAL DE CURRALINHO")</f>
        <v>ESCOLA ESTADUAL RURAL DE CURRALINHO</v>
      </c>
      <c r="O717" s="1"/>
      <c r="P717" s="1"/>
      <c r="Q717" s="1" t="s">
        <v>733</v>
      </c>
    </row>
    <row r="718" spans="1:17" x14ac:dyDescent="0.25">
      <c r="A718" s="2" t="str">
        <f ca="1">IFERROR(__xludf.DUMMYFUNCTION("""COMPUTED_VALUE"""),"REG DE INTEGRA DO MARAJO")</f>
        <v>REG DE INTEGRA DO MARAJO</v>
      </c>
      <c r="B718" s="1" t="str">
        <f ca="1">IFERROR(__xludf.DUMMYFUNCTION("""COMPUTED_VALUE"""),"DRE CURRALINHO")</f>
        <v>DRE CURRALINHO</v>
      </c>
      <c r="C718" s="2" t="str">
        <f ca="1">IFERROR(__xludf.DUMMYFUNCTION("""COMPUTED_VALUE"""),"DRE - CURRALINHO")</f>
        <v>DRE - CURRALINHO</v>
      </c>
      <c r="D718" s="1"/>
      <c r="E718" s="2" t="str">
        <f ca="1">IFERROR(__xludf.DUMMYFUNCTION("""COMPUTED_VALUE"""),"DRE - CURRALINHO")</f>
        <v>DRE - CURRALINHO</v>
      </c>
      <c r="F718" s="1">
        <f ca="1">IFERROR(__xludf.DUMMYFUNCTION("""COMPUTED_VALUE"""),2)</f>
        <v>2</v>
      </c>
      <c r="G718" s="1"/>
      <c r="H718" s="1" t="str">
        <f ca="1">IFERROR(__xludf.DUMMYFUNCTION("""COMPUTED_VALUE"""),"20A URE - REGIAO DAS ILHAS")</f>
        <v>20A URE - REGIAO DAS ILHAS</v>
      </c>
      <c r="I718" s="1"/>
      <c r="J718" s="1" t="str">
        <f ca="1">IFERROR(__xludf.DUMMYFUNCTION("""COMPUTED_VALUE"""),"MUANA")</f>
        <v>MUANA</v>
      </c>
      <c r="K718" s="1">
        <f ca="1">IFERROR(__xludf.DUMMYFUNCTION("""COMPUTED_VALUE"""),15177645)</f>
        <v>15177645</v>
      </c>
      <c r="L718" s="2" t="str">
        <f ca="1">IFERROR(__xludf.DUMMYFUNCTION("""COMPUTED_VALUE"""),"001920936070001")</f>
        <v>001920936070001</v>
      </c>
      <c r="M718" s="2" t="str">
        <f ca="1">IFERROR(__xludf.DUMMYFUNCTION("""COMPUTED_VALUE"""),"1920936070001")</f>
        <v>1920936070001</v>
      </c>
      <c r="N718" s="1" t="str">
        <f ca="1">IFERROR(__xludf.DUMMYFUNCTION("""COMPUTED_VALUE"""),"ANEXO RURAL DR SERGIO MOTA")</f>
        <v>ANEXO RURAL DR SERGIO MOTA</v>
      </c>
      <c r="O718" s="1"/>
      <c r="P718" s="1"/>
      <c r="Q718" s="1" t="s">
        <v>733</v>
      </c>
    </row>
    <row r="719" spans="1:17" x14ac:dyDescent="0.25">
      <c r="A719" s="2" t="str">
        <f ca="1">IFERROR(__xludf.DUMMYFUNCTION("""COMPUTED_VALUE"""),"REG DE INTEGRA DO MARAJO")</f>
        <v>REG DE INTEGRA DO MARAJO</v>
      </c>
      <c r="B719" s="1" t="str">
        <f ca="1">IFERROR(__xludf.DUMMYFUNCTION("""COMPUTED_VALUE"""),"DRE CURRALINHO")</f>
        <v>DRE CURRALINHO</v>
      </c>
      <c r="C719" s="2" t="str">
        <f ca="1">IFERROR(__xludf.DUMMYFUNCTION("""COMPUTED_VALUE"""),"DRE - CURRALINHO")</f>
        <v>DRE - CURRALINHO</v>
      </c>
      <c r="D719" s="1"/>
      <c r="E719" s="2" t="str">
        <f ca="1">IFERROR(__xludf.DUMMYFUNCTION("""COMPUTED_VALUE"""),"DRE - CURRALINHO")</f>
        <v>DRE - CURRALINHO</v>
      </c>
      <c r="F719" s="1">
        <f ca="1">IFERROR(__xludf.DUMMYFUNCTION("""COMPUTED_VALUE"""),2)</f>
        <v>2</v>
      </c>
      <c r="G719" s="1" t="str">
        <f ca="1">IFERROR(__xludf.DUMMYFUNCTION("""COMPUTED_VALUE"""),"DRE REGIAO DAS ILHAS")</f>
        <v>DRE REGIAO DAS ILHAS</v>
      </c>
      <c r="H719" s="1" t="str">
        <f ca="1">IFERROR(__xludf.DUMMYFUNCTION("""COMPUTED_VALUE"""),"20A URE - REGIAO DAS ILHAS")</f>
        <v>20A URE - REGIAO DAS ILHAS</v>
      </c>
      <c r="I719" s="1"/>
      <c r="J719" s="1" t="str">
        <f ca="1">IFERROR(__xludf.DUMMYFUNCTION("""COMPUTED_VALUE"""),"MUANA")</f>
        <v>MUANA</v>
      </c>
      <c r="K719" s="1">
        <f ca="1">IFERROR(__xludf.DUMMYFUNCTION("""COMPUTED_VALUE"""),15558118)</f>
        <v>15558118</v>
      </c>
      <c r="L719" s="2" t="str">
        <f ca="1">IFERROR(__xludf.DUMMYFUNCTION("""COMPUTED_VALUE"""),"001920936070000")</f>
        <v>001920936070000</v>
      </c>
      <c r="M719" s="2" t="str">
        <f ca="1">IFERROR(__xludf.DUMMYFUNCTION("""COMPUTED_VALUE"""),"1920936070000")</f>
        <v>1920936070000</v>
      </c>
      <c r="N719" s="1" t="str">
        <f ca="1">IFERROR(__xludf.DUMMYFUNCTION("""COMPUTED_VALUE"""),"EEEM DR SERGIO MOTA-SEDE")</f>
        <v>EEEM DR SERGIO MOTA-SEDE</v>
      </c>
      <c r="O719" s="1"/>
      <c r="P719" s="1"/>
      <c r="Q719" s="1" t="s">
        <v>733</v>
      </c>
    </row>
    <row r="720" spans="1:17" x14ac:dyDescent="0.25">
      <c r="A720" s="2" t="str">
        <f ca="1">IFERROR(__xludf.DUMMYFUNCTION("""COMPUTED_VALUE"""),"REG DE INTEGRA DO MARAJO")</f>
        <v>REG DE INTEGRA DO MARAJO</v>
      </c>
      <c r="B720" s="1" t="str">
        <f ca="1">IFERROR(__xludf.DUMMYFUNCTION("""COMPUTED_VALUE"""),"DRE CURRALINHO")</f>
        <v>DRE CURRALINHO</v>
      </c>
      <c r="C720" s="2" t="str">
        <f ca="1">IFERROR(__xludf.DUMMYFUNCTION("""COMPUTED_VALUE"""),"DRE - CURRALINHO")</f>
        <v>DRE - CURRALINHO</v>
      </c>
      <c r="D720" s="1"/>
      <c r="E720" s="2" t="str">
        <f ca="1">IFERROR(__xludf.DUMMYFUNCTION("""COMPUTED_VALUE"""),"DRE - CURRALINHO")</f>
        <v>DRE - CURRALINHO</v>
      </c>
      <c r="F720" s="1"/>
      <c r="G720" s="1"/>
      <c r="H720" s="1" t="str">
        <f ca="1">IFERROR(__xludf.DUMMYFUNCTION("""COMPUTED_VALUE"""),"20A URE - REGIAO DAS ILHAS")</f>
        <v>20A URE - REGIAO DAS ILHAS</v>
      </c>
      <c r="I720" s="1"/>
      <c r="J720" s="1" t="str">
        <f ca="1">IFERROR(__xludf.DUMMYFUNCTION("""COMPUTED_VALUE"""),"MUANA")</f>
        <v>MUANA</v>
      </c>
      <c r="K720" s="1"/>
      <c r="L720" s="2" t="str">
        <f ca="1">IFERROR(__xludf.DUMMYFUNCTION("""COMPUTED_VALUE"""),"001921048000000")</f>
        <v>001921048000000</v>
      </c>
      <c r="M720" s="2" t="str">
        <f ca="1">IFERROR(__xludf.DUMMYFUNCTION("""COMPUTED_VALUE"""),"1921048000000")</f>
        <v>1921048000000</v>
      </c>
      <c r="N720" s="1" t="str">
        <f ca="1">IFERROR(__xludf.DUMMYFUNCTION("""COMPUTED_VALUE"""),"ESCOLA ESTADUAL RURAL DE MUANA")</f>
        <v>ESCOLA ESTADUAL RURAL DE MUANA</v>
      </c>
      <c r="O720" s="1"/>
      <c r="P720" s="1"/>
      <c r="Q720" s="1" t="s">
        <v>733</v>
      </c>
    </row>
    <row r="721" spans="1:17" x14ac:dyDescent="0.25">
      <c r="A721" s="2" t="str">
        <f ca="1">IFERROR(__xludf.DUMMYFUNCTION("""COMPUTED_VALUE"""),"REG DE INTEGRA DO TOCANTINS")</f>
        <v>REG DE INTEGRA DO TOCANTINS</v>
      </c>
      <c r="B721" s="1" t="str">
        <f ca="1">IFERROR(__xludf.DUMMYFUNCTION("""COMPUTED_VALUE"""),"DRE CURRALINHO")</f>
        <v>DRE CURRALINHO</v>
      </c>
      <c r="C721" s="2" t="str">
        <f ca="1">IFERROR(__xludf.DUMMYFUNCTION("""COMPUTED_VALUE"""),"DRE - CURRALINHO")</f>
        <v>DRE - CURRALINHO</v>
      </c>
      <c r="D721" s="1"/>
      <c r="E721" s="2" t="str">
        <f ca="1">IFERROR(__xludf.DUMMYFUNCTION("""COMPUTED_VALUE"""),"DRE - CURRALINHO")</f>
        <v>DRE - CURRALINHO</v>
      </c>
      <c r="F721" s="1">
        <f ca="1">IFERROR(__xludf.DUMMYFUNCTION("""COMPUTED_VALUE"""),2)</f>
        <v>2</v>
      </c>
      <c r="G721" s="1"/>
      <c r="H721" s="1" t="str">
        <f ca="1">IFERROR(__xludf.DUMMYFUNCTION("""COMPUTED_VALUE"""),"02A URE - CAMETA")</f>
        <v>02A URE - CAMETA</v>
      </c>
      <c r="I721" s="1"/>
      <c r="J721" s="1" t="str">
        <f ca="1">IFERROR(__xludf.DUMMYFUNCTION("""COMPUTED_VALUE"""),"OEIRAS DO PARA")</f>
        <v>OEIRAS DO PARA</v>
      </c>
      <c r="K721" s="1">
        <f ca="1">IFERROR(__xludf.DUMMYFUNCTION("""COMPUTED_VALUE"""),15177530)</f>
        <v>15177530</v>
      </c>
      <c r="L721" s="2" t="str">
        <f ca="1">IFERROR(__xludf.DUMMYFUNCTION("""COMPUTED_VALUE"""),"001920929880002")</f>
        <v>001920929880002</v>
      </c>
      <c r="M721" s="2" t="str">
        <f ca="1">IFERROR(__xludf.DUMMYFUNCTION("""COMPUTED_VALUE"""),"1920929880002")</f>
        <v>1920929880002</v>
      </c>
      <c r="N721" s="1" t="str">
        <f ca="1">IFERROR(__xludf.DUMMYFUNCTION("""COMPUTED_VALUE"""),"ANEXO RURAL RAIMUNDO RIBEIRO DA COSTA")</f>
        <v>ANEXO RURAL RAIMUNDO RIBEIRO DA COSTA</v>
      </c>
      <c r="O721" s="1"/>
      <c r="P721" s="1"/>
      <c r="Q721" s="1" t="s">
        <v>733</v>
      </c>
    </row>
    <row r="722" spans="1:17" x14ac:dyDescent="0.25">
      <c r="A722" s="2" t="str">
        <f ca="1">IFERROR(__xludf.DUMMYFUNCTION("""COMPUTED_VALUE"""),"REG DE INTEGRA DO TOCANTINS")</f>
        <v>REG DE INTEGRA DO TOCANTINS</v>
      </c>
      <c r="B722" s="1" t="str">
        <f ca="1">IFERROR(__xludf.DUMMYFUNCTION("""COMPUTED_VALUE"""),"DRE CURRALINHO")</f>
        <v>DRE CURRALINHO</v>
      </c>
      <c r="C722" s="2" t="str">
        <f ca="1">IFERROR(__xludf.DUMMYFUNCTION("""COMPUTED_VALUE"""),"DRE - CURRALINHO")</f>
        <v>DRE - CURRALINHO</v>
      </c>
      <c r="D722" s="1"/>
      <c r="E722" s="2" t="str">
        <f ca="1">IFERROR(__xludf.DUMMYFUNCTION("""COMPUTED_VALUE"""),"DRE - CURRALINHO")</f>
        <v>DRE - CURRALINHO</v>
      </c>
      <c r="F722" s="1">
        <f ca="1">IFERROR(__xludf.DUMMYFUNCTION("""COMPUTED_VALUE"""),2)</f>
        <v>2</v>
      </c>
      <c r="G722" s="1" t="str">
        <f ca="1">IFERROR(__xludf.DUMMYFUNCTION("""COMPUTED_VALUE"""),"DRE CAMETA")</f>
        <v>DRE CAMETA</v>
      </c>
      <c r="H722" s="1" t="str">
        <f ca="1">IFERROR(__xludf.DUMMYFUNCTION("""COMPUTED_VALUE"""),"02A URE - CAMETA")</f>
        <v>02A URE - CAMETA</v>
      </c>
      <c r="I722" s="1"/>
      <c r="J722" s="1" t="str">
        <f ca="1">IFERROR(__xludf.DUMMYFUNCTION("""COMPUTED_VALUE"""),"OEIRAS DO PARA")</f>
        <v>OEIRAS DO PARA</v>
      </c>
      <c r="K722" s="1">
        <f ca="1">IFERROR(__xludf.DUMMYFUNCTION("""COMPUTED_VALUE"""),15553655)</f>
        <v>15553655</v>
      </c>
      <c r="L722" s="2" t="str">
        <f ca="1">IFERROR(__xludf.DUMMYFUNCTION("""COMPUTED_VALUE"""),"001920929880000")</f>
        <v>001920929880000</v>
      </c>
      <c r="M722" s="2" t="str">
        <f ca="1">IFERROR(__xludf.DUMMYFUNCTION("""COMPUTED_VALUE"""),"1920929880000")</f>
        <v>1920929880000</v>
      </c>
      <c r="N722" s="1" t="str">
        <f ca="1">IFERROR(__xludf.DUMMYFUNCTION("""COMPUTED_VALUE"""),"EEEM RAIMUNDO RIBEIRO DA COSTA")</f>
        <v>EEEM RAIMUNDO RIBEIRO DA COSTA</v>
      </c>
      <c r="O722" s="1"/>
      <c r="P722" s="1"/>
      <c r="Q722" s="1" t="s">
        <v>733</v>
      </c>
    </row>
    <row r="723" spans="1:17" x14ac:dyDescent="0.25">
      <c r="A723" s="2" t="str">
        <f ca="1">IFERROR(__xludf.DUMMYFUNCTION("""COMPUTED_VALUE"""),"REG DE INTEGRA DO TOCANTINS")</f>
        <v>REG DE INTEGRA DO TOCANTINS</v>
      </c>
      <c r="B723" s="1" t="str">
        <f ca="1">IFERROR(__xludf.DUMMYFUNCTION("""COMPUTED_VALUE"""),"DRE CURRALINHO")</f>
        <v>DRE CURRALINHO</v>
      </c>
      <c r="C723" s="2" t="str">
        <f ca="1">IFERROR(__xludf.DUMMYFUNCTION("""COMPUTED_VALUE"""),"DRE - CURRALINHO")</f>
        <v>DRE - CURRALINHO</v>
      </c>
      <c r="D723" s="1"/>
      <c r="E723" s="2" t="str">
        <f ca="1">IFERROR(__xludf.DUMMYFUNCTION("""COMPUTED_VALUE"""),"DRE - CURRALINHO")</f>
        <v>DRE - CURRALINHO</v>
      </c>
      <c r="F723" s="1"/>
      <c r="G723" s="1"/>
      <c r="H723" s="1" t="str">
        <f ca="1">IFERROR(__xludf.DUMMYFUNCTION("""COMPUTED_VALUE"""),"02A URE - CAMETA")</f>
        <v>02A URE - CAMETA</v>
      </c>
      <c r="I723" s="1"/>
      <c r="J723" s="1" t="str">
        <f ca="1">IFERROR(__xludf.DUMMYFUNCTION("""COMPUTED_VALUE"""),"OEIRAS DO PARA")</f>
        <v>OEIRAS DO PARA</v>
      </c>
      <c r="K723" s="1"/>
      <c r="L723" s="2" t="str">
        <f ca="1">IFERROR(__xludf.DUMMYFUNCTION("""COMPUTED_VALUE"""),"001920969000000")</f>
        <v>001920969000000</v>
      </c>
      <c r="M723" s="2" t="str">
        <f ca="1">IFERROR(__xludf.DUMMYFUNCTION("""COMPUTED_VALUE"""),"1920969000000")</f>
        <v>1920969000000</v>
      </c>
      <c r="N723" s="1" t="str">
        <f ca="1">IFERROR(__xludf.DUMMYFUNCTION("""COMPUTED_VALUE"""),"ESCOLA ESTADUAL RURAL DE OEIRAS DO PARA")</f>
        <v>ESCOLA ESTADUAL RURAL DE OEIRAS DO PARA</v>
      </c>
      <c r="O723" s="1"/>
      <c r="P723" s="1"/>
      <c r="Q723" s="1" t="s">
        <v>733</v>
      </c>
    </row>
    <row r="724" spans="1:17" x14ac:dyDescent="0.25">
      <c r="A724" s="2" t="str">
        <f ca="1">IFERROR(__xludf.DUMMYFUNCTION("""COMPUTED_VALUE"""),"REG DE INTEGRA DO MARAJO")</f>
        <v>REG DE INTEGRA DO MARAJO</v>
      </c>
      <c r="B724" s="1" t="str">
        <f ca="1">IFERROR(__xludf.DUMMYFUNCTION("""COMPUTED_VALUE"""),"DRE CURRALINHO")</f>
        <v>DRE CURRALINHO</v>
      </c>
      <c r="C724" s="2" t="str">
        <f ca="1">IFERROR(__xludf.DUMMYFUNCTION("""COMPUTED_VALUE"""),"DRE - CURRALINHO")</f>
        <v>DRE - CURRALINHO</v>
      </c>
      <c r="D724" s="1"/>
      <c r="E724" s="2" t="str">
        <f ca="1">IFERROR(__xludf.DUMMYFUNCTION("""COMPUTED_VALUE"""),"DRE - CURRALINHO")</f>
        <v>DRE - CURRALINHO</v>
      </c>
      <c r="F724" s="1">
        <f ca="1">IFERROR(__xludf.DUMMYFUNCTION("""COMPUTED_VALUE"""),2)</f>
        <v>2</v>
      </c>
      <c r="G724" s="1"/>
      <c r="H724" s="1" t="str">
        <f ca="1">IFERROR(__xludf.DUMMYFUNCTION("""COMPUTED_VALUE"""),"20A URE - REGIAO DAS ILHAS")</f>
        <v>20A URE - REGIAO DAS ILHAS</v>
      </c>
      <c r="I724" s="1"/>
      <c r="J724" s="1" t="str">
        <f ca="1">IFERROR(__xludf.DUMMYFUNCTION("""COMPUTED_VALUE"""),"PONTA DE PEDRAS")</f>
        <v>PONTA DE PEDRAS</v>
      </c>
      <c r="K724" s="1">
        <f ca="1">IFERROR(__xludf.DUMMYFUNCTION("""COMPUTED_VALUE"""),15177661)</f>
        <v>15177661</v>
      </c>
      <c r="L724" s="2" t="str">
        <f ca="1">IFERROR(__xludf.DUMMYFUNCTION("""COMPUTED_VALUE"""),"001920922850002")</f>
        <v>001920922850002</v>
      </c>
      <c r="M724" s="2" t="str">
        <f ca="1">IFERROR(__xludf.DUMMYFUNCTION("""COMPUTED_VALUE"""),"1920922850002")</f>
        <v>1920922850002</v>
      </c>
      <c r="N724" s="1" t="str">
        <f ca="1">IFERROR(__xludf.DUMMYFUNCTION("""COMPUTED_VALUE"""),"ANEXO RURAL  DRA ESTER MOUTA")</f>
        <v>ANEXO RURAL  DRA ESTER MOUTA</v>
      </c>
      <c r="O724" s="1"/>
      <c r="P724" s="1"/>
      <c r="Q724" s="1" t="s">
        <v>733</v>
      </c>
    </row>
    <row r="725" spans="1:17" x14ac:dyDescent="0.25">
      <c r="A725" s="2" t="str">
        <f ca="1">IFERROR(__xludf.DUMMYFUNCTION("""COMPUTED_VALUE"""),"REG DE INTEGRA DO MARAJO")</f>
        <v>REG DE INTEGRA DO MARAJO</v>
      </c>
      <c r="B725" s="1" t="str">
        <f ca="1">IFERROR(__xludf.DUMMYFUNCTION("""COMPUTED_VALUE"""),"DRE CURRALINHO")</f>
        <v>DRE CURRALINHO</v>
      </c>
      <c r="C725" s="2" t="str">
        <f ca="1">IFERROR(__xludf.DUMMYFUNCTION("""COMPUTED_VALUE"""),"DRE - CURRALINHO")</f>
        <v>DRE - CURRALINHO</v>
      </c>
      <c r="D725" s="1"/>
      <c r="E725" s="2" t="str">
        <f ca="1">IFERROR(__xludf.DUMMYFUNCTION("""COMPUTED_VALUE"""),"DRE - CURRALINHO")</f>
        <v>DRE - CURRALINHO</v>
      </c>
      <c r="F725" s="1">
        <f ca="1">IFERROR(__xludf.DUMMYFUNCTION("""COMPUTED_VALUE"""),2)</f>
        <v>2</v>
      </c>
      <c r="G725" s="1" t="str">
        <f ca="1">IFERROR(__xludf.DUMMYFUNCTION("""COMPUTED_VALUE"""),"DRE REGIAO DAS ILHAS")</f>
        <v>DRE REGIAO DAS ILHAS</v>
      </c>
      <c r="H725" s="1" t="str">
        <f ca="1">IFERROR(__xludf.DUMMYFUNCTION("""COMPUTED_VALUE"""),"20A URE - REGIAO DAS ILHAS")</f>
        <v>20A URE - REGIAO DAS ILHAS</v>
      </c>
      <c r="I725" s="1"/>
      <c r="J725" s="1" t="str">
        <f ca="1">IFERROR(__xludf.DUMMYFUNCTION("""COMPUTED_VALUE"""),"PONTA DE PEDRAS")</f>
        <v>PONTA DE PEDRAS</v>
      </c>
      <c r="K725" s="1">
        <f ca="1">IFERROR(__xludf.DUMMYFUNCTION("""COMPUTED_VALUE"""),15031764)</f>
        <v>15031764</v>
      </c>
      <c r="L725" s="2" t="str">
        <f ca="1">IFERROR(__xludf.DUMMYFUNCTION("""COMPUTED_VALUE"""),"001920922860000")</f>
        <v>001920922860000</v>
      </c>
      <c r="M725" s="2" t="str">
        <f ca="1">IFERROR(__xludf.DUMMYFUNCTION("""COMPUTED_VALUE"""),"1920922860000")</f>
        <v>1920922860000</v>
      </c>
      <c r="N725" s="1" t="str">
        <f ca="1">IFERROR(__xludf.DUMMYFUNCTION("""COMPUTED_VALUE"""),"EEEF AURELIANA MONTEIRO")</f>
        <v>EEEF AURELIANA MONTEIRO</v>
      </c>
      <c r="O725" s="1"/>
      <c r="P725" s="1"/>
      <c r="Q725" s="1" t="s">
        <v>733</v>
      </c>
    </row>
    <row r="726" spans="1:17" x14ac:dyDescent="0.25">
      <c r="A726" s="2" t="str">
        <f ca="1">IFERROR(__xludf.DUMMYFUNCTION("""COMPUTED_VALUE"""),"REG DE INTEGRA DO MARAJO")</f>
        <v>REG DE INTEGRA DO MARAJO</v>
      </c>
      <c r="B726" s="1" t="str">
        <f ca="1">IFERROR(__xludf.DUMMYFUNCTION("""COMPUTED_VALUE"""),"DRE CURRALINHO")</f>
        <v>DRE CURRALINHO</v>
      </c>
      <c r="C726" s="2" t="str">
        <f ca="1">IFERROR(__xludf.DUMMYFUNCTION("""COMPUTED_VALUE"""),"DRE - CURRALINHO")</f>
        <v>DRE - CURRALINHO</v>
      </c>
      <c r="D726" s="1"/>
      <c r="E726" s="2" t="str">
        <f ca="1">IFERROR(__xludf.DUMMYFUNCTION("""COMPUTED_VALUE"""),"DRE - CURRALINHO")</f>
        <v>DRE - CURRALINHO</v>
      </c>
      <c r="F726" s="1">
        <f ca="1">IFERROR(__xludf.DUMMYFUNCTION("""COMPUTED_VALUE"""),2)</f>
        <v>2</v>
      </c>
      <c r="G726" s="1" t="str">
        <f ca="1">IFERROR(__xludf.DUMMYFUNCTION("""COMPUTED_VALUE"""),"DRE REGIAO DAS ILHAS")</f>
        <v>DRE REGIAO DAS ILHAS</v>
      </c>
      <c r="H726" s="1" t="str">
        <f ca="1">IFERROR(__xludf.DUMMYFUNCTION("""COMPUTED_VALUE"""),"20A URE - REGIAO DAS ILHAS")</f>
        <v>20A URE - REGIAO DAS ILHAS</v>
      </c>
      <c r="I726" s="1"/>
      <c r="J726" s="1" t="str">
        <f ca="1">IFERROR(__xludf.DUMMYFUNCTION("""COMPUTED_VALUE"""),"PONTA DE PEDRAS")</f>
        <v>PONTA DE PEDRAS</v>
      </c>
      <c r="K726" s="1">
        <f ca="1">IFERROR(__xludf.DUMMYFUNCTION("""COMPUTED_VALUE"""),15031837)</f>
        <v>15031837</v>
      </c>
      <c r="L726" s="2" t="str">
        <f ca="1">IFERROR(__xludf.DUMMYFUNCTION("""COMPUTED_VALUE"""),"001920922850000")</f>
        <v>001920922850000</v>
      </c>
      <c r="M726" s="2" t="str">
        <f ca="1">IFERROR(__xludf.DUMMYFUNCTION("""COMPUTED_VALUE"""),"1920922850000")</f>
        <v>1920922850000</v>
      </c>
      <c r="N726" s="1" t="str">
        <f ca="1">IFERROR(__xludf.DUMMYFUNCTION("""COMPUTED_VALUE"""),"EEEFM DRA ESTER MOUTA SEDE")</f>
        <v>EEEFM DRA ESTER MOUTA SEDE</v>
      </c>
      <c r="O726" s="1"/>
      <c r="P726" s="1"/>
      <c r="Q726" s="1" t="s">
        <v>733</v>
      </c>
    </row>
    <row r="727" spans="1:17" x14ac:dyDescent="0.25">
      <c r="A727" s="2" t="str">
        <f ca="1">IFERROR(__xludf.DUMMYFUNCTION("""COMPUTED_VALUE"""),"REG DE INTEGRA DO MARAJO")</f>
        <v>REG DE INTEGRA DO MARAJO</v>
      </c>
      <c r="B727" s="1" t="str">
        <f ca="1">IFERROR(__xludf.DUMMYFUNCTION("""COMPUTED_VALUE"""),"DRE CURRALINHO")</f>
        <v>DRE CURRALINHO</v>
      </c>
      <c r="C727" s="2" t="str">
        <f ca="1">IFERROR(__xludf.DUMMYFUNCTION("""COMPUTED_VALUE"""),"DRE - CURRALINHO")</f>
        <v>DRE - CURRALINHO</v>
      </c>
      <c r="D727" s="1"/>
      <c r="E727" s="2" t="str">
        <f ca="1">IFERROR(__xludf.DUMMYFUNCTION("""COMPUTED_VALUE"""),"DRE - CURRALINHO")</f>
        <v>DRE - CURRALINHO</v>
      </c>
      <c r="F727" s="1">
        <f ca="1">IFERROR(__xludf.DUMMYFUNCTION("""COMPUTED_VALUE"""),2)</f>
        <v>2</v>
      </c>
      <c r="G727" s="1" t="str">
        <f ca="1">IFERROR(__xludf.DUMMYFUNCTION("""COMPUTED_VALUE"""),"DRE REGIAO DAS ILHAS")</f>
        <v>DRE REGIAO DAS ILHAS</v>
      </c>
      <c r="H727" s="1" t="str">
        <f ca="1">IFERROR(__xludf.DUMMYFUNCTION("""COMPUTED_VALUE"""),"20A URE - REGIAO DAS ILHAS")</f>
        <v>20A URE - REGIAO DAS ILHAS</v>
      </c>
      <c r="I727" s="1"/>
      <c r="J727" s="1" t="str">
        <f ca="1">IFERROR(__xludf.DUMMYFUNCTION("""COMPUTED_VALUE"""),"PONTA DE PEDRAS")</f>
        <v>PONTA DE PEDRAS</v>
      </c>
      <c r="K727" s="1">
        <f ca="1">IFERROR(__xludf.DUMMYFUNCTION("""COMPUTED_VALUE"""),15031829)</f>
        <v>15031829</v>
      </c>
      <c r="L727" s="2" t="str">
        <f ca="1">IFERROR(__xludf.DUMMYFUNCTION("""COMPUTED_VALUE"""),"001920922930000")</f>
        <v>001920922930000</v>
      </c>
      <c r="M727" s="2" t="str">
        <f ca="1">IFERROR(__xludf.DUMMYFUNCTION("""COMPUTED_VALUE"""),"1920922930000")</f>
        <v>1920922930000</v>
      </c>
      <c r="N727" s="1" t="str">
        <f ca="1">IFERROR(__xludf.DUMMYFUNCTION("""COMPUTED_VALUE"""),"EEEFM JOELSON DOS SANTOS RODRIGUES")</f>
        <v>EEEFM JOELSON DOS SANTOS RODRIGUES</v>
      </c>
      <c r="O727" s="1"/>
      <c r="P727" s="1"/>
      <c r="Q727" s="1" t="s">
        <v>733</v>
      </c>
    </row>
    <row r="728" spans="1:17" x14ac:dyDescent="0.25">
      <c r="A728" s="2" t="str">
        <f ca="1">IFERROR(__xludf.DUMMYFUNCTION("""COMPUTED_VALUE"""),"REG DE INTEGRA DO MARAJO")</f>
        <v>REG DE INTEGRA DO MARAJO</v>
      </c>
      <c r="B728" s="1" t="str">
        <f ca="1">IFERROR(__xludf.DUMMYFUNCTION("""COMPUTED_VALUE"""),"DRE CURRALINHO")</f>
        <v>DRE CURRALINHO</v>
      </c>
      <c r="C728" s="2" t="str">
        <f ca="1">IFERROR(__xludf.DUMMYFUNCTION("""COMPUTED_VALUE"""),"DRE - CURRALINHO")</f>
        <v>DRE - CURRALINHO</v>
      </c>
      <c r="D728" s="1"/>
      <c r="E728" s="2" t="str">
        <f ca="1">IFERROR(__xludf.DUMMYFUNCTION("""COMPUTED_VALUE"""),"DRE - CURRALINHO")</f>
        <v>DRE - CURRALINHO</v>
      </c>
      <c r="F728" s="1">
        <f ca="1">IFERROR(__xludf.DUMMYFUNCTION("""COMPUTED_VALUE"""),2)</f>
        <v>2</v>
      </c>
      <c r="G728" s="1" t="str">
        <f ca="1">IFERROR(__xludf.DUMMYFUNCTION("""COMPUTED_VALUE"""),"DRE REGIAO DAS ILHAS")</f>
        <v>DRE REGIAO DAS ILHAS</v>
      </c>
      <c r="H728" s="1" t="str">
        <f ca="1">IFERROR(__xludf.DUMMYFUNCTION("""COMPUTED_VALUE"""),"20A URE - REGIAO DAS ILHAS")</f>
        <v>20A URE - REGIAO DAS ILHAS</v>
      </c>
      <c r="I728" s="1"/>
      <c r="J728" s="1" t="str">
        <f ca="1">IFERROR(__xludf.DUMMYFUNCTION("""COMPUTED_VALUE"""),"PONTA DE PEDRAS")</f>
        <v>PONTA DE PEDRAS</v>
      </c>
      <c r="K728" s="1">
        <f ca="1">IFERROR(__xludf.DUMMYFUNCTION("""COMPUTED_VALUE"""),15588831)</f>
        <v>15588831</v>
      </c>
      <c r="L728" s="2" t="str">
        <f ca="1">IFERROR(__xludf.DUMMYFUNCTION("""COMPUTED_VALUE"""),"001920937020000")</f>
        <v>001920937020000</v>
      </c>
      <c r="M728" s="2" t="str">
        <f ca="1">IFERROR(__xludf.DUMMYFUNCTION("""COMPUTED_VALUE"""),"1920937020000")</f>
        <v>1920937020000</v>
      </c>
      <c r="N728" s="1" t="str">
        <f ca="1">IFERROR(__xludf.DUMMYFUNCTION("""COMPUTED_VALUE"""),"EEEM DALCIDIO JURANDIR")</f>
        <v>EEEM DALCIDIO JURANDIR</v>
      </c>
      <c r="O728" s="1"/>
      <c r="P728" s="1"/>
      <c r="Q728" s="1" t="s">
        <v>733</v>
      </c>
    </row>
    <row r="729" spans="1:17" x14ac:dyDescent="0.25">
      <c r="A729" s="2" t="str">
        <f ca="1">IFERROR(__xludf.DUMMYFUNCTION("""COMPUTED_VALUE"""),"REG DE INTEGRA DO MARAJO")</f>
        <v>REG DE INTEGRA DO MARAJO</v>
      </c>
      <c r="B729" s="1" t="str">
        <f ca="1">IFERROR(__xludf.DUMMYFUNCTION("""COMPUTED_VALUE"""),"DRE CURRALINHO")</f>
        <v>DRE CURRALINHO</v>
      </c>
      <c r="C729" s="2" t="str">
        <f ca="1">IFERROR(__xludf.DUMMYFUNCTION("""COMPUTED_VALUE"""),"DRE - CURRALINHO")</f>
        <v>DRE - CURRALINHO</v>
      </c>
      <c r="D729" s="1"/>
      <c r="E729" s="2" t="str">
        <f ca="1">IFERROR(__xludf.DUMMYFUNCTION("""COMPUTED_VALUE"""),"DRE - CURRALINHO")</f>
        <v>DRE - CURRALINHO</v>
      </c>
      <c r="F729" s="1"/>
      <c r="G729" s="1"/>
      <c r="H729" s="1" t="str">
        <f ca="1">IFERROR(__xludf.DUMMYFUNCTION("""COMPUTED_VALUE"""),"20A URE - REGIAO DAS ILHAS")</f>
        <v>20A URE - REGIAO DAS ILHAS</v>
      </c>
      <c r="I729" s="1"/>
      <c r="J729" s="1" t="str">
        <f ca="1">IFERROR(__xludf.DUMMYFUNCTION("""COMPUTED_VALUE"""),"PONTA DE PEDRAS")</f>
        <v>PONTA DE PEDRAS</v>
      </c>
      <c r="K729" s="1"/>
      <c r="L729" s="2" t="str">
        <f ca="1">IFERROR(__xludf.DUMMYFUNCTION("""COMPUTED_VALUE"""),"001921049000000")</f>
        <v>001921049000000</v>
      </c>
      <c r="M729" s="2" t="str">
        <f ca="1">IFERROR(__xludf.DUMMYFUNCTION("""COMPUTED_VALUE"""),"1921049000000")</f>
        <v>1921049000000</v>
      </c>
      <c r="N729" s="1" t="str">
        <f ca="1">IFERROR(__xludf.DUMMYFUNCTION("""COMPUTED_VALUE"""),"ESCOLA ESTADUAL RURAL DE PONTA DE PEDRAS")</f>
        <v>ESCOLA ESTADUAL RURAL DE PONTA DE PEDRAS</v>
      </c>
      <c r="O729" s="1"/>
      <c r="P729" s="1"/>
      <c r="Q729" s="1" t="s">
        <v>733</v>
      </c>
    </row>
    <row r="730" spans="1:17" x14ac:dyDescent="0.25">
      <c r="A730" s="2" t="str">
        <f ca="1">IFERROR(__xludf.DUMMYFUNCTION("""COMPUTED_VALUE"""),"REG DE INTEGRA DO MARAJO")</f>
        <v>REG DE INTEGRA DO MARAJO</v>
      </c>
      <c r="B730" s="1" t="str">
        <f ca="1">IFERROR(__xludf.DUMMYFUNCTION("""COMPUTED_VALUE"""),"DRE CURRALINHO")</f>
        <v>DRE CURRALINHO</v>
      </c>
      <c r="C730" s="2" t="str">
        <f ca="1">IFERROR(__xludf.DUMMYFUNCTION("""COMPUTED_VALUE"""),"DRE - CURRALINHO")</f>
        <v>DRE - CURRALINHO</v>
      </c>
      <c r="D730" s="1"/>
      <c r="E730" s="2" t="str">
        <f ca="1">IFERROR(__xludf.DUMMYFUNCTION("""COMPUTED_VALUE"""),"DRE - CURRALINHO")</f>
        <v>DRE - CURRALINHO</v>
      </c>
      <c r="F730" s="1">
        <f ca="1">IFERROR(__xludf.DUMMYFUNCTION("""COMPUTED_VALUE"""),2)</f>
        <v>2</v>
      </c>
      <c r="G730" s="1"/>
      <c r="H730" s="1" t="str">
        <f ca="1">IFERROR(__xludf.DUMMYFUNCTION("""COMPUTED_VALUE"""),"20A URE - REGIAO DAS ILHAS")</f>
        <v>20A URE - REGIAO DAS ILHAS</v>
      </c>
      <c r="I730" s="1"/>
      <c r="J730" s="1" t="str">
        <f ca="1">IFERROR(__xludf.DUMMYFUNCTION("""COMPUTED_VALUE"""),"SAO SEBASTIAO DA BOA VISTA")</f>
        <v>SAO SEBASTIAO DA BOA VISTA</v>
      </c>
      <c r="K730" s="1">
        <f ca="1">IFERROR(__xludf.DUMMYFUNCTION("""COMPUTED_VALUE"""),15177688)</f>
        <v>15177688</v>
      </c>
      <c r="L730" s="2" t="str">
        <f ca="1">IFERROR(__xludf.DUMMYFUNCTION("""COMPUTED_VALUE"""),"001920922190001")</f>
        <v>001920922190001</v>
      </c>
      <c r="M730" s="2" t="str">
        <f ca="1">IFERROR(__xludf.DUMMYFUNCTION("""COMPUTED_VALUE"""),"1920922190001")</f>
        <v>1920922190001</v>
      </c>
      <c r="N730" s="1" t="str">
        <f ca="1">IFERROR(__xludf.DUMMYFUNCTION("""COMPUTED_VALUE"""),"ANEXO RURAL JOAO XXIII")</f>
        <v>ANEXO RURAL JOAO XXIII</v>
      </c>
      <c r="O730" s="1"/>
      <c r="P730" s="1"/>
      <c r="Q730" s="1" t="s">
        <v>733</v>
      </c>
    </row>
    <row r="731" spans="1:17" x14ac:dyDescent="0.25">
      <c r="A731" s="2" t="str">
        <f ca="1">IFERROR(__xludf.DUMMYFUNCTION("""COMPUTED_VALUE"""),"REG DE INTEGRA DO MARAJO")</f>
        <v>REG DE INTEGRA DO MARAJO</v>
      </c>
      <c r="B731" s="1" t="str">
        <f ca="1">IFERROR(__xludf.DUMMYFUNCTION("""COMPUTED_VALUE"""),"DRE CURRALINHO")</f>
        <v>DRE CURRALINHO</v>
      </c>
      <c r="C731" s="2" t="str">
        <f ca="1">IFERROR(__xludf.DUMMYFUNCTION("""COMPUTED_VALUE"""),"DRE - CURRALINHO")</f>
        <v>DRE - CURRALINHO</v>
      </c>
      <c r="D731" s="1"/>
      <c r="E731" s="2" t="str">
        <f ca="1">IFERROR(__xludf.DUMMYFUNCTION("""COMPUTED_VALUE"""),"DRE - CURRALINHO")</f>
        <v>DRE - CURRALINHO</v>
      </c>
      <c r="F731" s="1">
        <f ca="1">IFERROR(__xludf.DUMMYFUNCTION("""COMPUTED_VALUE"""),2)</f>
        <v>2</v>
      </c>
      <c r="G731" s="1" t="str">
        <f ca="1">IFERROR(__xludf.DUMMYFUNCTION("""COMPUTED_VALUE"""),"DRE REGIAO DAS ILHAS")</f>
        <v>DRE REGIAO DAS ILHAS</v>
      </c>
      <c r="H731" s="1" t="str">
        <f ca="1">IFERROR(__xludf.DUMMYFUNCTION("""COMPUTED_VALUE"""),"20A URE - REGIAO DAS ILHAS")</f>
        <v>20A URE - REGIAO DAS ILHAS</v>
      </c>
      <c r="I731" s="1"/>
      <c r="J731" s="1" t="str">
        <f ca="1">IFERROR(__xludf.DUMMYFUNCTION("""COMPUTED_VALUE"""),"SAO SEBASTIAO DA BOA VISTA")</f>
        <v>SAO SEBASTIAO DA BOA VISTA</v>
      </c>
      <c r="K731" s="1">
        <f ca="1">IFERROR(__xludf.DUMMYFUNCTION("""COMPUTED_VALUE"""),15027635)</f>
        <v>15027635</v>
      </c>
      <c r="L731" s="2" t="str">
        <f ca="1">IFERROR(__xludf.DUMMYFUNCTION("""COMPUTED_VALUE"""),"001920922190000")</f>
        <v>001920922190000</v>
      </c>
      <c r="M731" s="2" t="str">
        <f ca="1">IFERROR(__xludf.DUMMYFUNCTION("""COMPUTED_VALUE"""),"1920922190000")</f>
        <v>1920922190000</v>
      </c>
      <c r="N731" s="1" t="str">
        <f ca="1">IFERROR(__xludf.DUMMYFUNCTION("""COMPUTED_VALUE"""),"EEEFM JOAO XXIII")</f>
        <v>EEEFM JOAO XXIII</v>
      </c>
      <c r="O731" s="1"/>
      <c r="P731" s="1"/>
      <c r="Q731" s="1" t="s">
        <v>733</v>
      </c>
    </row>
    <row r="732" spans="1:17" x14ac:dyDescent="0.25">
      <c r="A732" s="2" t="str">
        <f ca="1">IFERROR(__xludf.DUMMYFUNCTION("""COMPUTED_VALUE"""),"REG DE INTEGRA DO MARAJO")</f>
        <v>REG DE INTEGRA DO MARAJO</v>
      </c>
      <c r="B732" s="1" t="str">
        <f ca="1">IFERROR(__xludf.DUMMYFUNCTION("""COMPUTED_VALUE"""),"DRE CURRALINHO")</f>
        <v>DRE CURRALINHO</v>
      </c>
      <c r="C732" s="2" t="str">
        <f ca="1">IFERROR(__xludf.DUMMYFUNCTION("""COMPUTED_VALUE"""),"DRE - CURRALINHO")</f>
        <v>DRE - CURRALINHO</v>
      </c>
      <c r="D732" s="1"/>
      <c r="E732" s="2" t="str">
        <f ca="1">IFERROR(__xludf.DUMMYFUNCTION("""COMPUTED_VALUE"""),"DRE - CURRALINHO")</f>
        <v>DRE - CURRALINHO</v>
      </c>
      <c r="F732" s="1"/>
      <c r="G732" s="1"/>
      <c r="H732" s="1" t="str">
        <f ca="1">IFERROR(__xludf.DUMMYFUNCTION("""COMPUTED_VALUE"""),"20A URE - REGIAO DAS ILHAS")</f>
        <v>20A URE - REGIAO DAS ILHAS</v>
      </c>
      <c r="I732" s="1"/>
      <c r="J732" s="1" t="str">
        <f ca="1">IFERROR(__xludf.DUMMYFUNCTION("""COMPUTED_VALUE"""),"SAO SEBASTIAO DA BOA VISTA")</f>
        <v>SAO SEBASTIAO DA BOA VISTA</v>
      </c>
      <c r="K732" s="1"/>
      <c r="L732" s="2" t="str">
        <f ca="1">IFERROR(__xludf.DUMMYFUNCTION("""COMPUTED_VALUE"""),"001921050000000")</f>
        <v>001921050000000</v>
      </c>
      <c r="M732" s="2" t="str">
        <f ca="1">IFERROR(__xludf.DUMMYFUNCTION("""COMPUTED_VALUE"""),"1921050000000")</f>
        <v>1921050000000</v>
      </c>
      <c r="N732" s="1" t="str">
        <f ca="1">IFERROR(__xludf.DUMMYFUNCTION("""COMPUTED_VALUE"""),"ESCOLA ESTADUAL RURAL DE SAO SEBASTIAO DA BOA VISTA")</f>
        <v>ESCOLA ESTADUAL RURAL DE SAO SEBASTIAO DA BOA VISTA</v>
      </c>
      <c r="O732" s="1"/>
      <c r="P732" s="1"/>
      <c r="Q732" s="1" t="s">
        <v>733</v>
      </c>
    </row>
    <row r="733" spans="1:17" x14ac:dyDescent="0.25">
      <c r="A733" s="2" t="str">
        <f ca="1">IFERROR(__xludf.DUMMYFUNCTION("""COMPUTED_VALUE"""),"REG DE INTEGRA DO TAPAJOS")</f>
        <v>REG DE INTEGRA DO TAPAJOS</v>
      </c>
      <c r="B733" s="1" t="str">
        <f ca="1">IFERROR(__xludf.DUMMYFUNCTION("""COMPUTED_VALUE"""),"DRE ITAITUBA")</f>
        <v>DRE ITAITUBA</v>
      </c>
      <c r="C733" s="2" t="str">
        <f ca="1">IFERROR(__xludf.DUMMYFUNCTION("""COMPUTED_VALUE"""),"DRE - ITAITUBA")</f>
        <v>DRE - ITAITUBA</v>
      </c>
      <c r="D733" s="1"/>
      <c r="E733" s="2" t="str">
        <f ca="1">IFERROR(__xludf.DUMMYFUNCTION("""COMPUTED_VALUE"""),"DRE - ITAITUBA")</f>
        <v>DRE - ITAITUBA</v>
      </c>
      <c r="F733" s="1">
        <f ca="1">IFERROR(__xludf.DUMMYFUNCTION("""COMPUTED_VALUE"""),3)</f>
        <v>3</v>
      </c>
      <c r="G733" s="1" t="str">
        <f ca="1">IFERROR(__xludf.DUMMYFUNCTION("""COMPUTED_VALUE"""),"DRE SANTAREM")</f>
        <v>DRE SANTAREM</v>
      </c>
      <c r="H733" s="1" t="str">
        <f ca="1">IFERROR(__xludf.DUMMYFUNCTION("""COMPUTED_VALUE"""),"05A URE - SANTAREM")</f>
        <v>05A URE - SANTAREM</v>
      </c>
      <c r="I733" s="1"/>
      <c r="J733" s="1" t="str">
        <f ca="1">IFERROR(__xludf.DUMMYFUNCTION("""COMPUTED_VALUE"""),"AVEIRO")</f>
        <v>AVEIRO</v>
      </c>
      <c r="K733" s="1">
        <f ca="1">IFERROR(__xludf.DUMMYFUNCTION("""COMPUTED_VALUE"""),15177360)</f>
        <v>15177360</v>
      </c>
      <c r="L733" s="2" t="str">
        <f ca="1">IFERROR(__xludf.DUMMYFUNCTION("""COMPUTED_VALUE"""),"001920903780001")</f>
        <v>001920903780001</v>
      </c>
      <c r="M733" s="2" t="str">
        <f ca="1">IFERROR(__xludf.DUMMYFUNCTION("""COMPUTED_VALUE"""),"1920903780001")</f>
        <v>1920903780001</v>
      </c>
      <c r="N733" s="1" t="str">
        <f ca="1">IFERROR(__xludf.DUMMYFUNCTION("""COMPUTED_VALUE"""),"ANEXO RURAL  EDUARDO ANGELIM")</f>
        <v>ANEXO RURAL  EDUARDO ANGELIM</v>
      </c>
      <c r="O733" s="1"/>
      <c r="P733" s="1"/>
      <c r="Q733" s="1" t="s">
        <v>752</v>
      </c>
    </row>
    <row r="734" spans="1:17" x14ac:dyDescent="0.25">
      <c r="A734" s="2" t="str">
        <f ca="1">IFERROR(__xludf.DUMMYFUNCTION("""COMPUTED_VALUE"""),"REG DE INTEGRA DO TAPAJOS")</f>
        <v>REG DE INTEGRA DO TAPAJOS</v>
      </c>
      <c r="B734" s="1" t="str">
        <f ca="1">IFERROR(__xludf.DUMMYFUNCTION("""COMPUTED_VALUE"""),"DRE ITAITUBA")</f>
        <v>DRE ITAITUBA</v>
      </c>
      <c r="C734" s="2" t="str">
        <f ca="1">IFERROR(__xludf.DUMMYFUNCTION("""COMPUTED_VALUE"""),"DRE - ITAITUBA")</f>
        <v>DRE - ITAITUBA</v>
      </c>
      <c r="D734" s="1"/>
      <c r="E734" s="2" t="str">
        <f ca="1">IFERROR(__xludf.DUMMYFUNCTION("""COMPUTED_VALUE"""),"DRE - ITAITUBA")</f>
        <v>DRE - ITAITUBA</v>
      </c>
      <c r="F734" s="1">
        <f ca="1">IFERROR(__xludf.DUMMYFUNCTION("""COMPUTED_VALUE"""),3)</f>
        <v>3</v>
      </c>
      <c r="G734" s="1" t="str">
        <f ca="1">IFERROR(__xludf.DUMMYFUNCTION("""COMPUTED_VALUE"""),"DRE SANTAREM")</f>
        <v>DRE SANTAREM</v>
      </c>
      <c r="H734" s="1" t="str">
        <f ca="1">IFERROR(__xludf.DUMMYFUNCTION("""COMPUTED_VALUE"""),"05A URE - SANTAREM")</f>
        <v>05A URE - SANTAREM</v>
      </c>
      <c r="I734" s="1"/>
      <c r="J734" s="1" t="str">
        <f ca="1">IFERROR(__xludf.DUMMYFUNCTION("""COMPUTED_VALUE"""),"AVEIRO")</f>
        <v>AVEIRO</v>
      </c>
      <c r="K734" s="1">
        <f ca="1">IFERROR(__xludf.DUMMYFUNCTION("""COMPUTED_VALUE"""),15099342)</f>
        <v>15099342</v>
      </c>
      <c r="L734" s="2" t="str">
        <f ca="1">IFERROR(__xludf.DUMMYFUNCTION("""COMPUTED_VALUE"""),"001920903780000")</f>
        <v>001920903780000</v>
      </c>
      <c r="M734" s="2" t="str">
        <f ca="1">IFERROR(__xludf.DUMMYFUNCTION("""COMPUTED_VALUE"""),"1920903780000")</f>
        <v>1920903780000</v>
      </c>
      <c r="N734" s="1" t="str">
        <f ca="1">IFERROR(__xludf.DUMMYFUNCTION("""COMPUTED_VALUE"""),"EEEM EDUARDO ANGELIM")</f>
        <v>EEEM EDUARDO ANGELIM</v>
      </c>
      <c r="O734" s="1"/>
      <c r="P734" s="1"/>
      <c r="Q734" s="1" t="s">
        <v>752</v>
      </c>
    </row>
    <row r="735" spans="1:17" x14ac:dyDescent="0.25">
      <c r="A735" s="2" t="str">
        <f ca="1">IFERROR(__xludf.DUMMYFUNCTION("""COMPUTED_VALUE"""),"REG DE INTEGRA DO TAPAJOS")</f>
        <v>REG DE INTEGRA DO TAPAJOS</v>
      </c>
      <c r="B735" s="1" t="str">
        <f ca="1">IFERROR(__xludf.DUMMYFUNCTION("""COMPUTED_VALUE"""),"DRE ITAITUBA")</f>
        <v>DRE ITAITUBA</v>
      </c>
      <c r="C735" s="2" t="str">
        <f ca="1">IFERROR(__xludf.DUMMYFUNCTION("""COMPUTED_VALUE"""),"DRE - ITAITUBA")</f>
        <v>DRE - ITAITUBA</v>
      </c>
      <c r="D735" s="1"/>
      <c r="E735" s="2" t="str">
        <f ca="1">IFERROR(__xludf.DUMMYFUNCTION("""COMPUTED_VALUE"""),"DRE - ITAITUBA")</f>
        <v>DRE - ITAITUBA</v>
      </c>
      <c r="F735" s="1">
        <f ca="1">IFERROR(__xludf.DUMMYFUNCTION("""COMPUTED_VALUE"""),3)</f>
        <v>3</v>
      </c>
      <c r="G735" s="1"/>
      <c r="H735" s="1" t="str">
        <f ca="1">IFERROR(__xludf.DUMMYFUNCTION("""COMPUTED_VALUE"""),"12A URE - ITAITUBA")</f>
        <v>12A URE - ITAITUBA</v>
      </c>
      <c r="I735" s="1"/>
      <c r="J735" s="1" t="str">
        <f ca="1">IFERROR(__xludf.DUMMYFUNCTION("""COMPUTED_VALUE"""),"AVEIRO")</f>
        <v>AVEIRO</v>
      </c>
      <c r="K735" s="1"/>
      <c r="L735" s="2" t="str">
        <f ca="1">IFERROR(__xludf.DUMMYFUNCTION("""COMPUTED_VALUE"""),"001920984000000")</f>
        <v>001920984000000</v>
      </c>
      <c r="M735" s="2" t="str">
        <f ca="1">IFERROR(__xludf.DUMMYFUNCTION("""COMPUTED_VALUE"""),"1920984000000")</f>
        <v>1920984000000</v>
      </c>
      <c r="N735" s="1" t="str">
        <f ca="1">IFERROR(__xludf.DUMMYFUNCTION("""COMPUTED_VALUE"""),"ESCOLA ESTADUAL RURAL DE AVEIRO")</f>
        <v>ESCOLA ESTADUAL RURAL DE AVEIRO</v>
      </c>
      <c r="O735" s="1"/>
      <c r="P735" s="1"/>
      <c r="Q735" s="1" t="s">
        <v>752</v>
      </c>
    </row>
    <row r="736" spans="1:17" x14ac:dyDescent="0.25">
      <c r="A736" s="2" t="str">
        <f ca="1">IFERROR(__xludf.DUMMYFUNCTION("""COMPUTED_VALUE"""),"REG DE INTEGRA DO TAPAJOS")</f>
        <v>REG DE INTEGRA DO TAPAJOS</v>
      </c>
      <c r="B736" s="1" t="str">
        <f ca="1">IFERROR(__xludf.DUMMYFUNCTION("""COMPUTED_VALUE"""),"DRE ITAITUBA")</f>
        <v>DRE ITAITUBA</v>
      </c>
      <c r="C736" s="2" t="str">
        <f ca="1">IFERROR(__xludf.DUMMYFUNCTION("""COMPUTED_VALUE"""),"DRE - ITAITUBA")</f>
        <v>DRE - ITAITUBA</v>
      </c>
      <c r="D736" s="1"/>
      <c r="E736" s="2" t="str">
        <f ca="1">IFERROR(__xludf.DUMMYFUNCTION("""COMPUTED_VALUE"""),"DRE - ITAITUBA")</f>
        <v>DRE - ITAITUBA</v>
      </c>
      <c r="F736" s="1">
        <f ca="1">IFERROR(__xludf.DUMMYFUNCTION("""COMPUTED_VALUE"""),3)</f>
        <v>3</v>
      </c>
      <c r="G736" s="1" t="str">
        <f ca="1">IFERROR(__xludf.DUMMYFUNCTION("""COMPUTED_VALUE"""),"DRE ITAITUBA")</f>
        <v>DRE ITAITUBA</v>
      </c>
      <c r="H736" s="1" t="str">
        <f ca="1">IFERROR(__xludf.DUMMYFUNCTION("""COMPUTED_VALUE"""),"12A URE - ITAITUBA")</f>
        <v>12A URE - ITAITUBA</v>
      </c>
      <c r="I736" s="1"/>
      <c r="J736" s="1" t="str">
        <f ca="1">IFERROR(__xludf.DUMMYFUNCTION("""COMPUTED_VALUE"""),"ITAITUBA")</f>
        <v>ITAITUBA</v>
      </c>
      <c r="K736" s="1"/>
      <c r="L736" s="2" t="str">
        <f ca="1">IFERROR(__xludf.DUMMYFUNCTION("""COMPUTED_VALUE"""),"001920900120000")</f>
        <v>001920900120000</v>
      </c>
      <c r="M736" s="2" t="str">
        <f ca="1">IFERROR(__xludf.DUMMYFUNCTION("""COMPUTED_VALUE"""),"1920900120000")</f>
        <v>1920900120000</v>
      </c>
      <c r="N736" s="1" t="str">
        <f ca="1">IFERROR(__xludf.DUMMYFUNCTION("""COMPUTED_VALUE"""),"12 URE")</f>
        <v>12 URE</v>
      </c>
      <c r="O736" s="1"/>
      <c r="P736" s="1"/>
      <c r="Q736" s="1" t="s">
        <v>752</v>
      </c>
    </row>
    <row r="737" spans="1:17" x14ac:dyDescent="0.25">
      <c r="A737" s="2" t="str">
        <f ca="1">IFERROR(__xludf.DUMMYFUNCTION("""COMPUTED_VALUE"""),"REG DE INTEGRA DO TAPAJOS")</f>
        <v>REG DE INTEGRA DO TAPAJOS</v>
      </c>
      <c r="B737" s="1" t="str">
        <f ca="1">IFERROR(__xludf.DUMMYFUNCTION("""COMPUTED_VALUE"""),"DRE ITAITUBA")</f>
        <v>DRE ITAITUBA</v>
      </c>
      <c r="C737" s="2" t="str">
        <f ca="1">IFERROR(__xludf.DUMMYFUNCTION("""COMPUTED_VALUE"""),"DRE - ITAITUBA")</f>
        <v>DRE - ITAITUBA</v>
      </c>
      <c r="D737" s="1"/>
      <c r="E737" s="2" t="str">
        <f ca="1">IFERROR(__xludf.DUMMYFUNCTION("""COMPUTED_VALUE"""),"DRE - ITAITUBA")</f>
        <v>DRE - ITAITUBA</v>
      </c>
      <c r="F737" s="1">
        <f ca="1">IFERROR(__xludf.DUMMYFUNCTION("""COMPUTED_VALUE"""),3)</f>
        <v>3</v>
      </c>
      <c r="G737" s="1" t="str">
        <f ca="1">IFERROR(__xludf.DUMMYFUNCTION("""COMPUTED_VALUE"""),"DRE ITAITUBA")</f>
        <v>DRE ITAITUBA</v>
      </c>
      <c r="H737" s="1" t="str">
        <f ca="1">IFERROR(__xludf.DUMMYFUNCTION("""COMPUTED_VALUE"""),"12A URE - ITAITUBA")</f>
        <v>12A URE - ITAITUBA</v>
      </c>
      <c r="I737" s="1"/>
      <c r="J737" s="1" t="str">
        <f ca="1">IFERROR(__xludf.DUMMYFUNCTION("""COMPUTED_VALUE"""),"ITAITUBA")</f>
        <v>ITAITUBA</v>
      </c>
      <c r="K737" s="1">
        <f ca="1">IFERROR(__xludf.DUMMYFUNCTION("""COMPUTED_VALUE"""),15177432)</f>
        <v>15177432</v>
      </c>
      <c r="L737" s="2" t="str">
        <f ca="1">IFERROR(__xludf.DUMMYFUNCTION("""COMPUTED_VALUE"""),"001920904150003")</f>
        <v>001920904150003</v>
      </c>
      <c r="M737" s="2" t="str">
        <f ca="1">IFERROR(__xludf.DUMMYFUNCTION("""COMPUTED_VALUE"""),"1920904150003")</f>
        <v>1920904150003</v>
      </c>
      <c r="N737" s="1" t="str">
        <f ca="1">IFERROR(__xludf.DUMMYFUNCTION("""COMPUTED_VALUE"""),"ANEXO RURAL BENEDITO CORREA DE SOUZA")</f>
        <v>ANEXO RURAL BENEDITO CORREA DE SOUZA</v>
      </c>
      <c r="O737" s="1"/>
      <c r="P737" s="1"/>
      <c r="Q737" s="1" t="s">
        <v>752</v>
      </c>
    </row>
    <row r="738" spans="1:17" x14ac:dyDescent="0.25">
      <c r="A738" s="2" t="str">
        <f ca="1">IFERROR(__xludf.DUMMYFUNCTION("""COMPUTED_VALUE"""),"REG DE INTEGRA DO TAPAJOS")</f>
        <v>REG DE INTEGRA DO TAPAJOS</v>
      </c>
      <c r="B738" s="1" t="str">
        <f ca="1">IFERROR(__xludf.DUMMYFUNCTION("""COMPUTED_VALUE"""),"DRE ITAITUBA")</f>
        <v>DRE ITAITUBA</v>
      </c>
      <c r="C738" s="2" t="str">
        <f ca="1">IFERROR(__xludf.DUMMYFUNCTION("""COMPUTED_VALUE"""),"DRE - ITAITUBA")</f>
        <v>DRE - ITAITUBA</v>
      </c>
      <c r="D738" s="1"/>
      <c r="E738" s="2" t="str">
        <f ca="1">IFERROR(__xludf.DUMMYFUNCTION("""COMPUTED_VALUE"""),"DRE - ITAITUBA")</f>
        <v>DRE - ITAITUBA</v>
      </c>
      <c r="F738" s="1">
        <f ca="1">IFERROR(__xludf.DUMMYFUNCTION("""COMPUTED_VALUE"""),3)</f>
        <v>3</v>
      </c>
      <c r="G738" s="1" t="str">
        <f ca="1">IFERROR(__xludf.DUMMYFUNCTION("""COMPUTED_VALUE"""),"DRE ITAITUBA")</f>
        <v>DRE ITAITUBA</v>
      </c>
      <c r="H738" s="1" t="str">
        <f ca="1">IFERROR(__xludf.DUMMYFUNCTION("""COMPUTED_VALUE"""),"12A URE - ITAITUBA")</f>
        <v>12A URE - ITAITUBA</v>
      </c>
      <c r="I738" s="1"/>
      <c r="J738" s="1" t="str">
        <f ca="1">IFERROR(__xludf.DUMMYFUNCTION("""COMPUTED_VALUE"""),"ITAITUBA")</f>
        <v>ITAITUBA</v>
      </c>
      <c r="K738" s="1">
        <f ca="1">IFERROR(__xludf.DUMMYFUNCTION("""COMPUTED_VALUE"""),15525791)</f>
        <v>15525791</v>
      </c>
      <c r="L738" s="2" t="str">
        <f ca="1">IFERROR(__xludf.DUMMYFUNCTION("""COMPUTED_VALUE"""),"001920904150000")</f>
        <v>001920904150000</v>
      </c>
      <c r="M738" s="2" t="str">
        <f ca="1">IFERROR(__xludf.DUMMYFUNCTION("""COMPUTED_VALUE"""),"1920904150000")</f>
        <v>1920904150000</v>
      </c>
      <c r="N738" s="1" t="str">
        <f ca="1">IFERROR(__xludf.DUMMYFUNCTION("""COMPUTED_VALUE"""),"EEEM BENEDITO CORREA DE SOUZA")</f>
        <v>EEEM BENEDITO CORREA DE SOUZA</v>
      </c>
      <c r="O738" s="1"/>
      <c r="P738" s="1"/>
      <c r="Q738" s="1" t="s">
        <v>752</v>
      </c>
    </row>
    <row r="739" spans="1:17" x14ac:dyDescent="0.25">
      <c r="A739" s="2" t="str">
        <f ca="1">IFERROR(__xludf.DUMMYFUNCTION("""COMPUTED_VALUE"""),"REG DE INTEGRA DO TAPAJOS")</f>
        <v>REG DE INTEGRA DO TAPAJOS</v>
      </c>
      <c r="B739" s="1" t="str">
        <f ca="1">IFERROR(__xludf.DUMMYFUNCTION("""COMPUTED_VALUE"""),"DRE ITAITUBA")</f>
        <v>DRE ITAITUBA</v>
      </c>
      <c r="C739" s="2" t="str">
        <f ca="1">IFERROR(__xludf.DUMMYFUNCTION("""COMPUTED_VALUE"""),"DRE - ITAITUBA")</f>
        <v>DRE - ITAITUBA</v>
      </c>
      <c r="D739" s="1"/>
      <c r="E739" s="2" t="str">
        <f ca="1">IFERROR(__xludf.DUMMYFUNCTION("""COMPUTED_VALUE"""),"DRE - ITAITUBA")</f>
        <v>DRE - ITAITUBA</v>
      </c>
      <c r="F739" s="1">
        <f ca="1">IFERROR(__xludf.DUMMYFUNCTION("""COMPUTED_VALUE"""),3)</f>
        <v>3</v>
      </c>
      <c r="G739" s="1" t="str">
        <f ca="1">IFERROR(__xludf.DUMMYFUNCTION("""COMPUTED_VALUE"""),"DRE ITAITUBA")</f>
        <v>DRE ITAITUBA</v>
      </c>
      <c r="H739" s="1" t="str">
        <f ca="1">IFERROR(__xludf.DUMMYFUNCTION("""COMPUTED_VALUE"""),"12A URE - ITAITUBA")</f>
        <v>12A URE - ITAITUBA</v>
      </c>
      <c r="I739" s="1"/>
      <c r="J739" s="1" t="str">
        <f ca="1">IFERROR(__xludf.DUMMYFUNCTION("""COMPUTED_VALUE"""),"ITAITUBA")</f>
        <v>ITAITUBA</v>
      </c>
      <c r="K739" s="1">
        <f ca="1">IFERROR(__xludf.DUMMYFUNCTION("""COMPUTED_VALUE"""),15169103)</f>
        <v>15169103</v>
      </c>
      <c r="L739" s="2" t="str">
        <f ca="1">IFERROR(__xludf.DUMMYFUNCTION("""COMPUTED_VALUE"""),"001920904150002")</f>
        <v>001920904150002</v>
      </c>
      <c r="M739" s="2" t="str">
        <f ca="1">IFERROR(__xludf.DUMMYFUNCTION("""COMPUTED_VALUE"""),"1920904150002")</f>
        <v>1920904150002</v>
      </c>
      <c r="N739" s="1" t="str">
        <f ca="1">IFERROR(__xludf.DUMMYFUNCTION("""COMPUTED_VALUE"""),"EEEM BENEDITO CORREA DE SOUZA - ANEXO 1")</f>
        <v>EEEM BENEDITO CORREA DE SOUZA - ANEXO 1</v>
      </c>
      <c r="O739" s="1"/>
      <c r="P739" s="1"/>
      <c r="Q739" s="1" t="s">
        <v>752</v>
      </c>
    </row>
    <row r="740" spans="1:17" x14ac:dyDescent="0.25">
      <c r="A740" s="2" t="str">
        <f ca="1">IFERROR(__xludf.DUMMYFUNCTION("""COMPUTED_VALUE"""),"REG DE INTEGRA DO TAPAJOS")</f>
        <v>REG DE INTEGRA DO TAPAJOS</v>
      </c>
      <c r="B740" s="1" t="str">
        <f ca="1">IFERROR(__xludf.DUMMYFUNCTION("""COMPUTED_VALUE"""),"DRE ITAITUBA")</f>
        <v>DRE ITAITUBA</v>
      </c>
      <c r="C740" s="2" t="str">
        <f ca="1">IFERROR(__xludf.DUMMYFUNCTION("""COMPUTED_VALUE"""),"DRE - ITAITUBA")</f>
        <v>DRE - ITAITUBA</v>
      </c>
      <c r="D740" s="1"/>
      <c r="E740" s="2" t="str">
        <f ca="1">IFERROR(__xludf.DUMMYFUNCTION("""COMPUTED_VALUE"""),"DRE - ITAITUBA")</f>
        <v>DRE - ITAITUBA</v>
      </c>
      <c r="F740" s="1">
        <f ca="1">IFERROR(__xludf.DUMMYFUNCTION("""COMPUTED_VALUE"""),3)</f>
        <v>3</v>
      </c>
      <c r="G740" s="1" t="str">
        <f ca="1">IFERROR(__xludf.DUMMYFUNCTION("""COMPUTED_VALUE"""),"DRE ITAITUBA")</f>
        <v>DRE ITAITUBA</v>
      </c>
      <c r="H740" s="1" t="str">
        <f ca="1">IFERROR(__xludf.DUMMYFUNCTION("""COMPUTED_VALUE"""),"12A URE - ITAITUBA")</f>
        <v>12A URE - ITAITUBA</v>
      </c>
      <c r="I740" s="1"/>
      <c r="J740" s="1" t="str">
        <f ca="1">IFERROR(__xludf.DUMMYFUNCTION("""COMPUTED_VALUE"""),"ITAITUBA")</f>
        <v>ITAITUBA</v>
      </c>
      <c r="K740" s="1">
        <f ca="1">IFERROR(__xludf.DUMMYFUNCTION("""COMPUTED_VALUE"""),15581039)</f>
        <v>15581039</v>
      </c>
      <c r="L740" s="2" t="str">
        <f ca="1">IFERROR(__xludf.DUMMYFUNCTION("""COMPUTED_VALUE"""),"001920932150000")</f>
        <v>001920932150000</v>
      </c>
      <c r="M740" s="2" t="str">
        <f ca="1">IFERROR(__xludf.DUMMYFUNCTION("""COMPUTED_VALUE"""),"1920932150000")</f>
        <v>1920932150000</v>
      </c>
      <c r="N740" s="1" t="str">
        <f ca="1">IFERROR(__xludf.DUMMYFUNCTION("""COMPUTED_VALUE"""),"EEEM CENTRO EDUCACIONAL ANCHIETA")</f>
        <v>EEEM CENTRO EDUCACIONAL ANCHIETA</v>
      </c>
      <c r="O740" s="1"/>
      <c r="P740" s="1"/>
      <c r="Q740" s="1" t="s">
        <v>752</v>
      </c>
    </row>
    <row r="741" spans="1:17" x14ac:dyDescent="0.25">
      <c r="A741" s="2" t="str">
        <f ca="1">IFERROR(__xludf.DUMMYFUNCTION("""COMPUTED_VALUE"""),"REG DE INTEGRA DO TAPAJOS")</f>
        <v>REG DE INTEGRA DO TAPAJOS</v>
      </c>
      <c r="B741" s="1" t="str">
        <f ca="1">IFERROR(__xludf.DUMMYFUNCTION("""COMPUTED_VALUE"""),"DRE ITAITUBA")</f>
        <v>DRE ITAITUBA</v>
      </c>
      <c r="C741" s="2" t="str">
        <f ca="1">IFERROR(__xludf.DUMMYFUNCTION("""COMPUTED_VALUE"""),"DRE - ITAITUBA")</f>
        <v>DRE - ITAITUBA</v>
      </c>
      <c r="D741" s="1"/>
      <c r="E741" s="2" t="str">
        <f ca="1">IFERROR(__xludf.DUMMYFUNCTION("""COMPUTED_VALUE"""),"DRE - ITAITUBA")</f>
        <v>DRE - ITAITUBA</v>
      </c>
      <c r="F741" s="1">
        <f ca="1">IFERROR(__xludf.DUMMYFUNCTION("""COMPUTED_VALUE"""),3)</f>
        <v>3</v>
      </c>
      <c r="G741" s="1" t="str">
        <f ca="1">IFERROR(__xludf.DUMMYFUNCTION("""COMPUTED_VALUE"""),"DRE ITAITUBA")</f>
        <v>DRE ITAITUBA</v>
      </c>
      <c r="H741" s="1" t="str">
        <f ca="1">IFERROR(__xludf.DUMMYFUNCTION("""COMPUTED_VALUE"""),"12A URE - ITAITUBA")</f>
        <v>12A URE - ITAITUBA</v>
      </c>
      <c r="I741" s="1"/>
      <c r="J741" s="1" t="str">
        <f ca="1">IFERROR(__xludf.DUMMYFUNCTION("""COMPUTED_VALUE"""),"ITAITUBA")</f>
        <v>ITAITUBA</v>
      </c>
      <c r="K741" s="1">
        <f ca="1">IFERROR(__xludf.DUMMYFUNCTION("""COMPUTED_VALUE"""),15535762)</f>
        <v>15535762</v>
      </c>
      <c r="L741" s="2" t="str">
        <f ca="1">IFERROR(__xludf.DUMMYFUNCTION("""COMPUTED_VALUE"""),"001920933810000")</f>
        <v>001920933810000</v>
      </c>
      <c r="M741" s="2" t="str">
        <f ca="1">IFERROR(__xludf.DUMMYFUNCTION("""COMPUTED_VALUE"""),"1920933810000")</f>
        <v>1920933810000</v>
      </c>
      <c r="N741" s="1" t="str">
        <f ca="1">IFERROR(__xludf.DUMMYFUNCTION("""COMPUTED_VALUE"""),"EEEM CENTRO MARANATA")</f>
        <v>EEEM CENTRO MARANATA</v>
      </c>
      <c r="O741" s="1"/>
      <c r="P741" s="1"/>
      <c r="Q741" s="1" t="s">
        <v>752</v>
      </c>
    </row>
    <row r="742" spans="1:17" x14ac:dyDescent="0.25">
      <c r="A742" s="2" t="str">
        <f ca="1">IFERROR(__xludf.DUMMYFUNCTION("""COMPUTED_VALUE"""),"REG DE INTEGRA DO TAPAJOS")</f>
        <v>REG DE INTEGRA DO TAPAJOS</v>
      </c>
      <c r="B742" s="1" t="str">
        <f ca="1">IFERROR(__xludf.DUMMYFUNCTION("""COMPUTED_VALUE"""),"DRE ITAITUBA")</f>
        <v>DRE ITAITUBA</v>
      </c>
      <c r="C742" s="2" t="str">
        <f ca="1">IFERROR(__xludf.DUMMYFUNCTION("""COMPUTED_VALUE"""),"DRE - ITAITUBA")</f>
        <v>DRE - ITAITUBA</v>
      </c>
      <c r="D742" s="1"/>
      <c r="E742" s="2" t="str">
        <f ca="1">IFERROR(__xludf.DUMMYFUNCTION("""COMPUTED_VALUE"""),"DRE - ITAITUBA")</f>
        <v>DRE - ITAITUBA</v>
      </c>
      <c r="F742" s="1">
        <f ca="1">IFERROR(__xludf.DUMMYFUNCTION("""COMPUTED_VALUE"""),3)</f>
        <v>3</v>
      </c>
      <c r="G742" s="1" t="str">
        <f ca="1">IFERROR(__xludf.DUMMYFUNCTION("""COMPUTED_VALUE"""),"DRE ITAITUBA")</f>
        <v>DRE ITAITUBA</v>
      </c>
      <c r="H742" s="1" t="str">
        <f ca="1">IFERROR(__xludf.DUMMYFUNCTION("""COMPUTED_VALUE"""),"12A URE - ITAITUBA")</f>
        <v>12A URE - ITAITUBA</v>
      </c>
      <c r="I742" s="1"/>
      <c r="J742" s="1" t="str">
        <f ca="1">IFERROR(__xludf.DUMMYFUNCTION("""COMPUTED_VALUE"""),"ITAITUBA")</f>
        <v>ITAITUBA</v>
      </c>
      <c r="K742" s="1">
        <f ca="1">IFERROR(__xludf.DUMMYFUNCTION("""COMPUTED_VALUE"""),15550044)</f>
        <v>15550044</v>
      </c>
      <c r="L742" s="2" t="str">
        <f ca="1">IFERROR(__xludf.DUMMYFUNCTION("""COMPUTED_VALUE"""),"001920932080000")</f>
        <v>001920932080000</v>
      </c>
      <c r="M742" s="2" t="str">
        <f ca="1">IFERROR(__xludf.DUMMYFUNCTION("""COMPUTED_VALUE"""),"1920932080000")</f>
        <v>1920932080000</v>
      </c>
      <c r="N742" s="1" t="str">
        <f ca="1">IFERROR(__xludf.DUMMYFUNCTION("""COMPUTED_VALUE"""),"EEEM ISAAC NEWTON")</f>
        <v>EEEM ISAAC NEWTON</v>
      </c>
      <c r="O742" s="1"/>
      <c r="P742" s="1"/>
      <c r="Q742" s="1" t="s">
        <v>752</v>
      </c>
    </row>
    <row r="743" spans="1:17" x14ac:dyDescent="0.25">
      <c r="A743" s="2" t="str">
        <f ca="1">IFERROR(__xludf.DUMMYFUNCTION("""COMPUTED_VALUE"""),"REG DE INTEGRA DO TAPAJOS")</f>
        <v>REG DE INTEGRA DO TAPAJOS</v>
      </c>
      <c r="B743" s="1" t="str">
        <f ca="1">IFERROR(__xludf.DUMMYFUNCTION("""COMPUTED_VALUE"""),"DRE ITAITUBA")</f>
        <v>DRE ITAITUBA</v>
      </c>
      <c r="C743" s="2" t="str">
        <f ca="1">IFERROR(__xludf.DUMMYFUNCTION("""COMPUTED_VALUE"""),"DRE - ITAITUBA")</f>
        <v>DRE - ITAITUBA</v>
      </c>
      <c r="D743" s="1"/>
      <c r="E743" s="2" t="str">
        <f ca="1">IFERROR(__xludf.DUMMYFUNCTION("""COMPUTED_VALUE"""),"DRE - ITAITUBA")</f>
        <v>DRE - ITAITUBA</v>
      </c>
      <c r="F743" s="1">
        <f ca="1">IFERROR(__xludf.DUMMYFUNCTION("""COMPUTED_VALUE"""),3)</f>
        <v>3</v>
      </c>
      <c r="G743" s="1" t="str">
        <f ca="1">IFERROR(__xludf.DUMMYFUNCTION("""COMPUTED_VALUE"""),"DRE ITAITUBA")</f>
        <v>DRE ITAITUBA</v>
      </c>
      <c r="H743" s="1" t="str">
        <f ca="1">IFERROR(__xludf.DUMMYFUNCTION("""COMPUTED_VALUE"""),"12A URE - ITAITUBA")</f>
        <v>12A URE - ITAITUBA</v>
      </c>
      <c r="I743" s="1"/>
      <c r="J743" s="1" t="str">
        <f ca="1">IFERROR(__xludf.DUMMYFUNCTION("""COMPUTED_VALUE"""),"ITAITUBA")</f>
        <v>ITAITUBA</v>
      </c>
      <c r="K743" s="1">
        <f ca="1">IFERROR(__xludf.DUMMYFUNCTION("""COMPUTED_VALUE"""),15168956)</f>
        <v>15168956</v>
      </c>
      <c r="L743" s="2" t="str">
        <f ca="1">IFERROR(__xludf.DUMMYFUNCTION("""COMPUTED_VALUE"""),"001920928820001")</f>
        <v>001920928820001</v>
      </c>
      <c r="M743" s="2" t="str">
        <f ca="1">IFERROR(__xludf.DUMMYFUNCTION("""COMPUTED_VALUE"""),"1920928820001")</f>
        <v>1920928820001</v>
      </c>
      <c r="N743" s="1" t="str">
        <f ca="1">IFERROR(__xludf.DUMMYFUNCTION("""COMPUTED_VALUE"""),"EEEM PROF MARIA DO SOCORRO JACOB ANEXO I")</f>
        <v>EEEM PROF MARIA DO SOCORRO JACOB ANEXO I</v>
      </c>
      <c r="O743" s="1"/>
      <c r="P743" s="1"/>
      <c r="Q743" s="1" t="s">
        <v>752</v>
      </c>
    </row>
    <row r="744" spans="1:17" x14ac:dyDescent="0.25">
      <c r="A744" s="2" t="str">
        <f ca="1">IFERROR(__xludf.DUMMYFUNCTION("""COMPUTED_VALUE"""),"REG DE INTEGRA DO TAPAJOS")</f>
        <v>REG DE INTEGRA DO TAPAJOS</v>
      </c>
      <c r="B744" s="1" t="str">
        <f ca="1">IFERROR(__xludf.DUMMYFUNCTION("""COMPUTED_VALUE"""),"DRE ITAITUBA")</f>
        <v>DRE ITAITUBA</v>
      </c>
      <c r="C744" s="2" t="str">
        <f ca="1">IFERROR(__xludf.DUMMYFUNCTION("""COMPUTED_VALUE"""),"DRE - ITAITUBA")</f>
        <v>DRE - ITAITUBA</v>
      </c>
      <c r="D744" s="1"/>
      <c r="E744" s="2" t="str">
        <f ca="1">IFERROR(__xludf.DUMMYFUNCTION("""COMPUTED_VALUE"""),"DRE - ITAITUBA")</f>
        <v>DRE - ITAITUBA</v>
      </c>
      <c r="F744" s="1">
        <f ca="1">IFERROR(__xludf.DUMMYFUNCTION("""COMPUTED_VALUE"""),3)</f>
        <v>3</v>
      </c>
      <c r="G744" s="1" t="str">
        <f ca="1">IFERROR(__xludf.DUMMYFUNCTION("""COMPUTED_VALUE"""),"DRE ITAITUBA")</f>
        <v>DRE ITAITUBA</v>
      </c>
      <c r="H744" s="1" t="str">
        <f ca="1">IFERROR(__xludf.DUMMYFUNCTION("""COMPUTED_VALUE"""),"12A URE - ITAITUBA")</f>
        <v>12A URE - ITAITUBA</v>
      </c>
      <c r="I744" s="1"/>
      <c r="J744" s="1" t="str">
        <f ca="1">IFERROR(__xludf.DUMMYFUNCTION("""COMPUTED_VALUE"""),"ITAITUBA")</f>
        <v>ITAITUBA</v>
      </c>
      <c r="K744" s="1">
        <f ca="1">IFERROR(__xludf.DUMMYFUNCTION("""COMPUTED_VALUE"""),15175510)</f>
        <v>15175510</v>
      </c>
      <c r="L744" s="2" t="str">
        <f ca="1">IFERROR(__xludf.DUMMYFUNCTION("""COMPUTED_VALUE"""),"001920949000000")</f>
        <v>001920949000000</v>
      </c>
      <c r="M744" s="2" t="str">
        <f ca="1">IFERROR(__xludf.DUMMYFUNCTION("""COMPUTED_VALUE"""),"1920949000000")</f>
        <v>1920949000000</v>
      </c>
      <c r="N744" s="1" t="str">
        <f ca="1">IFERROR(__xludf.DUMMYFUNCTION("""COMPUTED_VALUE"""),"EEEM PROFA JUSSARA TEREZINHA")</f>
        <v>EEEM PROFA JUSSARA TEREZINHA</v>
      </c>
      <c r="O744" s="1"/>
      <c r="P744" s="1"/>
      <c r="Q744" s="1" t="s">
        <v>752</v>
      </c>
    </row>
    <row r="745" spans="1:17" x14ac:dyDescent="0.25">
      <c r="A745" s="2" t="str">
        <f ca="1">IFERROR(__xludf.DUMMYFUNCTION("""COMPUTED_VALUE"""),"REG DE INTEGRA DO TAPAJOS")</f>
        <v>REG DE INTEGRA DO TAPAJOS</v>
      </c>
      <c r="B745" s="1" t="str">
        <f ca="1">IFERROR(__xludf.DUMMYFUNCTION("""COMPUTED_VALUE"""),"DRE ITAITUBA")</f>
        <v>DRE ITAITUBA</v>
      </c>
      <c r="C745" s="2" t="str">
        <f ca="1">IFERROR(__xludf.DUMMYFUNCTION("""COMPUTED_VALUE"""),"DRE - ITAITUBA")</f>
        <v>DRE - ITAITUBA</v>
      </c>
      <c r="D745" s="1"/>
      <c r="E745" s="2" t="str">
        <f ca="1">IFERROR(__xludf.DUMMYFUNCTION("""COMPUTED_VALUE"""),"DRE - ITAITUBA")</f>
        <v>DRE - ITAITUBA</v>
      </c>
      <c r="F745" s="1">
        <f ca="1">IFERROR(__xludf.DUMMYFUNCTION("""COMPUTED_VALUE"""),3)</f>
        <v>3</v>
      </c>
      <c r="G745" s="1" t="str">
        <f ca="1">IFERROR(__xludf.DUMMYFUNCTION("""COMPUTED_VALUE"""),"DRE ITAITUBA")</f>
        <v>DRE ITAITUBA</v>
      </c>
      <c r="H745" s="1" t="str">
        <f ca="1">IFERROR(__xludf.DUMMYFUNCTION("""COMPUTED_VALUE"""),"12A URE - ITAITUBA")</f>
        <v>12A URE - ITAITUBA</v>
      </c>
      <c r="I745" s="1"/>
      <c r="J745" s="1" t="str">
        <f ca="1">IFERROR(__xludf.DUMMYFUNCTION("""COMPUTED_VALUE"""),"ITAITUBA")</f>
        <v>ITAITUBA</v>
      </c>
      <c r="K745" s="1">
        <f ca="1">IFERROR(__xludf.DUMMYFUNCTION("""COMPUTED_VALUE"""),15101029)</f>
        <v>15101029</v>
      </c>
      <c r="L745" s="2" t="str">
        <f ca="1">IFERROR(__xludf.DUMMYFUNCTION("""COMPUTED_VALUE"""),"001920936730000")</f>
        <v>001920936730000</v>
      </c>
      <c r="M745" s="2" t="str">
        <f ca="1">IFERROR(__xludf.DUMMYFUNCTION("""COMPUTED_VALUE"""),"1920936730000")</f>
        <v>1920936730000</v>
      </c>
      <c r="N745" s="1" t="str">
        <f ca="1">IFERROR(__xludf.DUMMYFUNCTION("""COMPUTED_VALUE"""),"EEEM PROFA MARIA DAS GRACAS ESCOCIO CERQUEIRA")</f>
        <v>EEEM PROFA MARIA DAS GRACAS ESCOCIO CERQUEIRA</v>
      </c>
      <c r="O745" s="1"/>
      <c r="P745" s="1"/>
      <c r="Q745" s="1" t="s">
        <v>752</v>
      </c>
    </row>
    <row r="746" spans="1:17" x14ac:dyDescent="0.25">
      <c r="A746" s="2" t="str">
        <f ca="1">IFERROR(__xludf.DUMMYFUNCTION("""COMPUTED_VALUE"""),"REG DE INTEGRA DO TAPAJOS")</f>
        <v>REG DE INTEGRA DO TAPAJOS</v>
      </c>
      <c r="B746" s="1" t="str">
        <f ca="1">IFERROR(__xludf.DUMMYFUNCTION("""COMPUTED_VALUE"""),"DRE ITAITUBA")</f>
        <v>DRE ITAITUBA</v>
      </c>
      <c r="C746" s="2" t="str">
        <f ca="1">IFERROR(__xludf.DUMMYFUNCTION("""COMPUTED_VALUE"""),"DRE - ITAITUBA")</f>
        <v>DRE - ITAITUBA</v>
      </c>
      <c r="D746" s="1"/>
      <c r="E746" s="2" t="str">
        <f ca="1">IFERROR(__xludf.DUMMYFUNCTION("""COMPUTED_VALUE"""),"DRE - ITAITUBA")</f>
        <v>DRE - ITAITUBA</v>
      </c>
      <c r="F746" s="1">
        <f ca="1">IFERROR(__xludf.DUMMYFUNCTION("""COMPUTED_VALUE"""),3)</f>
        <v>3</v>
      </c>
      <c r="G746" s="1" t="str">
        <f ca="1">IFERROR(__xludf.DUMMYFUNCTION("""COMPUTED_VALUE"""),"DRE ITAITUBA")</f>
        <v>DRE ITAITUBA</v>
      </c>
      <c r="H746" s="1" t="str">
        <f ca="1">IFERROR(__xludf.DUMMYFUNCTION("""COMPUTED_VALUE"""),"12A URE - ITAITUBA")</f>
        <v>12A URE - ITAITUBA</v>
      </c>
      <c r="I746" s="1"/>
      <c r="J746" s="1" t="str">
        <f ca="1">IFERROR(__xludf.DUMMYFUNCTION("""COMPUTED_VALUE"""),"ITAITUBA")</f>
        <v>ITAITUBA</v>
      </c>
      <c r="K746" s="1">
        <f ca="1">IFERROR(__xludf.DUMMYFUNCTION("""COMPUTED_VALUE"""),15149510)</f>
        <v>15149510</v>
      </c>
      <c r="L746" s="2" t="str">
        <f ca="1">IFERROR(__xludf.DUMMYFUNCTION("""COMPUTED_VALUE"""),"001920928820000")</f>
        <v>001920928820000</v>
      </c>
      <c r="M746" s="2" t="str">
        <f ca="1">IFERROR(__xludf.DUMMYFUNCTION("""COMPUTED_VALUE"""),"1920928820000")</f>
        <v>1920928820000</v>
      </c>
      <c r="N746" s="1" t="str">
        <f ca="1">IFERROR(__xludf.DUMMYFUNCTION("""COMPUTED_VALUE"""),"EEEM PROFA MARIA DO SOCORRO JACOB")</f>
        <v>EEEM PROFA MARIA DO SOCORRO JACOB</v>
      </c>
      <c r="O746" s="1"/>
      <c r="P746" s="1"/>
      <c r="Q746" s="1" t="s">
        <v>752</v>
      </c>
    </row>
    <row r="747" spans="1:17" x14ac:dyDescent="0.25">
      <c r="A747" s="2" t="str">
        <f ca="1">IFERROR(__xludf.DUMMYFUNCTION("""COMPUTED_VALUE"""),"REG DE INTEGRA DO TAPAJOS")</f>
        <v>REG DE INTEGRA DO TAPAJOS</v>
      </c>
      <c r="B747" s="1" t="str">
        <f ca="1">IFERROR(__xludf.DUMMYFUNCTION("""COMPUTED_VALUE"""),"DRE ITAITUBA")</f>
        <v>DRE ITAITUBA</v>
      </c>
      <c r="C747" s="2" t="str">
        <f ca="1">IFERROR(__xludf.DUMMYFUNCTION("""COMPUTED_VALUE"""),"DRE - ITAITUBA")</f>
        <v>DRE - ITAITUBA</v>
      </c>
      <c r="D747" s="1"/>
      <c r="E747" s="2" t="str">
        <f ca="1">IFERROR(__xludf.DUMMYFUNCTION("""COMPUTED_VALUE"""),"DRE - ITAITUBA")</f>
        <v>DRE - ITAITUBA</v>
      </c>
      <c r="F747" s="1">
        <f ca="1">IFERROR(__xludf.DUMMYFUNCTION("""COMPUTED_VALUE"""),3)</f>
        <v>3</v>
      </c>
      <c r="G747" s="1" t="str">
        <f ca="1">IFERROR(__xludf.DUMMYFUNCTION("""COMPUTED_VALUE"""),"DRE ITAITUBA")</f>
        <v>DRE ITAITUBA</v>
      </c>
      <c r="H747" s="1" t="str">
        <f ca="1">IFERROR(__xludf.DUMMYFUNCTION("""COMPUTED_VALUE"""),"12A URE - ITAITUBA")</f>
        <v>12A URE - ITAITUBA</v>
      </c>
      <c r="I747" s="1"/>
      <c r="J747" s="1" t="str">
        <f ca="1">IFERROR(__xludf.DUMMYFUNCTION("""COMPUTED_VALUE"""),"ITAITUBA")</f>
        <v>ITAITUBA</v>
      </c>
      <c r="K747" s="1">
        <f ca="1">IFERROR(__xludf.DUMMYFUNCTION("""COMPUTED_VALUE"""),15169197)</f>
        <v>15169197</v>
      </c>
      <c r="L747" s="2" t="str">
        <f ca="1">IFERROR(__xludf.DUMMYFUNCTION("""COMPUTED_VALUE"""),"001920928820002")</f>
        <v>001920928820002</v>
      </c>
      <c r="M747" s="2" t="str">
        <f ca="1">IFERROR(__xludf.DUMMYFUNCTION("""COMPUTED_VALUE"""),"1920928820002")</f>
        <v>1920928820002</v>
      </c>
      <c r="N747" s="1" t="str">
        <f ca="1">IFERROR(__xludf.DUMMYFUNCTION("""COMPUTED_VALUE"""),"EEEM PROFA MARIA DO SOCORRO JACOB ANEXO II")</f>
        <v>EEEM PROFA MARIA DO SOCORRO JACOB ANEXO II</v>
      </c>
      <c r="O747" s="1"/>
      <c r="P747" s="1"/>
      <c r="Q747" s="1" t="s">
        <v>752</v>
      </c>
    </row>
    <row r="748" spans="1:17" x14ac:dyDescent="0.25">
      <c r="A748" s="2" t="str">
        <f ca="1">IFERROR(__xludf.DUMMYFUNCTION("""COMPUTED_VALUE"""),"REG DE INTEGRA DO TAPAJOS")</f>
        <v>REG DE INTEGRA DO TAPAJOS</v>
      </c>
      <c r="B748" s="1" t="str">
        <f ca="1">IFERROR(__xludf.DUMMYFUNCTION("""COMPUTED_VALUE"""),"DRE ITAITUBA")</f>
        <v>DRE ITAITUBA</v>
      </c>
      <c r="C748" s="2" t="str">
        <f ca="1">IFERROR(__xludf.DUMMYFUNCTION("""COMPUTED_VALUE"""),"DRE - ITAITUBA")</f>
        <v>DRE - ITAITUBA</v>
      </c>
      <c r="D748" s="1"/>
      <c r="E748" s="2" t="str">
        <f ca="1">IFERROR(__xludf.DUMMYFUNCTION("""COMPUTED_VALUE"""),"DRE - ITAITUBA")</f>
        <v>DRE - ITAITUBA</v>
      </c>
      <c r="F748" s="1">
        <f ca="1">IFERROR(__xludf.DUMMYFUNCTION("""COMPUTED_VALUE"""),3)</f>
        <v>3</v>
      </c>
      <c r="G748" s="1" t="str">
        <f ca="1">IFERROR(__xludf.DUMMYFUNCTION("""COMPUTED_VALUE"""),"DRE ITAITUBA")</f>
        <v>DRE ITAITUBA</v>
      </c>
      <c r="H748" s="1" t="str">
        <f ca="1">IFERROR(__xludf.DUMMYFUNCTION("""COMPUTED_VALUE"""),"12A URE - ITAITUBA")</f>
        <v>12A URE - ITAITUBA</v>
      </c>
      <c r="I748" s="1"/>
      <c r="J748" s="1" t="str">
        <f ca="1">IFERROR(__xludf.DUMMYFUNCTION("""COMPUTED_VALUE"""),"ITAITUBA")</f>
        <v>ITAITUBA</v>
      </c>
      <c r="K748" s="1">
        <f ca="1">IFERROR(__xludf.DUMMYFUNCTION("""COMPUTED_VALUE"""),15587894)</f>
        <v>15587894</v>
      </c>
      <c r="L748" s="2" t="str">
        <f ca="1">IFERROR(__xludf.DUMMYFUNCTION("""COMPUTED_VALUE"""),"001920937380000")</f>
        <v>001920937380000</v>
      </c>
      <c r="M748" s="2" t="str">
        <f ca="1">IFERROR(__xludf.DUMMYFUNCTION("""COMPUTED_VALUE"""),"1920937380000")</f>
        <v>1920937380000</v>
      </c>
      <c r="N748" s="1" t="str">
        <f ca="1">IFERROR(__xludf.DUMMYFUNCTION("""COMPUTED_VALUE"""),"EETEPA - ITAITUBA")</f>
        <v>EETEPA - ITAITUBA</v>
      </c>
      <c r="O748" s="1"/>
      <c r="P748" s="1"/>
      <c r="Q748" s="1" t="s">
        <v>752</v>
      </c>
    </row>
    <row r="749" spans="1:17" x14ac:dyDescent="0.25">
      <c r="A749" s="2" t="str">
        <f ca="1">IFERROR(__xludf.DUMMYFUNCTION("""COMPUTED_VALUE"""),"REG DE INTEGRA DO TAPAJOS")</f>
        <v>REG DE INTEGRA DO TAPAJOS</v>
      </c>
      <c r="B749" s="1" t="str">
        <f ca="1">IFERROR(__xludf.DUMMYFUNCTION("""COMPUTED_VALUE"""),"DRE ITAITUBA")</f>
        <v>DRE ITAITUBA</v>
      </c>
      <c r="C749" s="2" t="str">
        <f ca="1">IFERROR(__xludf.DUMMYFUNCTION("""COMPUTED_VALUE"""),"DRE - ITAITUBA")</f>
        <v>DRE - ITAITUBA</v>
      </c>
      <c r="D749" s="1"/>
      <c r="E749" s="2" t="str">
        <f ca="1">IFERROR(__xludf.DUMMYFUNCTION("""COMPUTED_VALUE"""),"DRE - ITAITUBA")</f>
        <v>DRE - ITAITUBA</v>
      </c>
      <c r="F749" s="1"/>
      <c r="G749" s="1"/>
      <c r="H749" s="1" t="str">
        <f ca="1">IFERROR(__xludf.DUMMYFUNCTION("""COMPUTED_VALUE"""),"12A URE - ITAITUBA")</f>
        <v>12A URE - ITAITUBA</v>
      </c>
      <c r="I749" s="1"/>
      <c r="J749" s="1" t="str">
        <f ca="1">IFERROR(__xludf.DUMMYFUNCTION("""COMPUTED_VALUE"""),"ITAITUBA")</f>
        <v>ITAITUBA</v>
      </c>
      <c r="K749" s="1"/>
      <c r="L749" s="2" t="str">
        <f ca="1">IFERROR(__xludf.DUMMYFUNCTION("""COMPUTED_VALUE"""),"001921014000000")</f>
        <v>001921014000000</v>
      </c>
      <c r="M749" s="2" t="str">
        <f ca="1">IFERROR(__xludf.DUMMYFUNCTION("""COMPUTED_VALUE"""),"1921014000000")</f>
        <v>1921014000000</v>
      </c>
      <c r="N749" s="1" t="str">
        <f ca="1">IFERROR(__xludf.DUMMYFUNCTION("""COMPUTED_VALUE"""),"ESCOLA ESTADUAL RURAL DE ITAITUBA")</f>
        <v>ESCOLA ESTADUAL RURAL DE ITAITUBA</v>
      </c>
      <c r="O749" s="1"/>
      <c r="P749" s="1"/>
      <c r="Q749" s="1" t="s">
        <v>752</v>
      </c>
    </row>
    <row r="750" spans="1:17" x14ac:dyDescent="0.25">
      <c r="A750" s="2" t="str">
        <f ca="1">IFERROR(__xludf.DUMMYFUNCTION("""COMPUTED_VALUE"""),"REG DE INTEGRA DO TAPAJOS")</f>
        <v>REG DE INTEGRA DO TAPAJOS</v>
      </c>
      <c r="B750" s="1" t="str">
        <f ca="1">IFERROR(__xludf.DUMMYFUNCTION("""COMPUTED_VALUE"""),"DRE ITAITUBA")</f>
        <v>DRE ITAITUBA</v>
      </c>
      <c r="C750" s="2" t="str">
        <f ca="1">IFERROR(__xludf.DUMMYFUNCTION("""COMPUTED_VALUE"""),"DRE - ITAITUBA")</f>
        <v>DRE - ITAITUBA</v>
      </c>
      <c r="D750" s="1"/>
      <c r="E750" s="2" t="str">
        <f ca="1">IFERROR(__xludf.DUMMYFUNCTION("""COMPUTED_VALUE"""),"DRE - ITAITUBA")</f>
        <v>DRE - ITAITUBA</v>
      </c>
      <c r="F750" s="1">
        <f ca="1">IFERROR(__xludf.DUMMYFUNCTION("""COMPUTED_VALUE"""),3)</f>
        <v>3</v>
      </c>
      <c r="G750" s="1" t="str">
        <f ca="1">IFERROR(__xludf.DUMMYFUNCTION("""COMPUTED_VALUE"""),"DRE ITAITUBA")</f>
        <v>DRE ITAITUBA</v>
      </c>
      <c r="H750" s="1" t="str">
        <f ca="1">IFERROR(__xludf.DUMMYFUNCTION("""COMPUTED_VALUE"""),"12A URE - ITAITUBA")</f>
        <v>12A URE - ITAITUBA</v>
      </c>
      <c r="I750" s="1"/>
      <c r="J750" s="1" t="str">
        <f ca="1">IFERROR(__xludf.DUMMYFUNCTION("""COMPUTED_VALUE"""),"JACAREACANGA")</f>
        <v>JACAREACANGA</v>
      </c>
      <c r="K750" s="1">
        <f ca="1">IFERROR(__xludf.DUMMYFUNCTION("""COMPUTED_VALUE"""),15177475)</f>
        <v>15177475</v>
      </c>
      <c r="L750" s="2" t="str">
        <f ca="1">IFERROR(__xludf.DUMMYFUNCTION("""COMPUTED_VALUE"""),"001920936690002")</f>
        <v>001920936690002</v>
      </c>
      <c r="M750" s="2" t="str">
        <f ca="1">IFERROR(__xludf.DUMMYFUNCTION("""COMPUTED_VALUE"""),"1920936690002")</f>
        <v>1920936690002</v>
      </c>
      <c r="N750" s="1" t="str">
        <f ca="1">IFERROR(__xludf.DUMMYFUNCTION("""COMPUTED_VALUE"""),"ANEXO RURAL BRIGADEIRO HAROLDO COIMBRA VELOSO")</f>
        <v>ANEXO RURAL BRIGADEIRO HAROLDO COIMBRA VELOSO</v>
      </c>
      <c r="O750" s="1"/>
      <c r="P750" s="1"/>
      <c r="Q750" s="1" t="s">
        <v>752</v>
      </c>
    </row>
    <row r="751" spans="1:17" x14ac:dyDescent="0.25">
      <c r="A751" s="2" t="str">
        <f ca="1">IFERROR(__xludf.DUMMYFUNCTION("""COMPUTED_VALUE"""),"REG DE INTEGRA DO TAPAJOS")</f>
        <v>REG DE INTEGRA DO TAPAJOS</v>
      </c>
      <c r="B751" s="1" t="str">
        <f ca="1">IFERROR(__xludf.DUMMYFUNCTION("""COMPUTED_VALUE"""),"DRE ITAITUBA")</f>
        <v>DRE ITAITUBA</v>
      </c>
      <c r="C751" s="2" t="str">
        <f ca="1">IFERROR(__xludf.DUMMYFUNCTION("""COMPUTED_VALUE"""),"DRE - ITAITUBA")</f>
        <v>DRE - ITAITUBA</v>
      </c>
      <c r="D751" s="1"/>
      <c r="E751" s="2" t="str">
        <f ca="1">IFERROR(__xludf.DUMMYFUNCTION("""COMPUTED_VALUE"""),"DRE - ITAITUBA")</f>
        <v>DRE - ITAITUBA</v>
      </c>
      <c r="F751" s="1">
        <f ca="1">IFERROR(__xludf.DUMMYFUNCTION("""COMPUTED_VALUE"""),3)</f>
        <v>3</v>
      </c>
      <c r="G751" s="1" t="str">
        <f ca="1">IFERROR(__xludf.DUMMYFUNCTION("""COMPUTED_VALUE"""),"DRE ITAITUBA")</f>
        <v>DRE ITAITUBA</v>
      </c>
      <c r="H751" s="1" t="str">
        <f ca="1">IFERROR(__xludf.DUMMYFUNCTION("""COMPUTED_VALUE"""),"12A URE - ITAITUBA")</f>
        <v>12A URE - ITAITUBA</v>
      </c>
      <c r="I751" s="1"/>
      <c r="J751" s="1" t="str">
        <f ca="1">IFERROR(__xludf.DUMMYFUNCTION("""COMPUTED_VALUE"""),"JACAREACANGA")</f>
        <v>JACAREACANGA</v>
      </c>
      <c r="K751" s="1">
        <f ca="1">IFERROR(__xludf.DUMMYFUNCTION("""COMPUTED_VALUE"""),15102254)</f>
        <v>15102254</v>
      </c>
      <c r="L751" s="2" t="str">
        <f ca="1">IFERROR(__xludf.DUMMYFUNCTION("""COMPUTED_VALUE"""),"001920936690000")</f>
        <v>001920936690000</v>
      </c>
      <c r="M751" s="2" t="str">
        <f ca="1">IFERROR(__xludf.DUMMYFUNCTION("""COMPUTED_VALUE"""),"1920936690000")</f>
        <v>1920936690000</v>
      </c>
      <c r="N751" s="1" t="str">
        <f ca="1">IFERROR(__xludf.DUMMYFUNCTION("""COMPUTED_VALUE"""),"EEEM BRIGADEIRO HAROLDO COIMBRA VELOSO")</f>
        <v>EEEM BRIGADEIRO HAROLDO COIMBRA VELOSO</v>
      </c>
      <c r="O751" s="1"/>
      <c r="P751" s="1"/>
      <c r="Q751" s="1" t="s">
        <v>752</v>
      </c>
    </row>
    <row r="752" spans="1:17" x14ac:dyDescent="0.25">
      <c r="A752" s="2" t="str">
        <f ca="1">IFERROR(__xludf.DUMMYFUNCTION("""COMPUTED_VALUE"""),"REG DE INTEGRA DO TAPAJOS")</f>
        <v>REG DE INTEGRA DO TAPAJOS</v>
      </c>
      <c r="B752" s="1" t="str">
        <f ca="1">IFERROR(__xludf.DUMMYFUNCTION("""COMPUTED_VALUE"""),"DRE ITAITUBA")</f>
        <v>DRE ITAITUBA</v>
      </c>
      <c r="C752" s="2" t="str">
        <f ca="1">IFERROR(__xludf.DUMMYFUNCTION("""COMPUTED_VALUE"""),"DRE - ITAITUBA")</f>
        <v>DRE - ITAITUBA</v>
      </c>
      <c r="D752" s="1"/>
      <c r="E752" s="2" t="str">
        <f ca="1">IFERROR(__xludf.DUMMYFUNCTION("""COMPUTED_VALUE"""),"DRE - ITAITUBA")</f>
        <v>DRE - ITAITUBA</v>
      </c>
      <c r="F752" s="1"/>
      <c r="G752" s="1"/>
      <c r="H752" s="1" t="str">
        <f ca="1">IFERROR(__xludf.DUMMYFUNCTION("""COMPUTED_VALUE"""),"12A URE - ITAITUBA")</f>
        <v>12A URE - ITAITUBA</v>
      </c>
      <c r="I752" s="1"/>
      <c r="J752" s="1" t="str">
        <f ca="1">IFERROR(__xludf.DUMMYFUNCTION("""COMPUTED_VALUE"""),"JACAREACANGA")</f>
        <v>JACAREACANGA</v>
      </c>
      <c r="K752" s="1"/>
      <c r="L752" s="2" t="str">
        <f ca="1">IFERROR(__xludf.DUMMYFUNCTION("""COMPUTED_VALUE"""),"001921015000000")</f>
        <v>001921015000000</v>
      </c>
      <c r="M752" s="2" t="str">
        <f ca="1">IFERROR(__xludf.DUMMYFUNCTION("""COMPUTED_VALUE"""),"1921015000000")</f>
        <v>1921015000000</v>
      </c>
      <c r="N752" s="1" t="str">
        <f ca="1">IFERROR(__xludf.DUMMYFUNCTION("""COMPUTED_VALUE"""),"ESCOLA ESTADUAL RURAL DE JACAREACANGA")</f>
        <v>ESCOLA ESTADUAL RURAL DE JACAREACANGA</v>
      </c>
      <c r="O752" s="1"/>
      <c r="P752" s="1"/>
      <c r="Q752" s="1" t="s">
        <v>752</v>
      </c>
    </row>
    <row r="753" spans="1:17" x14ac:dyDescent="0.25">
      <c r="A753" s="2" t="str">
        <f ca="1">IFERROR(__xludf.DUMMYFUNCTION("""COMPUTED_VALUE"""),"REG DE INTEGRA DO TAPAJOS")</f>
        <v>REG DE INTEGRA DO TAPAJOS</v>
      </c>
      <c r="B753" s="1" t="str">
        <f ca="1">IFERROR(__xludf.DUMMYFUNCTION("""COMPUTED_VALUE"""),"DRE ITAITUBA")</f>
        <v>DRE ITAITUBA</v>
      </c>
      <c r="C753" s="2" t="str">
        <f ca="1">IFERROR(__xludf.DUMMYFUNCTION("""COMPUTED_VALUE"""),"DRE - ITAITUBA")</f>
        <v>DRE - ITAITUBA</v>
      </c>
      <c r="D753" s="1"/>
      <c r="E753" s="2" t="str">
        <f ca="1">IFERROR(__xludf.DUMMYFUNCTION("""COMPUTED_VALUE"""),"DRE - ITAITUBA")</f>
        <v>DRE - ITAITUBA</v>
      </c>
      <c r="F753" s="1">
        <f ca="1">IFERROR(__xludf.DUMMYFUNCTION("""COMPUTED_VALUE"""),3)</f>
        <v>3</v>
      </c>
      <c r="G753" s="1" t="str">
        <f ca="1">IFERROR(__xludf.DUMMYFUNCTION("""COMPUTED_VALUE"""),"DRE ITAITUBA")</f>
        <v>DRE ITAITUBA</v>
      </c>
      <c r="H753" s="1" t="str">
        <f ca="1">IFERROR(__xludf.DUMMYFUNCTION("""COMPUTED_VALUE"""),"12A URE - ITAITUBA")</f>
        <v>12A URE - ITAITUBA</v>
      </c>
      <c r="I753" s="1"/>
      <c r="J753" s="1" t="str">
        <f ca="1">IFERROR(__xludf.DUMMYFUNCTION("""COMPUTED_VALUE"""),"NOVO PROGRESSO")</f>
        <v>NOVO PROGRESSO</v>
      </c>
      <c r="K753" s="1">
        <f ca="1">IFERROR(__xludf.DUMMYFUNCTION("""COMPUTED_VALUE"""),15177599)</f>
        <v>15177599</v>
      </c>
      <c r="L753" s="2" t="str">
        <f ca="1">IFERROR(__xludf.DUMMYFUNCTION("""COMPUTED_VALUE"""),"001920936800001")</f>
        <v>001920936800001</v>
      </c>
      <c r="M753" s="2" t="str">
        <f ca="1">IFERROR(__xludf.DUMMYFUNCTION("""COMPUTED_VALUE"""),"1920936800001")</f>
        <v>1920936800001</v>
      </c>
      <c r="N753" s="1" t="str">
        <f ca="1">IFERROR(__xludf.DUMMYFUNCTION("""COMPUTED_VALUE"""),"ANEXO RURAL WALDEMAR LINDERMAYER")</f>
        <v>ANEXO RURAL WALDEMAR LINDERMAYER</v>
      </c>
      <c r="O753" s="1"/>
      <c r="P753" s="1"/>
      <c r="Q753" s="1" t="s">
        <v>752</v>
      </c>
    </row>
    <row r="754" spans="1:17" x14ac:dyDescent="0.25">
      <c r="A754" s="2" t="str">
        <f ca="1">IFERROR(__xludf.DUMMYFUNCTION("""COMPUTED_VALUE"""),"REG DE INTEGRA DO TAPAJOS")</f>
        <v>REG DE INTEGRA DO TAPAJOS</v>
      </c>
      <c r="B754" s="1" t="str">
        <f ca="1">IFERROR(__xludf.DUMMYFUNCTION("""COMPUTED_VALUE"""),"DRE ITAITUBA")</f>
        <v>DRE ITAITUBA</v>
      </c>
      <c r="C754" s="2" t="str">
        <f ca="1">IFERROR(__xludf.DUMMYFUNCTION("""COMPUTED_VALUE"""),"DRE - ITAITUBA")</f>
        <v>DRE - ITAITUBA</v>
      </c>
      <c r="D754" s="1"/>
      <c r="E754" s="2" t="str">
        <f ca="1">IFERROR(__xludf.DUMMYFUNCTION("""COMPUTED_VALUE"""),"DRE - ITAITUBA")</f>
        <v>DRE - ITAITUBA</v>
      </c>
      <c r="F754" s="1">
        <f ca="1">IFERROR(__xludf.DUMMYFUNCTION("""COMPUTED_VALUE"""),3)</f>
        <v>3</v>
      </c>
      <c r="G754" s="1" t="str">
        <f ca="1">IFERROR(__xludf.DUMMYFUNCTION("""COMPUTED_VALUE"""),"DRE ITAITUBA")</f>
        <v>DRE ITAITUBA</v>
      </c>
      <c r="H754" s="1" t="str">
        <f ca="1">IFERROR(__xludf.DUMMYFUNCTION("""COMPUTED_VALUE"""),"12A URE - ITAITUBA")</f>
        <v>12A URE - ITAITUBA</v>
      </c>
      <c r="I754" s="1"/>
      <c r="J754" s="1" t="str">
        <f ca="1">IFERROR(__xludf.DUMMYFUNCTION("""COMPUTED_VALUE"""),"NOVO PROGRESSO")</f>
        <v>NOVO PROGRESSO</v>
      </c>
      <c r="K754" s="1">
        <f ca="1">IFERROR(__xludf.DUMMYFUNCTION("""COMPUTED_VALUE"""),15140741)</f>
        <v>15140741</v>
      </c>
      <c r="L754" s="2" t="str">
        <f ca="1">IFERROR(__xludf.DUMMYFUNCTION("""COMPUTED_VALUE"""),"001920936800000")</f>
        <v>001920936800000</v>
      </c>
      <c r="M754" s="2" t="str">
        <f ca="1">IFERROR(__xludf.DUMMYFUNCTION("""COMPUTED_VALUE"""),"1920936800000")</f>
        <v>1920936800000</v>
      </c>
      <c r="N754" s="1" t="str">
        <f ca="1">IFERROR(__xludf.DUMMYFUNCTION("""COMPUTED_VALUE"""),"EEEM WALDEMAR LINDERMAYER")</f>
        <v>EEEM WALDEMAR LINDERMAYER</v>
      </c>
      <c r="O754" s="1"/>
      <c r="P754" s="1"/>
      <c r="Q754" s="1" t="s">
        <v>752</v>
      </c>
    </row>
    <row r="755" spans="1:17" x14ac:dyDescent="0.25">
      <c r="A755" s="2" t="str">
        <f ca="1">IFERROR(__xludf.DUMMYFUNCTION("""COMPUTED_VALUE"""),"REG DE INTEGRA DO TAPAJOS")</f>
        <v>REG DE INTEGRA DO TAPAJOS</v>
      </c>
      <c r="B755" s="1" t="str">
        <f ca="1">IFERROR(__xludf.DUMMYFUNCTION("""COMPUTED_VALUE"""),"DRE ITAITUBA")</f>
        <v>DRE ITAITUBA</v>
      </c>
      <c r="C755" s="2" t="str">
        <f ca="1">IFERROR(__xludf.DUMMYFUNCTION("""COMPUTED_VALUE"""),"DRE - ITAITUBA")</f>
        <v>DRE - ITAITUBA</v>
      </c>
      <c r="D755" s="1"/>
      <c r="E755" s="2" t="str">
        <f ca="1">IFERROR(__xludf.DUMMYFUNCTION("""COMPUTED_VALUE"""),"DRE - ITAITUBA")</f>
        <v>DRE - ITAITUBA</v>
      </c>
      <c r="F755" s="1"/>
      <c r="G755" s="1"/>
      <c r="H755" s="1" t="str">
        <f ca="1">IFERROR(__xludf.DUMMYFUNCTION("""COMPUTED_VALUE"""),"12A URE - ITAITUBA")</f>
        <v>12A URE - ITAITUBA</v>
      </c>
      <c r="I755" s="1"/>
      <c r="J755" s="1" t="str">
        <f ca="1">IFERROR(__xludf.DUMMYFUNCTION("""COMPUTED_VALUE"""),"NOVO PROGRESSO")</f>
        <v>NOVO PROGRESSO</v>
      </c>
      <c r="K755" s="1"/>
      <c r="L755" s="2" t="str">
        <f ca="1">IFERROR(__xludf.DUMMYFUNCTION("""COMPUTED_VALUE"""),"001921016000000")</f>
        <v>001921016000000</v>
      </c>
      <c r="M755" s="2" t="str">
        <f ca="1">IFERROR(__xludf.DUMMYFUNCTION("""COMPUTED_VALUE"""),"1921016000000")</f>
        <v>1921016000000</v>
      </c>
      <c r="N755" s="1" t="str">
        <f ca="1">IFERROR(__xludf.DUMMYFUNCTION("""COMPUTED_VALUE"""),"ESCOLA ESTADUAL RURAL DE NOVO PROGRESSO")</f>
        <v>ESCOLA ESTADUAL RURAL DE NOVO PROGRESSO</v>
      </c>
      <c r="O755" s="1"/>
      <c r="P755" s="1"/>
      <c r="Q755" s="1" t="s">
        <v>752</v>
      </c>
    </row>
    <row r="756" spans="1:17" x14ac:dyDescent="0.25">
      <c r="A756" s="2" t="str">
        <f ca="1">IFERROR(__xludf.DUMMYFUNCTION("""COMPUTED_VALUE"""),"REG DE INTEGRA DO XINGU")</f>
        <v>REG DE INTEGRA DO XINGU</v>
      </c>
      <c r="B756" s="1" t="str">
        <f ca="1">IFERROR(__xludf.DUMMYFUNCTION("""COMPUTED_VALUE"""),"DRE ITAITUBA")</f>
        <v>DRE ITAITUBA</v>
      </c>
      <c r="C756" s="2" t="str">
        <f ca="1">IFERROR(__xludf.DUMMYFUNCTION("""COMPUTED_VALUE"""),"DRE - ITAITUBA")</f>
        <v>DRE - ITAITUBA</v>
      </c>
      <c r="D756" s="1"/>
      <c r="E756" s="2" t="str">
        <f ca="1">IFERROR(__xludf.DUMMYFUNCTION("""COMPUTED_VALUE"""),"DRE - ITAITUBA")</f>
        <v>DRE - ITAITUBA</v>
      </c>
      <c r="F756" s="1">
        <f ca="1">IFERROR(__xludf.DUMMYFUNCTION("""COMPUTED_VALUE"""),3)</f>
        <v>3</v>
      </c>
      <c r="G756" s="1" t="str">
        <f ca="1">IFERROR(__xludf.DUMMYFUNCTION("""COMPUTED_VALUE"""),"DRE ITAITUBA")</f>
        <v>DRE ITAITUBA</v>
      </c>
      <c r="H756" s="1" t="str">
        <f ca="1">IFERROR(__xludf.DUMMYFUNCTION("""COMPUTED_VALUE"""),"12A URE - ITAITUBA")</f>
        <v>12A URE - ITAITUBA</v>
      </c>
      <c r="I756" s="1"/>
      <c r="J756" s="1" t="str">
        <f ca="1">IFERROR(__xludf.DUMMYFUNCTION("""COMPUTED_VALUE"""),"PLACAS")</f>
        <v>PLACAS</v>
      </c>
      <c r="K756" s="1">
        <f ca="1">IFERROR(__xludf.DUMMYFUNCTION("""COMPUTED_VALUE"""),15177637)</f>
        <v>15177637</v>
      </c>
      <c r="L756" s="2" t="str">
        <f ca="1">IFERROR(__xludf.DUMMYFUNCTION("""COMPUTED_VALUE"""),"001920936950001")</f>
        <v>001920936950001</v>
      </c>
      <c r="M756" s="2" t="str">
        <f ca="1">IFERROR(__xludf.DUMMYFUNCTION("""COMPUTED_VALUE"""),"1920936950001")</f>
        <v>1920936950001</v>
      </c>
      <c r="N756" s="1" t="str">
        <f ca="1">IFERROR(__xludf.DUMMYFUNCTION("""COMPUTED_VALUE"""),"ANEXO RURAL PRESIDENTE TANCREDO NEVES")</f>
        <v>ANEXO RURAL PRESIDENTE TANCREDO NEVES</v>
      </c>
      <c r="O756" s="1"/>
      <c r="P756" s="1"/>
      <c r="Q756" s="1" t="s">
        <v>752</v>
      </c>
    </row>
    <row r="757" spans="1:17" x14ac:dyDescent="0.25">
      <c r="A757" s="2" t="str">
        <f ca="1">IFERROR(__xludf.DUMMYFUNCTION("""COMPUTED_VALUE"""),"REG DE INTEGRA DO XINGU")</f>
        <v>REG DE INTEGRA DO XINGU</v>
      </c>
      <c r="B757" s="1" t="str">
        <f ca="1">IFERROR(__xludf.DUMMYFUNCTION("""COMPUTED_VALUE"""),"DRE ITAITUBA")</f>
        <v>DRE ITAITUBA</v>
      </c>
      <c r="C757" s="2" t="str">
        <f ca="1">IFERROR(__xludf.DUMMYFUNCTION("""COMPUTED_VALUE"""),"DRE - ITAITUBA")</f>
        <v>DRE - ITAITUBA</v>
      </c>
      <c r="D757" s="1"/>
      <c r="E757" s="2" t="str">
        <f ca="1">IFERROR(__xludf.DUMMYFUNCTION("""COMPUTED_VALUE"""),"DRE - ITAITUBA")</f>
        <v>DRE - ITAITUBA</v>
      </c>
      <c r="F757" s="1">
        <f ca="1">IFERROR(__xludf.DUMMYFUNCTION("""COMPUTED_VALUE"""),3)</f>
        <v>3</v>
      </c>
      <c r="G757" s="1" t="str">
        <f ca="1">IFERROR(__xludf.DUMMYFUNCTION("""COMPUTED_VALUE"""),"DRE ITAITUBA")</f>
        <v>DRE ITAITUBA</v>
      </c>
      <c r="H757" s="1" t="str">
        <f ca="1">IFERROR(__xludf.DUMMYFUNCTION("""COMPUTED_VALUE"""),"12A URE - ITAITUBA")</f>
        <v>12A URE - ITAITUBA</v>
      </c>
      <c r="I757" s="1"/>
      <c r="J757" s="1" t="str">
        <f ca="1">IFERROR(__xludf.DUMMYFUNCTION("""COMPUTED_VALUE"""),"PLACAS")</f>
        <v>PLACAS</v>
      </c>
      <c r="K757" s="1">
        <f ca="1">IFERROR(__xludf.DUMMYFUNCTION("""COMPUTED_VALUE"""),15011330)</f>
        <v>15011330</v>
      </c>
      <c r="L757" s="2" t="str">
        <f ca="1">IFERROR(__xludf.DUMMYFUNCTION("""COMPUTED_VALUE"""),"001920936950000")</f>
        <v>001920936950000</v>
      </c>
      <c r="M757" s="2" t="str">
        <f ca="1">IFERROR(__xludf.DUMMYFUNCTION("""COMPUTED_VALUE"""),"1920936950000")</f>
        <v>1920936950000</v>
      </c>
      <c r="N757" s="1" t="str">
        <f ca="1">IFERROR(__xludf.DUMMYFUNCTION("""COMPUTED_VALUE"""),"EEEM PRESIDENTE TANCREDO NEVES")</f>
        <v>EEEM PRESIDENTE TANCREDO NEVES</v>
      </c>
      <c r="O757" s="1"/>
      <c r="P757" s="1"/>
      <c r="Q757" s="1" t="s">
        <v>752</v>
      </c>
    </row>
    <row r="758" spans="1:17" x14ac:dyDescent="0.25">
      <c r="A758" s="2" t="str">
        <f ca="1">IFERROR(__xludf.DUMMYFUNCTION("""COMPUTED_VALUE"""),"REG DE INTEGRA DO XINGU")</f>
        <v>REG DE INTEGRA DO XINGU</v>
      </c>
      <c r="B758" s="1" t="str">
        <f ca="1">IFERROR(__xludf.DUMMYFUNCTION("""COMPUTED_VALUE"""),"DRE ITAITUBA")</f>
        <v>DRE ITAITUBA</v>
      </c>
      <c r="C758" s="2" t="str">
        <f ca="1">IFERROR(__xludf.DUMMYFUNCTION("""COMPUTED_VALUE"""),"DRE - ITAITUBA")</f>
        <v>DRE - ITAITUBA</v>
      </c>
      <c r="D758" s="1"/>
      <c r="E758" s="2" t="str">
        <f ca="1">IFERROR(__xludf.DUMMYFUNCTION("""COMPUTED_VALUE"""),"DRE - ITAITUBA")</f>
        <v>DRE - ITAITUBA</v>
      </c>
      <c r="F758" s="1"/>
      <c r="G758" s="1"/>
      <c r="H758" s="1" t="str">
        <f ca="1">IFERROR(__xludf.DUMMYFUNCTION("""COMPUTED_VALUE"""),"12A URE - ITAITUBA")</f>
        <v>12A URE - ITAITUBA</v>
      </c>
      <c r="I758" s="1"/>
      <c r="J758" s="1" t="str">
        <f ca="1">IFERROR(__xludf.DUMMYFUNCTION("""COMPUTED_VALUE"""),"PLACAS")</f>
        <v>PLACAS</v>
      </c>
      <c r="K758" s="1"/>
      <c r="L758" s="2" t="str">
        <f ca="1">IFERROR(__xludf.DUMMYFUNCTION("""COMPUTED_VALUE"""),"001921017000000")</f>
        <v>001921017000000</v>
      </c>
      <c r="M758" s="2" t="str">
        <f ca="1">IFERROR(__xludf.DUMMYFUNCTION("""COMPUTED_VALUE"""),"1921017000000")</f>
        <v>1921017000000</v>
      </c>
      <c r="N758" s="1" t="str">
        <f ca="1">IFERROR(__xludf.DUMMYFUNCTION("""COMPUTED_VALUE"""),"ESCOLA ESTADUAL RURAL DE PLACAS")</f>
        <v>ESCOLA ESTADUAL RURAL DE PLACAS</v>
      </c>
      <c r="O758" s="1"/>
      <c r="P758" s="1"/>
      <c r="Q758" s="1" t="s">
        <v>752</v>
      </c>
    </row>
    <row r="759" spans="1:17" x14ac:dyDescent="0.25">
      <c r="A759" s="2" t="str">
        <f ca="1">IFERROR(__xludf.DUMMYFUNCTION("""COMPUTED_VALUE"""),"REG DE INTEGRA DO TAPAJOS")</f>
        <v>REG DE INTEGRA DO TAPAJOS</v>
      </c>
      <c r="B759" s="1" t="str">
        <f ca="1">IFERROR(__xludf.DUMMYFUNCTION("""COMPUTED_VALUE"""),"DRE ITAITUBA")</f>
        <v>DRE ITAITUBA</v>
      </c>
      <c r="C759" s="2" t="str">
        <f ca="1">IFERROR(__xludf.DUMMYFUNCTION("""COMPUTED_VALUE"""),"DRE - ITAITUBA")</f>
        <v>DRE - ITAITUBA</v>
      </c>
      <c r="D759" s="1"/>
      <c r="E759" s="2" t="str">
        <f ca="1">IFERROR(__xludf.DUMMYFUNCTION("""COMPUTED_VALUE"""),"DRE - ITAITUBA")</f>
        <v>DRE - ITAITUBA</v>
      </c>
      <c r="F759" s="1">
        <f ca="1">IFERROR(__xludf.DUMMYFUNCTION("""COMPUTED_VALUE"""),3)</f>
        <v>3</v>
      </c>
      <c r="G759" s="1" t="str">
        <f ca="1">IFERROR(__xludf.DUMMYFUNCTION("""COMPUTED_VALUE"""),"DRE ITAITUBA")</f>
        <v>DRE ITAITUBA</v>
      </c>
      <c r="H759" s="1" t="str">
        <f ca="1">IFERROR(__xludf.DUMMYFUNCTION("""COMPUTED_VALUE"""),"12A URE - ITAITUBA")</f>
        <v>12A URE - ITAITUBA</v>
      </c>
      <c r="I759" s="1"/>
      <c r="J759" s="1" t="str">
        <f ca="1">IFERROR(__xludf.DUMMYFUNCTION("""COMPUTED_VALUE"""),"RUROPOLIS")</f>
        <v>RUROPOLIS</v>
      </c>
      <c r="K759" s="1">
        <f ca="1">IFERROR(__xludf.DUMMYFUNCTION("""COMPUTED_VALUE"""),15102696)</f>
        <v>15102696</v>
      </c>
      <c r="L759" s="2" t="str">
        <f ca="1">IFERROR(__xludf.DUMMYFUNCTION("""COMPUTED_VALUE"""),"001920902970000")</f>
        <v>001920902970000</v>
      </c>
      <c r="M759" s="2" t="str">
        <f ca="1">IFERROR(__xludf.DUMMYFUNCTION("""COMPUTED_VALUE"""),"1920902970000")</f>
        <v>1920902970000</v>
      </c>
      <c r="N759" s="1" t="str">
        <f ca="1">IFERROR(__xludf.DUMMYFUNCTION("""COMPUTED_VALUE"""),"EE GOV EURICO VALE (SEDE)")</f>
        <v>EE GOV EURICO VALE (SEDE)</v>
      </c>
      <c r="O759" s="1"/>
      <c r="P759" s="1"/>
      <c r="Q759" s="1" t="s">
        <v>752</v>
      </c>
    </row>
    <row r="760" spans="1:17" x14ac:dyDescent="0.25">
      <c r="A760" s="2" t="str">
        <f ca="1">IFERROR(__xludf.DUMMYFUNCTION("""COMPUTED_VALUE"""),"REG DE INTEGRA DO TAPAJOS")</f>
        <v>REG DE INTEGRA DO TAPAJOS</v>
      </c>
      <c r="B760" s="1" t="str">
        <f ca="1">IFERROR(__xludf.DUMMYFUNCTION("""COMPUTED_VALUE"""),"DRE ITAITUBA")</f>
        <v>DRE ITAITUBA</v>
      </c>
      <c r="C760" s="2" t="str">
        <f ca="1">IFERROR(__xludf.DUMMYFUNCTION("""COMPUTED_VALUE"""),"DRE - ITAITUBA")</f>
        <v>DRE - ITAITUBA</v>
      </c>
      <c r="D760" s="1"/>
      <c r="E760" s="2" t="str">
        <f ca="1">IFERROR(__xludf.DUMMYFUNCTION("""COMPUTED_VALUE"""),"DRE - ITAITUBA")</f>
        <v>DRE - ITAITUBA</v>
      </c>
      <c r="F760" s="1">
        <f ca="1">IFERROR(__xludf.DUMMYFUNCTION("""COMPUTED_VALUE"""),3)</f>
        <v>3</v>
      </c>
      <c r="G760" s="1" t="str">
        <f ca="1">IFERROR(__xludf.DUMMYFUNCTION("""COMPUTED_VALUE"""),"DRE ITAITUBA")</f>
        <v>DRE ITAITUBA</v>
      </c>
      <c r="H760" s="1" t="str">
        <f ca="1">IFERROR(__xludf.DUMMYFUNCTION("""COMPUTED_VALUE"""),"12A URE - ITAITUBA")</f>
        <v>12A URE - ITAITUBA</v>
      </c>
      <c r="I760" s="1"/>
      <c r="J760" s="1" t="str">
        <f ca="1">IFERROR(__xludf.DUMMYFUNCTION("""COMPUTED_VALUE"""),"RUROPOLIS")</f>
        <v>RUROPOLIS</v>
      </c>
      <c r="K760" s="1">
        <f ca="1">IFERROR(__xludf.DUMMYFUNCTION("""COMPUTED_VALUE"""),15168700)</f>
        <v>15168700</v>
      </c>
      <c r="L760" s="2" t="str">
        <f ca="1">IFERROR(__xludf.DUMMYFUNCTION("""COMPUTED_VALUE"""),"001920902970001")</f>
        <v>001920902970001</v>
      </c>
      <c r="M760" s="2" t="str">
        <f ca="1">IFERROR(__xludf.DUMMYFUNCTION("""COMPUTED_VALUE"""),"1920902970001")</f>
        <v>1920902970001</v>
      </c>
      <c r="N760" s="1" t="str">
        <f ca="1">IFERROR(__xludf.DUMMYFUNCTION("""COMPUTED_VALUE"""),"EEEM GOVERNADOR EURICO VALE ANEXO I")</f>
        <v>EEEM GOVERNADOR EURICO VALE ANEXO I</v>
      </c>
      <c r="O760" s="1"/>
      <c r="P760" s="1"/>
      <c r="Q760" s="1" t="s">
        <v>752</v>
      </c>
    </row>
    <row r="761" spans="1:17" x14ac:dyDescent="0.25">
      <c r="A761" s="2" t="str">
        <f ca="1">IFERROR(__xludf.DUMMYFUNCTION("""COMPUTED_VALUE"""),"REG DE INTEGRA DO TAPAJOS")</f>
        <v>REG DE INTEGRA DO TAPAJOS</v>
      </c>
      <c r="B761" s="1" t="str">
        <f ca="1">IFERROR(__xludf.DUMMYFUNCTION("""COMPUTED_VALUE"""),"DRE ITAITUBA")</f>
        <v>DRE ITAITUBA</v>
      </c>
      <c r="C761" s="2" t="str">
        <f ca="1">IFERROR(__xludf.DUMMYFUNCTION("""COMPUTED_VALUE"""),"DRE - ITAITUBA")</f>
        <v>DRE - ITAITUBA</v>
      </c>
      <c r="D761" s="1"/>
      <c r="E761" s="2" t="str">
        <f ca="1">IFERROR(__xludf.DUMMYFUNCTION("""COMPUTED_VALUE"""),"DRE - ITAITUBA")</f>
        <v>DRE - ITAITUBA</v>
      </c>
      <c r="F761" s="1">
        <f ca="1">IFERROR(__xludf.DUMMYFUNCTION("""COMPUTED_VALUE"""),3)</f>
        <v>3</v>
      </c>
      <c r="G761" s="1" t="str">
        <f ca="1">IFERROR(__xludf.DUMMYFUNCTION("""COMPUTED_VALUE"""),"DRE ITAITUBA")</f>
        <v>DRE ITAITUBA</v>
      </c>
      <c r="H761" s="1" t="str">
        <f ca="1">IFERROR(__xludf.DUMMYFUNCTION("""COMPUTED_VALUE"""),"12A URE - ITAITUBA")</f>
        <v>12A URE - ITAITUBA</v>
      </c>
      <c r="I761" s="1"/>
      <c r="J761" s="1" t="str">
        <f ca="1">IFERROR(__xludf.DUMMYFUNCTION("""COMPUTED_VALUE"""),"TRAIRAO")</f>
        <v>TRAIRAO</v>
      </c>
      <c r="K761" s="1">
        <f ca="1">IFERROR(__xludf.DUMMYFUNCTION("""COMPUTED_VALUE"""),15177750)</f>
        <v>15177750</v>
      </c>
      <c r="L761" s="2" t="str">
        <f ca="1">IFERROR(__xludf.DUMMYFUNCTION("""COMPUTED_VALUE"""),"001920936840002")</f>
        <v>001920936840002</v>
      </c>
      <c r="M761" s="2" t="str">
        <f ca="1">IFERROR(__xludf.DUMMYFUNCTION("""COMPUTED_VALUE"""),"1920936840002")</f>
        <v>1920936840002</v>
      </c>
      <c r="N761" s="1" t="str">
        <f ca="1">IFERROR(__xludf.DUMMYFUNCTION("""COMPUTED_VALUE"""),"ANEXO RURAL DEP EVERALDO MARTINS")</f>
        <v>ANEXO RURAL DEP EVERALDO MARTINS</v>
      </c>
      <c r="O761" s="1"/>
      <c r="P761" s="1"/>
      <c r="Q761" s="1" t="s">
        <v>752</v>
      </c>
    </row>
    <row r="762" spans="1:17" x14ac:dyDescent="0.25">
      <c r="A762" s="2" t="str">
        <f ca="1">IFERROR(__xludf.DUMMYFUNCTION("""COMPUTED_VALUE"""),"REG DE INTEGRA DO TAPAJOS")</f>
        <v>REG DE INTEGRA DO TAPAJOS</v>
      </c>
      <c r="B762" s="1" t="str">
        <f ca="1">IFERROR(__xludf.DUMMYFUNCTION("""COMPUTED_VALUE"""),"DRE ITAITUBA")</f>
        <v>DRE ITAITUBA</v>
      </c>
      <c r="C762" s="2" t="str">
        <f ca="1">IFERROR(__xludf.DUMMYFUNCTION("""COMPUTED_VALUE"""),"DRE - ITAITUBA")</f>
        <v>DRE - ITAITUBA</v>
      </c>
      <c r="D762" s="1"/>
      <c r="E762" s="2" t="str">
        <f ca="1">IFERROR(__xludf.DUMMYFUNCTION("""COMPUTED_VALUE"""),"DRE - ITAITUBA")</f>
        <v>DRE - ITAITUBA</v>
      </c>
      <c r="F762" s="1">
        <f ca="1">IFERROR(__xludf.DUMMYFUNCTION("""COMPUTED_VALUE"""),3)</f>
        <v>3</v>
      </c>
      <c r="G762" s="1" t="str">
        <f ca="1">IFERROR(__xludf.DUMMYFUNCTION("""COMPUTED_VALUE"""),"DRE ITAITUBA")</f>
        <v>DRE ITAITUBA</v>
      </c>
      <c r="H762" s="1" t="str">
        <f ca="1">IFERROR(__xludf.DUMMYFUNCTION("""COMPUTED_VALUE"""),"12A URE - ITAITUBA")</f>
        <v>12A URE - ITAITUBA</v>
      </c>
      <c r="I762" s="1"/>
      <c r="J762" s="1" t="str">
        <f ca="1">IFERROR(__xludf.DUMMYFUNCTION("""COMPUTED_VALUE"""),"TRAIRAO")</f>
        <v>TRAIRAO</v>
      </c>
      <c r="K762" s="1">
        <f ca="1">IFERROR(__xludf.DUMMYFUNCTION("""COMPUTED_VALUE"""),15169561)</f>
        <v>15169561</v>
      </c>
      <c r="L762" s="2" t="str">
        <f ca="1">IFERROR(__xludf.DUMMYFUNCTION("""COMPUTED_VALUE"""),"001920936840001")</f>
        <v>001920936840001</v>
      </c>
      <c r="M762" s="2" t="str">
        <f ca="1">IFERROR(__xludf.DUMMYFUNCTION("""COMPUTED_VALUE"""),"1920936840001")</f>
        <v>1920936840001</v>
      </c>
      <c r="N762" s="1" t="str">
        <f ca="1">IFERROR(__xludf.DUMMYFUNCTION("""COMPUTED_VALUE"""),"EEEM DEP EVERALDO MARTINS ANEXO I")</f>
        <v>EEEM DEP EVERALDO MARTINS ANEXO I</v>
      </c>
      <c r="O762" s="1"/>
      <c r="P762" s="1"/>
      <c r="Q762" s="1" t="s">
        <v>752</v>
      </c>
    </row>
    <row r="763" spans="1:17" x14ac:dyDescent="0.25">
      <c r="A763" s="2" t="str">
        <f ca="1">IFERROR(__xludf.DUMMYFUNCTION("""COMPUTED_VALUE"""),"REG DE INTEGRA DO TAPAJOS")</f>
        <v>REG DE INTEGRA DO TAPAJOS</v>
      </c>
      <c r="B763" s="1" t="str">
        <f ca="1">IFERROR(__xludf.DUMMYFUNCTION("""COMPUTED_VALUE"""),"DRE ITAITUBA")</f>
        <v>DRE ITAITUBA</v>
      </c>
      <c r="C763" s="2" t="str">
        <f ca="1">IFERROR(__xludf.DUMMYFUNCTION("""COMPUTED_VALUE"""),"DRE - ITAITUBA")</f>
        <v>DRE - ITAITUBA</v>
      </c>
      <c r="D763" s="1"/>
      <c r="E763" s="2" t="str">
        <f ca="1">IFERROR(__xludf.DUMMYFUNCTION("""COMPUTED_VALUE"""),"DRE - ITAITUBA")</f>
        <v>DRE - ITAITUBA</v>
      </c>
      <c r="F763" s="1">
        <f ca="1">IFERROR(__xludf.DUMMYFUNCTION("""COMPUTED_VALUE"""),3)</f>
        <v>3</v>
      </c>
      <c r="G763" s="1" t="str">
        <f ca="1">IFERROR(__xludf.DUMMYFUNCTION("""COMPUTED_VALUE"""),"DRE ITAITUBA")</f>
        <v>DRE ITAITUBA</v>
      </c>
      <c r="H763" s="1" t="str">
        <f ca="1">IFERROR(__xludf.DUMMYFUNCTION("""COMPUTED_VALUE"""),"12A URE - ITAITUBA")</f>
        <v>12A URE - ITAITUBA</v>
      </c>
      <c r="I763" s="1"/>
      <c r="J763" s="1" t="str">
        <f ca="1">IFERROR(__xludf.DUMMYFUNCTION("""COMPUTED_VALUE"""),"TRAIRAO")</f>
        <v>TRAIRAO</v>
      </c>
      <c r="K763" s="1">
        <f ca="1">IFERROR(__xludf.DUMMYFUNCTION("""COMPUTED_VALUE"""),15101681)</f>
        <v>15101681</v>
      </c>
      <c r="L763" s="2" t="str">
        <f ca="1">IFERROR(__xludf.DUMMYFUNCTION("""COMPUTED_VALUE"""),"001920936840000")</f>
        <v>001920936840000</v>
      </c>
      <c r="M763" s="2" t="str">
        <f ca="1">IFERROR(__xludf.DUMMYFUNCTION("""COMPUTED_VALUE"""),"1920936840000")</f>
        <v>1920936840000</v>
      </c>
      <c r="N763" s="1" t="str">
        <f ca="1">IFERROR(__xludf.DUMMYFUNCTION("""COMPUTED_VALUE"""),"EEEM DEPUTADO EVERALDO MARTINS")</f>
        <v>EEEM DEPUTADO EVERALDO MARTINS</v>
      </c>
      <c r="O763" s="1"/>
      <c r="P763" s="1"/>
      <c r="Q763" s="1" t="s">
        <v>752</v>
      </c>
    </row>
    <row r="764" spans="1:17" x14ac:dyDescent="0.25">
      <c r="A764" s="2" t="str">
        <f ca="1">IFERROR(__xludf.DUMMYFUNCTION("""COMPUTED_VALUE"""),"REG DE INTEGRA DO TAPAJOS")</f>
        <v>REG DE INTEGRA DO TAPAJOS</v>
      </c>
      <c r="B764" s="1" t="str">
        <f ca="1">IFERROR(__xludf.DUMMYFUNCTION("""COMPUTED_VALUE"""),"DRE ITAITUBA")</f>
        <v>DRE ITAITUBA</v>
      </c>
      <c r="C764" s="2" t="str">
        <f ca="1">IFERROR(__xludf.DUMMYFUNCTION("""COMPUTED_VALUE"""),"DRE - ITAITUBA")</f>
        <v>DRE - ITAITUBA</v>
      </c>
      <c r="D764" s="1"/>
      <c r="E764" s="2" t="str">
        <f ca="1">IFERROR(__xludf.DUMMYFUNCTION("""COMPUTED_VALUE"""),"DRE - ITAITUBA")</f>
        <v>DRE - ITAITUBA</v>
      </c>
      <c r="F764" s="1"/>
      <c r="G764" s="1"/>
      <c r="H764" s="1" t="str">
        <f ca="1">IFERROR(__xludf.DUMMYFUNCTION("""COMPUTED_VALUE"""),"12A URE - ITAITUBA")</f>
        <v>12A URE - ITAITUBA</v>
      </c>
      <c r="I764" s="1"/>
      <c r="J764" s="1" t="str">
        <f ca="1">IFERROR(__xludf.DUMMYFUNCTION("""COMPUTED_VALUE"""),"TRAIRAO")</f>
        <v>TRAIRAO</v>
      </c>
      <c r="K764" s="1"/>
      <c r="L764" s="2" t="str">
        <f ca="1">IFERROR(__xludf.DUMMYFUNCTION("""COMPUTED_VALUE"""),"001921018000000")</f>
        <v>001921018000000</v>
      </c>
      <c r="M764" s="2" t="str">
        <f ca="1">IFERROR(__xludf.DUMMYFUNCTION("""COMPUTED_VALUE"""),"1921018000000")</f>
        <v>1921018000000</v>
      </c>
      <c r="N764" s="1" t="str">
        <f ca="1">IFERROR(__xludf.DUMMYFUNCTION("""COMPUTED_VALUE"""),"ESCOLA ESTADUAL RURAL DE TRAIRAO")</f>
        <v>ESCOLA ESTADUAL RURAL DE TRAIRAO</v>
      </c>
      <c r="O764" s="1"/>
      <c r="P764" s="1"/>
      <c r="Q764" s="1" t="s">
        <v>752</v>
      </c>
    </row>
    <row r="765" spans="1:17" x14ac:dyDescent="0.25">
      <c r="A765" s="2" t="str">
        <f ca="1">IFERROR(__xludf.DUMMYFUNCTION("""COMPUTED_VALUE"""),"REG DE INTEGRA DO RIO CAPIM")</f>
        <v>REG DE INTEGRA DO RIO CAPIM</v>
      </c>
      <c r="B765" s="1" t="str">
        <f ca="1">IFERROR(__xludf.DUMMYFUNCTION("""COMPUTED_VALUE"""),"DRE MAE DO RIO")</f>
        <v>DRE MAE DO RIO</v>
      </c>
      <c r="C765" s="2" t="str">
        <f ca="1">IFERROR(__xludf.DUMMYFUNCTION("""COMPUTED_VALUE"""),"DRE - MAE DO RIO")</f>
        <v>DRE - MAE DO RIO</v>
      </c>
      <c r="D765" s="1"/>
      <c r="E765" s="2" t="str">
        <f ca="1">IFERROR(__xludf.DUMMYFUNCTION("""COMPUTED_VALUE"""),"DRE - MAE DO RIO")</f>
        <v>DRE - MAE DO RIO</v>
      </c>
      <c r="F765" s="1">
        <f ca="1">IFERROR(__xludf.DUMMYFUNCTION("""COMPUTED_VALUE"""),2)</f>
        <v>2</v>
      </c>
      <c r="G765" s="1"/>
      <c r="H765" s="1" t="str">
        <f ca="1">IFERROR(__xludf.DUMMYFUNCTION("""COMPUTED_VALUE"""),"18A URE - MAE DO RIO")</f>
        <v>18A URE - MAE DO RIO</v>
      </c>
      <c r="I765" s="1"/>
      <c r="J765" s="1" t="str">
        <f ca="1">IFERROR(__xludf.DUMMYFUNCTION("""COMPUTED_VALUE"""),"AURORA DO PARA")</f>
        <v>AURORA DO PARA</v>
      </c>
      <c r="K765" s="1">
        <f ca="1">IFERROR(__xludf.DUMMYFUNCTION("""COMPUTED_VALUE"""),15177955)</f>
        <v>15177955</v>
      </c>
      <c r="L765" s="2" t="str">
        <f ca="1">IFERROR(__xludf.DUMMYFUNCTION("""COMPUTED_VALUE"""),"001920916530001")</f>
        <v>001920916530001</v>
      </c>
      <c r="M765" s="2" t="str">
        <f ca="1">IFERROR(__xludf.DUMMYFUNCTION("""COMPUTED_VALUE"""),"1920916530001")</f>
        <v>1920916530001</v>
      </c>
      <c r="N765" s="1" t="str">
        <f ca="1">IFERROR(__xludf.DUMMYFUNCTION("""COMPUTED_VALUE"""),"ANEXO RURAL  DR LAUDELINO PINTO SOARES")</f>
        <v>ANEXO RURAL  DR LAUDELINO PINTO SOARES</v>
      </c>
      <c r="O765" s="1"/>
      <c r="P765" s="1"/>
      <c r="Q765" s="1" t="s">
        <v>784</v>
      </c>
    </row>
    <row r="766" spans="1:17" x14ac:dyDescent="0.25">
      <c r="A766" s="2" t="str">
        <f ca="1">IFERROR(__xludf.DUMMYFUNCTION("""COMPUTED_VALUE"""),"REG DE INTEGRA DO RIO CAPIM")</f>
        <v>REG DE INTEGRA DO RIO CAPIM</v>
      </c>
      <c r="B766" s="1" t="str">
        <f ca="1">IFERROR(__xludf.DUMMYFUNCTION("""COMPUTED_VALUE"""),"DRE MAE DO RIO")</f>
        <v>DRE MAE DO RIO</v>
      </c>
      <c r="C766" s="2" t="str">
        <f ca="1">IFERROR(__xludf.DUMMYFUNCTION("""COMPUTED_VALUE"""),"DRE - MAE DO RIO")</f>
        <v>DRE - MAE DO RIO</v>
      </c>
      <c r="D766" s="1"/>
      <c r="E766" s="2" t="str">
        <f ca="1">IFERROR(__xludf.DUMMYFUNCTION("""COMPUTED_VALUE"""),"DRE - MAE DO RIO")</f>
        <v>DRE - MAE DO RIO</v>
      </c>
      <c r="F766" s="1">
        <f ca="1">IFERROR(__xludf.DUMMYFUNCTION("""COMPUTED_VALUE"""),2)</f>
        <v>2</v>
      </c>
      <c r="G766" s="1" t="str">
        <f ca="1">IFERROR(__xludf.DUMMYFUNCTION("""COMPUTED_VALUE"""),"DRE MAE DO RIO")</f>
        <v>DRE MAE DO RIO</v>
      </c>
      <c r="H766" s="1" t="str">
        <f ca="1">IFERROR(__xludf.DUMMYFUNCTION("""COMPUTED_VALUE"""),"18A URE - MAE DO RIO")</f>
        <v>18A URE - MAE DO RIO</v>
      </c>
      <c r="I766" s="1"/>
      <c r="J766" s="1" t="str">
        <f ca="1">IFERROR(__xludf.DUMMYFUNCTION("""COMPUTED_VALUE"""),"AURORA DO PARA")</f>
        <v>AURORA DO PARA</v>
      </c>
      <c r="K766" s="1">
        <f ca="1">IFERROR(__xludf.DUMMYFUNCTION("""COMPUTED_VALUE"""),15087050)</f>
        <v>15087050</v>
      </c>
      <c r="L766" s="2" t="str">
        <f ca="1">IFERROR(__xludf.DUMMYFUNCTION("""COMPUTED_VALUE"""),"001920916530000")</f>
        <v>001920916530000</v>
      </c>
      <c r="M766" s="2" t="str">
        <f ca="1">IFERROR(__xludf.DUMMYFUNCTION("""COMPUTED_VALUE"""),"1920916530000")</f>
        <v>1920916530000</v>
      </c>
      <c r="N766" s="1" t="str">
        <f ca="1">IFERROR(__xludf.DUMMYFUNCTION("""COMPUTED_VALUE"""),"EEEFM DR LAUDELINO PINTO SOARES")</f>
        <v>EEEFM DR LAUDELINO PINTO SOARES</v>
      </c>
      <c r="O766" s="1"/>
      <c r="P766" s="1"/>
      <c r="Q766" s="1" t="s">
        <v>784</v>
      </c>
    </row>
    <row r="767" spans="1:17" x14ac:dyDescent="0.25">
      <c r="A767" s="2" t="str">
        <f ca="1">IFERROR(__xludf.DUMMYFUNCTION("""COMPUTED_VALUE"""),"REG DE INTEGRA DO RIO CAPIM")</f>
        <v>REG DE INTEGRA DO RIO CAPIM</v>
      </c>
      <c r="B767" s="1" t="str">
        <f ca="1">IFERROR(__xludf.DUMMYFUNCTION("""COMPUTED_VALUE"""),"DRE MAE DO RIO")</f>
        <v>DRE MAE DO RIO</v>
      </c>
      <c r="C767" s="2" t="str">
        <f ca="1">IFERROR(__xludf.DUMMYFUNCTION("""COMPUTED_VALUE"""),"DRE - MAE DO RIO")</f>
        <v>DRE - MAE DO RIO</v>
      </c>
      <c r="D767" s="1"/>
      <c r="E767" s="2" t="str">
        <f ca="1">IFERROR(__xludf.DUMMYFUNCTION("""COMPUTED_VALUE"""),"DRE - MAE DO RIO")</f>
        <v>DRE - MAE DO RIO</v>
      </c>
      <c r="F767" s="1">
        <f ca="1">IFERROR(__xludf.DUMMYFUNCTION("""COMPUTED_VALUE"""),2)</f>
        <v>2</v>
      </c>
      <c r="G767" s="1" t="str">
        <f ca="1">IFERROR(__xludf.DUMMYFUNCTION("""COMPUTED_VALUE"""),"DRE MAE DO RIO")</f>
        <v>DRE MAE DO RIO</v>
      </c>
      <c r="H767" s="1" t="str">
        <f ca="1">IFERROR(__xludf.DUMMYFUNCTION("""COMPUTED_VALUE"""),"18A URE - MAE DO RIO")</f>
        <v>18A URE - MAE DO RIO</v>
      </c>
      <c r="I767" s="1"/>
      <c r="J767" s="1" t="str">
        <f ca="1">IFERROR(__xludf.DUMMYFUNCTION("""COMPUTED_VALUE"""),"AURORA DO PARA")</f>
        <v>AURORA DO PARA</v>
      </c>
      <c r="K767" s="1">
        <f ca="1">IFERROR(__xludf.DUMMYFUNCTION("""COMPUTED_VALUE"""),15087077)</f>
        <v>15087077</v>
      </c>
      <c r="L767" s="2" t="str">
        <f ca="1">IFERROR(__xludf.DUMMYFUNCTION("""COMPUTED_VALUE"""),"001920915480000")</f>
        <v>001920915480000</v>
      </c>
      <c r="M767" s="2" t="str">
        <f ca="1">IFERROR(__xludf.DUMMYFUNCTION("""COMPUTED_VALUE"""),"1920915480000")</f>
        <v>1920915480000</v>
      </c>
      <c r="N767" s="1" t="str">
        <f ca="1">IFERROR(__xludf.DUMMYFUNCTION("""COMPUTED_VALUE"""),"EEEFM MANOEL EMILIO PANTOJA")</f>
        <v>EEEFM MANOEL EMILIO PANTOJA</v>
      </c>
      <c r="O767" s="1"/>
      <c r="P767" s="1"/>
      <c r="Q767" s="1" t="s">
        <v>784</v>
      </c>
    </row>
    <row r="768" spans="1:17" x14ac:dyDescent="0.25">
      <c r="A768" s="2" t="str">
        <f ca="1">IFERROR(__xludf.DUMMYFUNCTION("""COMPUTED_VALUE"""),"REG DE INTEGRA DO RIO CAPIM")</f>
        <v>REG DE INTEGRA DO RIO CAPIM</v>
      </c>
      <c r="B768" s="1" t="str">
        <f ca="1">IFERROR(__xludf.DUMMYFUNCTION("""COMPUTED_VALUE"""),"DRE MAE DO RIO")</f>
        <v>DRE MAE DO RIO</v>
      </c>
      <c r="C768" s="2" t="str">
        <f ca="1">IFERROR(__xludf.DUMMYFUNCTION("""COMPUTED_VALUE"""),"DRE - MAE DO RIO")</f>
        <v>DRE - MAE DO RIO</v>
      </c>
      <c r="D768" s="1"/>
      <c r="E768" s="2" t="str">
        <f ca="1">IFERROR(__xludf.DUMMYFUNCTION("""COMPUTED_VALUE"""),"DRE - MAE DO RIO")</f>
        <v>DRE - MAE DO RIO</v>
      </c>
      <c r="F768" s="1">
        <f ca="1">IFERROR(__xludf.DUMMYFUNCTION("""COMPUTED_VALUE"""),2)</f>
        <v>2</v>
      </c>
      <c r="G768" s="1" t="str">
        <f ca="1">IFERROR(__xludf.DUMMYFUNCTION("""COMPUTED_VALUE"""),"DRE MAE DO RIO")</f>
        <v>DRE MAE DO RIO</v>
      </c>
      <c r="H768" s="1" t="str">
        <f ca="1">IFERROR(__xludf.DUMMYFUNCTION("""COMPUTED_VALUE"""),"18A URE - MAE DO RIO")</f>
        <v>18A URE - MAE DO RIO</v>
      </c>
      <c r="I768" s="1"/>
      <c r="J768" s="1" t="str">
        <f ca="1">IFERROR(__xludf.DUMMYFUNCTION("""COMPUTED_VALUE"""),"AURORA DO PARA")</f>
        <v>AURORA DO PARA</v>
      </c>
      <c r="K768" s="1">
        <f ca="1">IFERROR(__xludf.DUMMYFUNCTION("""COMPUTED_VALUE"""),15087042)</f>
        <v>15087042</v>
      </c>
      <c r="L768" s="2" t="str">
        <f ca="1">IFERROR(__xludf.DUMMYFUNCTION("""COMPUTED_VALUE"""),"001920916480000")</f>
        <v>001920916480000</v>
      </c>
      <c r="M768" s="2" t="str">
        <f ca="1">IFERROR(__xludf.DUMMYFUNCTION("""COMPUTED_VALUE"""),"1920916480000")</f>
        <v>1920916480000</v>
      </c>
      <c r="N768" s="1" t="str">
        <f ca="1">IFERROR(__xludf.DUMMYFUNCTION("""COMPUTED_VALUE"""),"EEEFM PROF HILDEBERTO REIS")</f>
        <v>EEEFM PROF HILDEBERTO REIS</v>
      </c>
      <c r="O768" s="1"/>
      <c r="P768" s="1"/>
      <c r="Q768" s="1" t="s">
        <v>784</v>
      </c>
    </row>
    <row r="769" spans="1:17" x14ac:dyDescent="0.25">
      <c r="A769" s="2" t="str">
        <f ca="1">IFERROR(__xludf.DUMMYFUNCTION("""COMPUTED_VALUE"""),"REG DE INTEGRA DO RIO CAPIM")</f>
        <v>REG DE INTEGRA DO RIO CAPIM</v>
      </c>
      <c r="B769" s="1" t="str">
        <f ca="1">IFERROR(__xludf.DUMMYFUNCTION("""COMPUTED_VALUE"""),"DRE MAE DO RIO")</f>
        <v>DRE MAE DO RIO</v>
      </c>
      <c r="C769" s="2" t="str">
        <f ca="1">IFERROR(__xludf.DUMMYFUNCTION("""COMPUTED_VALUE"""),"DRE - MAE DO RIO")</f>
        <v>DRE - MAE DO RIO</v>
      </c>
      <c r="D769" s="1"/>
      <c r="E769" s="2" t="str">
        <f ca="1">IFERROR(__xludf.DUMMYFUNCTION("""COMPUTED_VALUE"""),"DRE - MAE DO RIO")</f>
        <v>DRE - MAE DO RIO</v>
      </c>
      <c r="F769" s="1"/>
      <c r="G769" s="1"/>
      <c r="H769" s="1" t="str">
        <f ca="1">IFERROR(__xludf.DUMMYFUNCTION("""COMPUTED_VALUE"""),"18A URE - MAE DO RIO")</f>
        <v>18A URE - MAE DO RIO</v>
      </c>
      <c r="I769" s="1"/>
      <c r="J769" s="1" t="str">
        <f ca="1">IFERROR(__xludf.DUMMYFUNCTION("""COMPUTED_VALUE"""),"AURORA DO PARA")</f>
        <v>AURORA DO PARA</v>
      </c>
      <c r="K769" s="1"/>
      <c r="L769" s="2" t="str">
        <f ca="1">IFERROR(__xludf.DUMMYFUNCTION("""COMPUTED_VALUE"""),"001921042000000")</f>
        <v>001921042000000</v>
      </c>
      <c r="M769" s="2" t="str">
        <f ca="1">IFERROR(__xludf.DUMMYFUNCTION("""COMPUTED_VALUE"""),"1921042000000")</f>
        <v>1921042000000</v>
      </c>
      <c r="N769" s="1" t="str">
        <f ca="1">IFERROR(__xludf.DUMMYFUNCTION("""COMPUTED_VALUE"""),"ESCOLA ESTADUAL RURAL DE AURORA DO PARA")</f>
        <v>ESCOLA ESTADUAL RURAL DE AURORA DO PARA</v>
      </c>
      <c r="O769" s="1"/>
      <c r="P769" s="1"/>
      <c r="Q769" s="1" t="s">
        <v>784</v>
      </c>
    </row>
    <row r="770" spans="1:17" x14ac:dyDescent="0.25">
      <c r="A770" s="2" t="str">
        <f ca="1">IFERROR(__xludf.DUMMYFUNCTION("""COMPUTED_VALUE"""),"REG DE INTEGRA DO RIO CAPIM")</f>
        <v>REG DE INTEGRA DO RIO CAPIM</v>
      </c>
      <c r="B770" s="1" t="str">
        <f ca="1">IFERROR(__xludf.DUMMYFUNCTION("""COMPUTED_VALUE"""),"DRE MAE DO RIO")</f>
        <v>DRE MAE DO RIO</v>
      </c>
      <c r="C770" s="2" t="str">
        <f ca="1">IFERROR(__xludf.DUMMYFUNCTION("""COMPUTED_VALUE"""),"DRE - MAE DO RIO")</f>
        <v>DRE - MAE DO RIO</v>
      </c>
      <c r="D770" s="1"/>
      <c r="E770" s="2" t="str">
        <f ca="1">IFERROR(__xludf.DUMMYFUNCTION("""COMPUTED_VALUE"""),"DRE - MAE DO RIO")</f>
        <v>DRE - MAE DO RIO</v>
      </c>
      <c r="F770" s="1">
        <f ca="1">IFERROR(__xludf.DUMMYFUNCTION("""COMPUTED_VALUE"""),2)</f>
        <v>2</v>
      </c>
      <c r="G770" s="1"/>
      <c r="H770" s="1" t="str">
        <f ca="1">IFERROR(__xludf.DUMMYFUNCTION("""COMPUTED_VALUE"""),"18A URE - MAE DO RIO")</f>
        <v>18A URE - MAE DO RIO</v>
      </c>
      <c r="I770" s="1"/>
      <c r="J770" s="1" t="str">
        <f ca="1">IFERROR(__xludf.DUMMYFUNCTION("""COMPUTED_VALUE"""),"DOM ELISEU")</f>
        <v>DOM ELISEU</v>
      </c>
      <c r="K770" s="1">
        <f ca="1">IFERROR(__xludf.DUMMYFUNCTION("""COMPUTED_VALUE"""),15177963)</f>
        <v>15177963</v>
      </c>
      <c r="L770" s="2" t="str">
        <f ca="1">IFERROR(__xludf.DUMMYFUNCTION("""COMPUTED_VALUE"""),"001920901630003")</f>
        <v>001920901630003</v>
      </c>
      <c r="M770" s="2" t="str">
        <f ca="1">IFERROR(__xludf.DUMMYFUNCTION("""COMPUTED_VALUE"""),"1920901630003")</f>
        <v>1920901630003</v>
      </c>
      <c r="N770" s="1" t="str">
        <f ca="1">IFERROR(__xludf.DUMMYFUNCTION("""COMPUTED_VALUE"""),"ANEXO RURAL  LUIZ GUALBERTO PIMENTEL")</f>
        <v>ANEXO RURAL  LUIZ GUALBERTO PIMENTEL</v>
      </c>
      <c r="O770" s="1"/>
      <c r="P770" s="1"/>
      <c r="Q770" s="1" t="s">
        <v>784</v>
      </c>
    </row>
    <row r="771" spans="1:17" x14ac:dyDescent="0.25">
      <c r="A771" s="2" t="str">
        <f ca="1">IFERROR(__xludf.DUMMYFUNCTION("""COMPUTED_VALUE"""),"REG DE INTEGRA DO RIO CAPIM")</f>
        <v>REG DE INTEGRA DO RIO CAPIM</v>
      </c>
      <c r="B771" s="1" t="str">
        <f ca="1">IFERROR(__xludf.DUMMYFUNCTION("""COMPUTED_VALUE"""),"DRE MAE DO RIO")</f>
        <v>DRE MAE DO RIO</v>
      </c>
      <c r="C771" s="2" t="str">
        <f ca="1">IFERROR(__xludf.DUMMYFUNCTION("""COMPUTED_VALUE"""),"DRE - MAE DO RIO")</f>
        <v>DRE - MAE DO RIO</v>
      </c>
      <c r="D771" s="1"/>
      <c r="E771" s="2" t="str">
        <f ca="1">IFERROR(__xludf.DUMMYFUNCTION("""COMPUTED_VALUE"""),"DRE - MAE DO RIO")</f>
        <v>DRE - MAE DO RIO</v>
      </c>
      <c r="F771" s="1">
        <f ca="1">IFERROR(__xludf.DUMMYFUNCTION("""COMPUTED_VALUE"""),2)</f>
        <v>2</v>
      </c>
      <c r="G771" s="1" t="str">
        <f ca="1">IFERROR(__xludf.DUMMYFUNCTION("""COMPUTED_VALUE"""),"DRE MAE DO RIO")</f>
        <v>DRE MAE DO RIO</v>
      </c>
      <c r="H771" s="1" t="str">
        <f ca="1">IFERROR(__xludf.DUMMYFUNCTION("""COMPUTED_VALUE"""),"18A URE - MAE DO RIO")</f>
        <v>18A URE - MAE DO RIO</v>
      </c>
      <c r="I771" s="1"/>
      <c r="J771" s="1" t="str">
        <f ca="1">IFERROR(__xludf.DUMMYFUNCTION("""COMPUTED_VALUE"""),"DOM ELISEU")</f>
        <v>DOM ELISEU</v>
      </c>
      <c r="K771" s="1">
        <f ca="1">IFERROR(__xludf.DUMMYFUNCTION("""COMPUTED_VALUE"""),15116980)</f>
        <v>15116980</v>
      </c>
      <c r="L771" s="2" t="str">
        <f ca="1">IFERROR(__xludf.DUMMYFUNCTION("""COMPUTED_VALUE"""),"001920901630002")</f>
        <v>001920901630002</v>
      </c>
      <c r="M771" s="2" t="str">
        <f ca="1">IFERROR(__xludf.DUMMYFUNCTION("""COMPUTED_VALUE"""),"1920901630002")</f>
        <v>1920901630002</v>
      </c>
      <c r="N771" s="1" t="str">
        <f ca="1">IFERROR(__xludf.DUMMYFUNCTION("""COMPUTED_VALUE"""),"EEEM  LUIZ GUALBERTO PIMENTEL  - ANEXO II")</f>
        <v>EEEM  LUIZ GUALBERTO PIMENTEL  - ANEXO II</v>
      </c>
      <c r="O771" s="1"/>
      <c r="P771" s="1"/>
      <c r="Q771" s="1" t="s">
        <v>784</v>
      </c>
    </row>
    <row r="772" spans="1:17" x14ac:dyDescent="0.25">
      <c r="A772" s="2" t="str">
        <f ca="1">IFERROR(__xludf.DUMMYFUNCTION("""COMPUTED_VALUE"""),"REG DE INTEGRA DO RIO CAPIM")</f>
        <v>REG DE INTEGRA DO RIO CAPIM</v>
      </c>
      <c r="B772" s="1" t="str">
        <f ca="1">IFERROR(__xludf.DUMMYFUNCTION("""COMPUTED_VALUE"""),"DRE MAE DO RIO")</f>
        <v>DRE MAE DO RIO</v>
      </c>
      <c r="C772" s="2" t="str">
        <f ca="1">IFERROR(__xludf.DUMMYFUNCTION("""COMPUTED_VALUE"""),"DRE - MAE DO RIO")</f>
        <v>DRE - MAE DO RIO</v>
      </c>
      <c r="D772" s="1"/>
      <c r="E772" s="2" t="str">
        <f ca="1">IFERROR(__xludf.DUMMYFUNCTION("""COMPUTED_VALUE"""),"DRE - MAE DO RIO")</f>
        <v>DRE - MAE DO RIO</v>
      </c>
      <c r="F772" s="1">
        <f ca="1">IFERROR(__xludf.DUMMYFUNCTION("""COMPUTED_VALUE"""),2)</f>
        <v>2</v>
      </c>
      <c r="G772" s="1" t="str">
        <f ca="1">IFERROR(__xludf.DUMMYFUNCTION("""COMPUTED_VALUE"""),"DRE MAE DO RIO")</f>
        <v>DRE MAE DO RIO</v>
      </c>
      <c r="H772" s="1" t="str">
        <f ca="1">IFERROR(__xludf.DUMMYFUNCTION("""COMPUTED_VALUE"""),"18A URE - MAE DO RIO")</f>
        <v>18A URE - MAE DO RIO</v>
      </c>
      <c r="I772" s="1"/>
      <c r="J772" s="1" t="str">
        <f ca="1">IFERROR(__xludf.DUMMYFUNCTION("""COMPUTED_VALUE"""),"DOM ELISEU")</f>
        <v>DOM ELISEU</v>
      </c>
      <c r="K772" s="1">
        <f ca="1">IFERROR(__xludf.DUMMYFUNCTION("""COMPUTED_VALUE"""),15160262)</f>
        <v>15160262</v>
      </c>
      <c r="L772" s="2" t="str">
        <f ca="1">IFERROR(__xludf.DUMMYFUNCTION("""COMPUTED_VALUE"""),"001920937640000")</f>
        <v>001920937640000</v>
      </c>
      <c r="M772" s="2" t="str">
        <f ca="1">IFERROR(__xludf.DUMMYFUNCTION("""COMPUTED_VALUE"""),"1920937640000")</f>
        <v>1920937640000</v>
      </c>
      <c r="N772" s="1" t="str">
        <f ca="1">IFERROR(__xludf.DUMMYFUNCTION("""COMPUTED_VALUE"""),"EEEM ANTONIO JESUS DE OLIVEIRA")</f>
        <v>EEEM ANTONIO JESUS DE OLIVEIRA</v>
      </c>
      <c r="O772" s="1"/>
      <c r="P772" s="1"/>
      <c r="Q772" s="1" t="s">
        <v>784</v>
      </c>
    </row>
    <row r="773" spans="1:17" x14ac:dyDescent="0.25">
      <c r="A773" s="2" t="str">
        <f ca="1">IFERROR(__xludf.DUMMYFUNCTION("""COMPUTED_VALUE"""),"REG DE INTEGRA DO RIO CAPIM")</f>
        <v>REG DE INTEGRA DO RIO CAPIM</v>
      </c>
      <c r="B773" s="1" t="str">
        <f ca="1">IFERROR(__xludf.DUMMYFUNCTION("""COMPUTED_VALUE"""),"DRE MAE DO RIO")</f>
        <v>DRE MAE DO RIO</v>
      </c>
      <c r="C773" s="2" t="str">
        <f ca="1">IFERROR(__xludf.DUMMYFUNCTION("""COMPUTED_VALUE"""),"DRE - MAE DO RIO")</f>
        <v>DRE - MAE DO RIO</v>
      </c>
      <c r="D773" s="1"/>
      <c r="E773" s="2" t="str">
        <f ca="1">IFERROR(__xludf.DUMMYFUNCTION("""COMPUTED_VALUE"""),"DRE - MAE DO RIO")</f>
        <v>DRE - MAE DO RIO</v>
      </c>
      <c r="F773" s="1">
        <f ca="1">IFERROR(__xludf.DUMMYFUNCTION("""COMPUTED_VALUE"""),2)</f>
        <v>2</v>
      </c>
      <c r="G773" s="1" t="str">
        <f ca="1">IFERROR(__xludf.DUMMYFUNCTION("""COMPUTED_VALUE"""),"DRE MAE DO RIO")</f>
        <v>DRE MAE DO RIO</v>
      </c>
      <c r="H773" s="1" t="str">
        <f ca="1">IFERROR(__xludf.DUMMYFUNCTION("""COMPUTED_VALUE"""),"18A URE - MAE DO RIO")</f>
        <v>18A URE - MAE DO RIO</v>
      </c>
      <c r="I773" s="1"/>
      <c r="J773" s="1" t="str">
        <f ca="1">IFERROR(__xludf.DUMMYFUNCTION("""COMPUTED_VALUE"""),"DOM ELISEU")</f>
        <v>DOM ELISEU</v>
      </c>
      <c r="K773" s="1">
        <f ca="1">IFERROR(__xludf.DUMMYFUNCTION("""COMPUTED_VALUE"""),15116980)</f>
        <v>15116980</v>
      </c>
      <c r="L773" s="2" t="str">
        <f ca="1">IFERROR(__xludf.DUMMYFUNCTION("""COMPUTED_VALUE"""),"001920901630000")</f>
        <v>001920901630000</v>
      </c>
      <c r="M773" s="2" t="str">
        <f ca="1">IFERROR(__xludf.DUMMYFUNCTION("""COMPUTED_VALUE"""),"1920901630000")</f>
        <v>1920901630000</v>
      </c>
      <c r="N773" s="1" t="str">
        <f ca="1">IFERROR(__xludf.DUMMYFUNCTION("""COMPUTED_VALUE"""),"EEEM LUIZ GUALBERTO PIMENTEL")</f>
        <v>EEEM LUIZ GUALBERTO PIMENTEL</v>
      </c>
      <c r="O773" s="1"/>
      <c r="P773" s="1"/>
      <c r="Q773" s="1" t="s">
        <v>784</v>
      </c>
    </row>
    <row r="774" spans="1:17" x14ac:dyDescent="0.25">
      <c r="A774" s="2" t="str">
        <f ca="1">IFERROR(__xludf.DUMMYFUNCTION("""COMPUTED_VALUE"""),"REG DE INTEGRA DO RIO CAPIM")</f>
        <v>REG DE INTEGRA DO RIO CAPIM</v>
      </c>
      <c r="B774" s="1" t="str">
        <f ca="1">IFERROR(__xludf.DUMMYFUNCTION("""COMPUTED_VALUE"""),"DRE MAE DO RIO")</f>
        <v>DRE MAE DO RIO</v>
      </c>
      <c r="C774" s="2" t="str">
        <f ca="1">IFERROR(__xludf.DUMMYFUNCTION("""COMPUTED_VALUE"""),"DRE - MAE DO RIO")</f>
        <v>DRE - MAE DO RIO</v>
      </c>
      <c r="D774" s="1"/>
      <c r="E774" s="2" t="str">
        <f ca="1">IFERROR(__xludf.DUMMYFUNCTION("""COMPUTED_VALUE"""),"DRE - MAE DO RIO")</f>
        <v>DRE - MAE DO RIO</v>
      </c>
      <c r="F774" s="1"/>
      <c r="G774" s="1"/>
      <c r="H774" s="1" t="str">
        <f ca="1">IFERROR(__xludf.DUMMYFUNCTION("""COMPUTED_VALUE"""),"18A URE - MAE DO RIO")</f>
        <v>18A URE - MAE DO RIO</v>
      </c>
      <c r="I774" s="1"/>
      <c r="J774" s="1" t="str">
        <f ca="1">IFERROR(__xludf.DUMMYFUNCTION("""COMPUTED_VALUE"""),"DOM ELISEU")</f>
        <v>DOM ELISEU</v>
      </c>
      <c r="K774" s="1"/>
      <c r="L774" s="2" t="str">
        <f ca="1">IFERROR(__xludf.DUMMYFUNCTION("""COMPUTED_VALUE"""),"001921043000000")</f>
        <v>001921043000000</v>
      </c>
      <c r="M774" s="2" t="str">
        <f ca="1">IFERROR(__xludf.DUMMYFUNCTION("""COMPUTED_VALUE"""),"1921043000000")</f>
        <v>1921043000000</v>
      </c>
      <c r="N774" s="1" t="str">
        <f ca="1">IFERROR(__xludf.DUMMYFUNCTION("""COMPUTED_VALUE"""),"ESCOLA ESTADUAL RURAL DE DOM ELISEU")</f>
        <v>ESCOLA ESTADUAL RURAL DE DOM ELISEU</v>
      </c>
      <c r="O774" s="1"/>
      <c r="P774" s="1"/>
      <c r="Q774" s="1" t="s">
        <v>784</v>
      </c>
    </row>
    <row r="775" spans="1:17" x14ac:dyDescent="0.25">
      <c r="A775" s="2" t="str">
        <f ca="1">IFERROR(__xludf.DUMMYFUNCTION("""COMPUTED_VALUE"""),"REG DE INTEGRA DO RIO CAPIM")</f>
        <v>REG DE INTEGRA DO RIO CAPIM</v>
      </c>
      <c r="B775" s="1" t="str">
        <f ca="1">IFERROR(__xludf.DUMMYFUNCTION("""COMPUTED_VALUE"""),"DRE MAE DO RIO")</f>
        <v>DRE MAE DO RIO</v>
      </c>
      <c r="C775" s="2" t="str">
        <f ca="1">IFERROR(__xludf.DUMMYFUNCTION("""COMPUTED_VALUE"""),"DRE - MAE DO RIO")</f>
        <v>DRE - MAE DO RIO</v>
      </c>
      <c r="D775" s="1"/>
      <c r="E775" s="2" t="str">
        <f ca="1">IFERROR(__xludf.DUMMYFUNCTION("""COMPUTED_VALUE"""),"DRE - MAE DO RIO")</f>
        <v>DRE - MAE DO RIO</v>
      </c>
      <c r="F775" s="1">
        <f ca="1">IFERROR(__xludf.DUMMYFUNCTION("""COMPUTED_VALUE"""),2)</f>
        <v>2</v>
      </c>
      <c r="G775" s="1" t="str">
        <f ca="1">IFERROR(__xludf.DUMMYFUNCTION("""COMPUTED_VALUE"""),"DRE MAE DO RIO")</f>
        <v>DRE MAE DO RIO</v>
      </c>
      <c r="H775" s="1" t="str">
        <f ca="1">IFERROR(__xludf.DUMMYFUNCTION("""COMPUTED_VALUE"""),"18A URE - MAE DO RIO")</f>
        <v>18A URE - MAE DO RIO</v>
      </c>
      <c r="I775" s="1"/>
      <c r="J775" s="1" t="str">
        <f ca="1">IFERROR(__xludf.DUMMYFUNCTION("""COMPUTED_VALUE"""),"IPIXUNA DO PARA")</f>
        <v>IPIXUNA DO PARA</v>
      </c>
      <c r="K775" s="1">
        <f ca="1">IFERROR(__xludf.DUMMYFUNCTION("""COMPUTED_VALUE"""),15168743)</f>
        <v>15168743</v>
      </c>
      <c r="L775" s="2" t="str">
        <f ca="1">IFERROR(__xludf.DUMMYFUNCTION("""COMPUTED_VALUE"""),"001920915450001")</f>
        <v>001920915450001</v>
      </c>
      <c r="M775" s="2" t="str">
        <f ca="1">IFERROR(__xludf.DUMMYFUNCTION("""COMPUTED_VALUE"""),"1920915450001")</f>
        <v>1920915450001</v>
      </c>
      <c r="N775" s="1" t="str">
        <f ca="1">IFERROR(__xludf.DUMMYFUNCTION("""COMPUTED_VALUE"""),"EEEM ADELIA CARVALHO SODRE - ANEXO I")</f>
        <v>EEEM ADELIA CARVALHO SODRE - ANEXO I</v>
      </c>
      <c r="O775" s="1"/>
      <c r="P775" s="1"/>
      <c r="Q775" s="1" t="s">
        <v>784</v>
      </c>
    </row>
    <row r="776" spans="1:17" x14ac:dyDescent="0.25">
      <c r="A776" s="2" t="str">
        <f ca="1">IFERROR(__xludf.DUMMYFUNCTION("""COMPUTED_VALUE"""),"REG DE INTEGRA DO RIO CAPIM")</f>
        <v>REG DE INTEGRA DO RIO CAPIM</v>
      </c>
      <c r="B776" s="1" t="str">
        <f ca="1">IFERROR(__xludf.DUMMYFUNCTION("""COMPUTED_VALUE"""),"DRE MAE DO RIO")</f>
        <v>DRE MAE DO RIO</v>
      </c>
      <c r="C776" s="2" t="str">
        <f ca="1">IFERROR(__xludf.DUMMYFUNCTION("""COMPUTED_VALUE"""),"DRE - MAE DO RIO")</f>
        <v>DRE - MAE DO RIO</v>
      </c>
      <c r="D776" s="1"/>
      <c r="E776" s="2" t="str">
        <f ca="1">IFERROR(__xludf.DUMMYFUNCTION("""COMPUTED_VALUE"""),"DRE - MAE DO RIO")</f>
        <v>DRE - MAE DO RIO</v>
      </c>
      <c r="F776" s="1">
        <f ca="1">IFERROR(__xludf.DUMMYFUNCTION("""COMPUTED_VALUE"""),2)</f>
        <v>2</v>
      </c>
      <c r="G776" s="1" t="str">
        <f ca="1">IFERROR(__xludf.DUMMYFUNCTION("""COMPUTED_VALUE"""),"DRE MAE DO RIO")</f>
        <v>DRE MAE DO RIO</v>
      </c>
      <c r="H776" s="1" t="str">
        <f ca="1">IFERROR(__xludf.DUMMYFUNCTION("""COMPUTED_VALUE"""),"18A URE - MAE DO RIO")</f>
        <v>18A URE - MAE DO RIO</v>
      </c>
      <c r="I776" s="1"/>
      <c r="J776" s="1" t="str">
        <f ca="1">IFERROR(__xludf.DUMMYFUNCTION("""COMPUTED_VALUE"""),"IPIXUNA DO PARA")</f>
        <v>IPIXUNA DO PARA</v>
      </c>
      <c r="K776" s="1">
        <f ca="1">IFERROR(__xludf.DUMMYFUNCTION("""COMPUTED_VALUE"""),15094588)</f>
        <v>15094588</v>
      </c>
      <c r="L776" s="2" t="str">
        <f ca="1">IFERROR(__xludf.DUMMYFUNCTION("""COMPUTED_VALUE"""),"001920915450000")</f>
        <v>001920915450000</v>
      </c>
      <c r="M776" s="2" t="str">
        <f ca="1">IFERROR(__xludf.DUMMYFUNCTION("""COMPUTED_VALUE"""),"1920915450000")</f>
        <v>1920915450000</v>
      </c>
      <c r="N776" s="1" t="str">
        <f ca="1">IFERROR(__xludf.DUMMYFUNCTION("""COMPUTED_VALUE"""),"EEEM IRMA AGNES VINCQUIER")</f>
        <v>EEEM IRMA AGNES VINCQUIER</v>
      </c>
      <c r="O776" s="1"/>
      <c r="P776" s="1"/>
      <c r="Q776" s="1" t="s">
        <v>784</v>
      </c>
    </row>
    <row r="777" spans="1:17" x14ac:dyDescent="0.25">
      <c r="A777" s="2" t="str">
        <f ca="1">IFERROR(__xludf.DUMMYFUNCTION("""COMPUTED_VALUE"""),"REG DE INTEGRA DO RIO CAPIM")</f>
        <v>REG DE INTEGRA DO RIO CAPIM</v>
      </c>
      <c r="B777" s="1" t="str">
        <f ca="1">IFERROR(__xludf.DUMMYFUNCTION("""COMPUTED_VALUE"""),"DRE MAE DO RIO")</f>
        <v>DRE MAE DO RIO</v>
      </c>
      <c r="C777" s="2" t="str">
        <f ca="1">IFERROR(__xludf.DUMMYFUNCTION("""COMPUTED_VALUE"""),"DRE - MAE DO RIO")</f>
        <v>DRE - MAE DO RIO</v>
      </c>
      <c r="D777" s="1"/>
      <c r="E777" s="2" t="str">
        <f ca="1">IFERROR(__xludf.DUMMYFUNCTION("""COMPUTED_VALUE"""),"DRE - MAE DO RIO")</f>
        <v>DRE - MAE DO RIO</v>
      </c>
      <c r="F777" s="1">
        <f ca="1">IFERROR(__xludf.DUMMYFUNCTION("""COMPUTED_VALUE"""),2)</f>
        <v>2</v>
      </c>
      <c r="G777" s="1" t="str">
        <f ca="1">IFERROR(__xludf.DUMMYFUNCTION("""COMPUTED_VALUE"""),"DRE MAE DO RIO")</f>
        <v>DRE MAE DO RIO</v>
      </c>
      <c r="H777" s="1" t="str">
        <f ca="1">IFERROR(__xludf.DUMMYFUNCTION("""COMPUTED_VALUE"""),"18A URE - MAE DO RIO")</f>
        <v>18A URE - MAE DO RIO</v>
      </c>
      <c r="I777" s="1"/>
      <c r="J777" s="1" t="str">
        <f ca="1">IFERROR(__xludf.DUMMYFUNCTION("""COMPUTED_VALUE"""),"IRITUIA")</f>
        <v>IRITUIA</v>
      </c>
      <c r="K777" s="1">
        <f ca="1">IFERROR(__xludf.DUMMYFUNCTION("""COMPUTED_VALUE"""),15090833)</f>
        <v>15090833</v>
      </c>
      <c r="L777" s="2" t="str">
        <f ca="1">IFERROR(__xludf.DUMMYFUNCTION("""COMPUTED_VALUE"""),"001920916860000")</f>
        <v>001920916860000</v>
      </c>
      <c r="M777" s="2" t="str">
        <f ca="1">IFERROR(__xludf.DUMMYFUNCTION("""COMPUTED_VALUE"""),"1920916860000")</f>
        <v>1920916860000</v>
      </c>
      <c r="N777" s="1" t="str">
        <f ca="1">IFERROR(__xludf.DUMMYFUNCTION("""COMPUTED_VALUE"""),"EEEF ALACID NUNES")</f>
        <v>EEEF ALACID NUNES</v>
      </c>
      <c r="O777" s="1"/>
      <c r="P777" s="1"/>
      <c r="Q777" s="1" t="s">
        <v>784</v>
      </c>
    </row>
    <row r="778" spans="1:17" x14ac:dyDescent="0.25">
      <c r="A778" s="2" t="str">
        <f ca="1">IFERROR(__xludf.DUMMYFUNCTION("""COMPUTED_VALUE"""),"REG DE INTEGRA DO RIO CAPIM")</f>
        <v>REG DE INTEGRA DO RIO CAPIM</v>
      </c>
      <c r="B778" s="1" t="str">
        <f ca="1">IFERROR(__xludf.DUMMYFUNCTION("""COMPUTED_VALUE"""),"DRE MAE DO RIO")</f>
        <v>DRE MAE DO RIO</v>
      </c>
      <c r="C778" s="2" t="str">
        <f ca="1">IFERROR(__xludf.DUMMYFUNCTION("""COMPUTED_VALUE"""),"DRE - MAE DO RIO")</f>
        <v>DRE - MAE DO RIO</v>
      </c>
      <c r="D778" s="1"/>
      <c r="E778" s="2" t="str">
        <f ca="1">IFERROR(__xludf.DUMMYFUNCTION("""COMPUTED_VALUE"""),"DRE - MAE DO RIO")</f>
        <v>DRE - MAE DO RIO</v>
      </c>
      <c r="F778" s="1">
        <f ca="1">IFERROR(__xludf.DUMMYFUNCTION("""COMPUTED_VALUE"""),2)</f>
        <v>2</v>
      </c>
      <c r="G778" s="1" t="str">
        <f ca="1">IFERROR(__xludf.DUMMYFUNCTION("""COMPUTED_VALUE"""),"DRE MAE DO RIO")</f>
        <v>DRE MAE DO RIO</v>
      </c>
      <c r="H778" s="1" t="str">
        <f ca="1">IFERROR(__xludf.DUMMYFUNCTION("""COMPUTED_VALUE"""),"18A URE - MAE DO RIO")</f>
        <v>18A URE - MAE DO RIO</v>
      </c>
      <c r="I778" s="1"/>
      <c r="J778" s="1" t="str">
        <f ca="1">IFERROR(__xludf.DUMMYFUNCTION("""COMPUTED_VALUE"""),"IRITUIA")</f>
        <v>IRITUIA</v>
      </c>
      <c r="K778" s="1">
        <f ca="1">IFERROR(__xludf.DUMMYFUNCTION("""COMPUTED_VALUE"""),15090930)</f>
        <v>15090930</v>
      </c>
      <c r="L778" s="2" t="str">
        <f ca="1">IFERROR(__xludf.DUMMYFUNCTION("""COMPUTED_VALUE"""),"001920927660005")</f>
        <v>001920927660005</v>
      </c>
      <c r="M778" s="2" t="str">
        <f ca="1">IFERROR(__xludf.DUMMYFUNCTION("""COMPUTED_VALUE"""),"1920927660005")</f>
        <v>1920927660005</v>
      </c>
      <c r="N778" s="1" t="str">
        <f ca="1">IFERROR(__xludf.DUMMYFUNCTION("""COMPUTED_VALUE"""),"EEEF BANGU")</f>
        <v>EEEF BANGU</v>
      </c>
      <c r="O778" s="1"/>
      <c r="P778" s="1"/>
      <c r="Q778" s="1" t="s">
        <v>784</v>
      </c>
    </row>
    <row r="779" spans="1:17" x14ac:dyDescent="0.25">
      <c r="A779" s="2" t="str">
        <f ca="1">IFERROR(__xludf.DUMMYFUNCTION("""COMPUTED_VALUE"""),"REG DE INTEGRA DO RIO CAPIM")</f>
        <v>REG DE INTEGRA DO RIO CAPIM</v>
      </c>
      <c r="B779" s="1" t="str">
        <f ca="1">IFERROR(__xludf.DUMMYFUNCTION("""COMPUTED_VALUE"""),"DRE MAE DO RIO")</f>
        <v>DRE MAE DO RIO</v>
      </c>
      <c r="C779" s="2" t="str">
        <f ca="1">IFERROR(__xludf.DUMMYFUNCTION("""COMPUTED_VALUE"""),"DRE - MAE DO RIO")</f>
        <v>DRE - MAE DO RIO</v>
      </c>
      <c r="D779" s="1"/>
      <c r="E779" s="2" t="str">
        <f ca="1">IFERROR(__xludf.DUMMYFUNCTION("""COMPUTED_VALUE"""),"DRE - MAE DO RIO")</f>
        <v>DRE - MAE DO RIO</v>
      </c>
      <c r="F779" s="1">
        <f ca="1">IFERROR(__xludf.DUMMYFUNCTION("""COMPUTED_VALUE"""),2)</f>
        <v>2</v>
      </c>
      <c r="G779" s="1" t="str">
        <f ca="1">IFERROR(__xludf.DUMMYFUNCTION("""COMPUTED_VALUE"""),"DRE MAE DO RIO")</f>
        <v>DRE MAE DO RIO</v>
      </c>
      <c r="H779" s="1" t="str">
        <f ca="1">IFERROR(__xludf.DUMMYFUNCTION("""COMPUTED_VALUE"""),"18A URE - MAE DO RIO")</f>
        <v>18A URE - MAE DO RIO</v>
      </c>
      <c r="I779" s="1"/>
      <c r="J779" s="1" t="str">
        <f ca="1">IFERROR(__xludf.DUMMYFUNCTION("""COMPUTED_VALUE"""),"IRITUIA")</f>
        <v>IRITUIA</v>
      </c>
      <c r="K779" s="1">
        <f ca="1">IFERROR(__xludf.DUMMYFUNCTION("""COMPUTED_VALUE"""),15560260)</f>
        <v>15560260</v>
      </c>
      <c r="L779" s="2" t="str">
        <f ca="1">IFERROR(__xludf.DUMMYFUNCTION("""COMPUTED_VALUE"""),"001920916710000")</f>
        <v>001920916710000</v>
      </c>
      <c r="M779" s="2" t="str">
        <f ca="1">IFERROR(__xludf.DUMMYFUNCTION("""COMPUTED_VALUE"""),"1920916710000")</f>
        <v>1920916710000</v>
      </c>
      <c r="N779" s="1" t="str">
        <f ca="1">IFERROR(__xludf.DUMMYFUNCTION("""COMPUTED_VALUE"""),"EEEF DE TESSALONICA")</f>
        <v>EEEF DE TESSALONICA</v>
      </c>
      <c r="O779" s="1"/>
      <c r="P779" s="1"/>
      <c r="Q779" s="1" t="s">
        <v>784</v>
      </c>
    </row>
    <row r="780" spans="1:17" x14ac:dyDescent="0.25">
      <c r="A780" s="2" t="str">
        <f ca="1">IFERROR(__xludf.DUMMYFUNCTION("""COMPUTED_VALUE"""),"REG DE INTEGRA DO RIO CAPIM")</f>
        <v>REG DE INTEGRA DO RIO CAPIM</v>
      </c>
      <c r="B780" s="1" t="str">
        <f ca="1">IFERROR(__xludf.DUMMYFUNCTION("""COMPUTED_VALUE"""),"DRE MAE DO RIO")</f>
        <v>DRE MAE DO RIO</v>
      </c>
      <c r="C780" s="2" t="str">
        <f ca="1">IFERROR(__xludf.DUMMYFUNCTION("""COMPUTED_VALUE"""),"DRE - MAE DO RIO")</f>
        <v>DRE - MAE DO RIO</v>
      </c>
      <c r="D780" s="1"/>
      <c r="E780" s="2" t="str">
        <f ca="1">IFERROR(__xludf.DUMMYFUNCTION("""COMPUTED_VALUE"""),"DRE - MAE DO RIO")</f>
        <v>DRE - MAE DO RIO</v>
      </c>
      <c r="F780" s="1">
        <f ca="1">IFERROR(__xludf.DUMMYFUNCTION("""COMPUTED_VALUE"""),2)</f>
        <v>2</v>
      </c>
      <c r="G780" s="1" t="str">
        <f ca="1">IFERROR(__xludf.DUMMYFUNCTION("""COMPUTED_VALUE"""),"DRE MAE DO RIO")</f>
        <v>DRE MAE DO RIO</v>
      </c>
      <c r="H780" s="1" t="str">
        <f ca="1">IFERROR(__xludf.DUMMYFUNCTION("""COMPUTED_VALUE"""),"18A URE - MAE DO RIO")</f>
        <v>18A URE - MAE DO RIO</v>
      </c>
      <c r="I780" s="1"/>
      <c r="J780" s="1" t="str">
        <f ca="1">IFERROR(__xludf.DUMMYFUNCTION("""COMPUTED_VALUE"""),"IRITUIA")</f>
        <v>IRITUIA</v>
      </c>
      <c r="K780" s="1">
        <f ca="1">IFERROR(__xludf.DUMMYFUNCTION("""COMPUTED_VALUE"""),15091147)</f>
        <v>15091147</v>
      </c>
      <c r="L780" s="2" t="str">
        <f ca="1">IFERROR(__xludf.DUMMYFUNCTION("""COMPUTED_VALUE"""),"001920925000000")</f>
        <v>001920925000000</v>
      </c>
      <c r="M780" s="2" t="str">
        <f ca="1">IFERROR(__xludf.DUMMYFUNCTION("""COMPUTED_VALUE"""),"1920925000000")</f>
        <v>1920925000000</v>
      </c>
      <c r="N780" s="1" t="str">
        <f ca="1">IFERROR(__xludf.DUMMYFUNCTION("""COMPUTED_VALUE"""),"EEEF DR VICENTE DE PAULA")</f>
        <v>EEEF DR VICENTE DE PAULA</v>
      </c>
      <c r="O780" s="1"/>
      <c r="P780" s="1"/>
      <c r="Q780" s="1" t="s">
        <v>784</v>
      </c>
    </row>
    <row r="781" spans="1:17" x14ac:dyDescent="0.25">
      <c r="A781" s="2" t="str">
        <f ca="1">IFERROR(__xludf.DUMMYFUNCTION("""COMPUTED_VALUE"""),"REG DE INTEGRA DO RIO CAPIM")</f>
        <v>REG DE INTEGRA DO RIO CAPIM</v>
      </c>
      <c r="B781" s="1" t="str">
        <f ca="1">IFERROR(__xludf.DUMMYFUNCTION("""COMPUTED_VALUE"""),"DRE MAE DO RIO")</f>
        <v>DRE MAE DO RIO</v>
      </c>
      <c r="C781" s="2" t="str">
        <f ca="1">IFERROR(__xludf.DUMMYFUNCTION("""COMPUTED_VALUE"""),"DRE - MAE DO RIO")</f>
        <v>DRE - MAE DO RIO</v>
      </c>
      <c r="D781" s="1"/>
      <c r="E781" s="2" t="str">
        <f ca="1">IFERROR(__xludf.DUMMYFUNCTION("""COMPUTED_VALUE"""),"DRE - MAE DO RIO")</f>
        <v>DRE - MAE DO RIO</v>
      </c>
      <c r="F781" s="1">
        <f ca="1">IFERROR(__xludf.DUMMYFUNCTION("""COMPUTED_VALUE"""),2)</f>
        <v>2</v>
      </c>
      <c r="G781" s="1" t="str">
        <f ca="1">IFERROR(__xludf.DUMMYFUNCTION("""COMPUTED_VALUE"""),"DRE MAE DO RIO")</f>
        <v>DRE MAE DO RIO</v>
      </c>
      <c r="H781" s="1" t="str">
        <f ca="1">IFERROR(__xludf.DUMMYFUNCTION("""COMPUTED_VALUE"""),"18A URE - MAE DO RIO")</f>
        <v>18A URE - MAE DO RIO</v>
      </c>
      <c r="I781" s="1"/>
      <c r="J781" s="1" t="str">
        <f ca="1">IFERROR(__xludf.DUMMYFUNCTION("""COMPUTED_VALUE"""),"IRITUIA")</f>
        <v>IRITUIA</v>
      </c>
      <c r="K781" s="1">
        <f ca="1">IFERROR(__xludf.DUMMYFUNCTION("""COMPUTED_VALUE"""),15091171)</f>
        <v>15091171</v>
      </c>
      <c r="L781" s="2" t="str">
        <f ca="1">IFERROR(__xludf.DUMMYFUNCTION("""COMPUTED_VALUE"""),"001920916490000")</f>
        <v>001920916490000</v>
      </c>
      <c r="M781" s="2" t="str">
        <f ca="1">IFERROR(__xludf.DUMMYFUNCTION("""COMPUTED_VALUE"""),"1920916490000")</f>
        <v>1920916490000</v>
      </c>
      <c r="N781" s="1" t="str">
        <f ca="1">IFERROR(__xludf.DUMMYFUNCTION("""COMPUTED_VALUE"""),"EEEF NICOLAU NERES DA SILVA")</f>
        <v>EEEF NICOLAU NERES DA SILVA</v>
      </c>
      <c r="O781" s="1"/>
      <c r="P781" s="1"/>
      <c r="Q781" s="1" t="s">
        <v>784</v>
      </c>
    </row>
    <row r="782" spans="1:17" x14ac:dyDescent="0.25">
      <c r="A782" s="2" t="str">
        <f ca="1">IFERROR(__xludf.DUMMYFUNCTION("""COMPUTED_VALUE"""),"REG DE INTEGRA DO RIO CAPIM")</f>
        <v>REG DE INTEGRA DO RIO CAPIM</v>
      </c>
      <c r="B782" s="1" t="str">
        <f ca="1">IFERROR(__xludf.DUMMYFUNCTION("""COMPUTED_VALUE"""),"DRE MAE DO RIO")</f>
        <v>DRE MAE DO RIO</v>
      </c>
      <c r="C782" s="2" t="str">
        <f ca="1">IFERROR(__xludf.DUMMYFUNCTION("""COMPUTED_VALUE"""),"DRE - MAE DO RIO")</f>
        <v>DRE - MAE DO RIO</v>
      </c>
      <c r="D782" s="1"/>
      <c r="E782" s="2" t="str">
        <f ca="1">IFERROR(__xludf.DUMMYFUNCTION("""COMPUTED_VALUE"""),"DRE - MAE DO RIO")</f>
        <v>DRE - MAE DO RIO</v>
      </c>
      <c r="F782" s="1">
        <f ca="1">IFERROR(__xludf.DUMMYFUNCTION("""COMPUTED_VALUE"""),2)</f>
        <v>2</v>
      </c>
      <c r="G782" s="1" t="str">
        <f ca="1">IFERROR(__xludf.DUMMYFUNCTION("""COMPUTED_VALUE"""),"DRE MAE DO RIO")</f>
        <v>DRE MAE DO RIO</v>
      </c>
      <c r="H782" s="1" t="str">
        <f ca="1">IFERROR(__xludf.DUMMYFUNCTION("""COMPUTED_VALUE"""),"18A URE - MAE DO RIO")</f>
        <v>18A URE - MAE DO RIO</v>
      </c>
      <c r="I782" s="1"/>
      <c r="J782" s="1" t="str">
        <f ca="1">IFERROR(__xludf.DUMMYFUNCTION("""COMPUTED_VALUE"""),"IRITUIA")</f>
        <v>IRITUIA</v>
      </c>
      <c r="K782" s="1">
        <f ca="1">IFERROR(__xludf.DUMMYFUNCTION("""COMPUTED_VALUE"""),15090930)</f>
        <v>15090930</v>
      </c>
      <c r="L782" s="2" t="str">
        <f ca="1">IFERROR(__xludf.DUMMYFUNCTION("""COMPUTED_VALUE"""),"001920927660007")</f>
        <v>001920927660007</v>
      </c>
      <c r="M782" s="2" t="str">
        <f ca="1">IFERROR(__xludf.DUMMYFUNCTION("""COMPUTED_VALUE"""),"1920927660007")</f>
        <v>1920927660007</v>
      </c>
      <c r="N782" s="1" t="str">
        <f ca="1">IFERROR(__xludf.DUMMYFUNCTION("""COMPUTED_VALUE"""),"EEEF VITORIO OLIMPIO DE MOURA")</f>
        <v>EEEF VITORIO OLIMPIO DE MOURA</v>
      </c>
      <c r="O782" s="1"/>
      <c r="P782" s="1"/>
      <c r="Q782" s="1" t="s">
        <v>784</v>
      </c>
    </row>
    <row r="783" spans="1:17" x14ac:dyDescent="0.25">
      <c r="A783" s="2" t="str">
        <f ca="1">IFERROR(__xludf.DUMMYFUNCTION("""COMPUTED_VALUE"""),"REG DE INTEGRA DO RIO CAPIM")</f>
        <v>REG DE INTEGRA DO RIO CAPIM</v>
      </c>
      <c r="B783" s="1" t="str">
        <f ca="1">IFERROR(__xludf.DUMMYFUNCTION("""COMPUTED_VALUE"""),"DRE MAE DO RIO")</f>
        <v>DRE MAE DO RIO</v>
      </c>
      <c r="C783" s="2" t="str">
        <f ca="1">IFERROR(__xludf.DUMMYFUNCTION("""COMPUTED_VALUE"""),"DRE - MAE DO RIO")</f>
        <v>DRE - MAE DO RIO</v>
      </c>
      <c r="D783" s="1"/>
      <c r="E783" s="2" t="str">
        <f ca="1">IFERROR(__xludf.DUMMYFUNCTION("""COMPUTED_VALUE"""),"DRE - MAE DO RIO")</f>
        <v>DRE - MAE DO RIO</v>
      </c>
      <c r="F783" s="1">
        <f ca="1">IFERROR(__xludf.DUMMYFUNCTION("""COMPUTED_VALUE"""),2)</f>
        <v>2</v>
      </c>
      <c r="G783" s="1" t="str">
        <f ca="1">IFERROR(__xludf.DUMMYFUNCTION("""COMPUTED_VALUE"""),"DRE MAE DO RIO")</f>
        <v>DRE MAE DO RIO</v>
      </c>
      <c r="H783" s="1" t="str">
        <f ca="1">IFERROR(__xludf.DUMMYFUNCTION("""COMPUTED_VALUE"""),"18A URE - MAE DO RIO")</f>
        <v>18A URE - MAE DO RIO</v>
      </c>
      <c r="I783" s="1"/>
      <c r="J783" s="1" t="str">
        <f ca="1">IFERROR(__xludf.DUMMYFUNCTION("""COMPUTED_VALUE"""),"IRITUIA")</f>
        <v>IRITUIA</v>
      </c>
      <c r="K783" s="1">
        <f ca="1">IFERROR(__xludf.DUMMYFUNCTION("""COMPUTED_VALUE"""),15542297)</f>
        <v>15542297</v>
      </c>
      <c r="L783" s="2" t="str">
        <f ca="1">IFERROR(__xludf.DUMMYFUNCTION("""COMPUTED_VALUE"""),"001920916720000")</f>
        <v>001920916720000</v>
      </c>
      <c r="M783" s="2" t="str">
        <f ca="1">IFERROR(__xludf.DUMMYFUNCTION("""COMPUTED_VALUE"""),"1920916720000")</f>
        <v>1920916720000</v>
      </c>
      <c r="N783" s="1" t="str">
        <f ca="1">IFERROR(__xludf.DUMMYFUNCTION("""COMPUTED_VALUE"""),"EEEFM ITABOCAL")</f>
        <v>EEEFM ITABOCAL</v>
      </c>
      <c r="O783" s="1"/>
      <c r="P783" s="1"/>
      <c r="Q783" s="1" t="s">
        <v>784</v>
      </c>
    </row>
    <row r="784" spans="1:17" x14ac:dyDescent="0.25">
      <c r="A784" s="2" t="str">
        <f ca="1">IFERROR(__xludf.DUMMYFUNCTION("""COMPUTED_VALUE"""),"REG DE INTEGRA DO RIO CAPIM")</f>
        <v>REG DE INTEGRA DO RIO CAPIM</v>
      </c>
      <c r="B784" s="1" t="str">
        <f ca="1">IFERROR(__xludf.DUMMYFUNCTION("""COMPUTED_VALUE"""),"DRE MAE DO RIO")</f>
        <v>DRE MAE DO RIO</v>
      </c>
      <c r="C784" s="2" t="str">
        <f ca="1">IFERROR(__xludf.DUMMYFUNCTION("""COMPUTED_VALUE"""),"DRE - MAE DO RIO")</f>
        <v>DRE - MAE DO RIO</v>
      </c>
      <c r="D784" s="1"/>
      <c r="E784" s="2" t="str">
        <f ca="1">IFERROR(__xludf.DUMMYFUNCTION("""COMPUTED_VALUE"""),"DRE - MAE DO RIO")</f>
        <v>DRE - MAE DO RIO</v>
      </c>
      <c r="F784" s="1">
        <f ca="1">IFERROR(__xludf.DUMMYFUNCTION("""COMPUTED_VALUE"""),2)</f>
        <v>2</v>
      </c>
      <c r="G784" s="1" t="str">
        <f ca="1">IFERROR(__xludf.DUMMYFUNCTION("""COMPUTED_VALUE"""),"DRE MAE DO RIO")</f>
        <v>DRE MAE DO RIO</v>
      </c>
      <c r="H784" s="1" t="str">
        <f ca="1">IFERROR(__xludf.DUMMYFUNCTION("""COMPUTED_VALUE"""),"18A URE - MAE DO RIO")</f>
        <v>18A URE - MAE DO RIO</v>
      </c>
      <c r="I784" s="1"/>
      <c r="J784" s="1" t="str">
        <f ca="1">IFERROR(__xludf.DUMMYFUNCTION("""COMPUTED_VALUE"""),"IRITUIA")</f>
        <v>IRITUIA</v>
      </c>
      <c r="K784" s="1">
        <f ca="1">IFERROR(__xludf.DUMMYFUNCTION("""COMPUTED_VALUE"""),15090930)</f>
        <v>15090930</v>
      </c>
      <c r="L784" s="2" t="str">
        <f ca="1">IFERROR(__xludf.DUMMYFUNCTION("""COMPUTED_VALUE"""),"001920927660000")</f>
        <v>001920927660000</v>
      </c>
      <c r="M784" s="2" t="str">
        <f ca="1">IFERROR(__xludf.DUMMYFUNCTION("""COMPUTED_VALUE"""),"1920927660000")</f>
        <v>1920927660000</v>
      </c>
      <c r="N784" s="1" t="str">
        <f ca="1">IFERROR(__xludf.DUMMYFUNCTION("""COMPUTED_VALUE"""),"EEEFM MARIA DA CONCEICAO MALHEIROS")</f>
        <v>EEEFM MARIA DA CONCEICAO MALHEIROS</v>
      </c>
      <c r="O784" s="1"/>
      <c r="P784" s="1"/>
      <c r="Q784" s="1" t="s">
        <v>784</v>
      </c>
    </row>
    <row r="785" spans="1:17" x14ac:dyDescent="0.25">
      <c r="A785" s="2" t="str">
        <f ca="1">IFERROR(__xludf.DUMMYFUNCTION("""COMPUTED_VALUE"""),"REG DE INTEGRA DO RIO CAPIM")</f>
        <v>REG DE INTEGRA DO RIO CAPIM</v>
      </c>
      <c r="B785" s="1" t="str">
        <f ca="1">IFERROR(__xludf.DUMMYFUNCTION("""COMPUTED_VALUE"""),"DRE MAE DO RIO")</f>
        <v>DRE MAE DO RIO</v>
      </c>
      <c r="C785" s="2" t="str">
        <f ca="1">IFERROR(__xludf.DUMMYFUNCTION("""COMPUTED_VALUE"""),"DRE - MAE DO RIO")</f>
        <v>DRE - MAE DO RIO</v>
      </c>
      <c r="D785" s="1"/>
      <c r="E785" s="2" t="str">
        <f ca="1">IFERROR(__xludf.DUMMYFUNCTION("""COMPUTED_VALUE"""),"DRE - MAE DO RIO")</f>
        <v>DRE - MAE DO RIO</v>
      </c>
      <c r="F785" s="1">
        <f ca="1">IFERROR(__xludf.DUMMYFUNCTION("""COMPUTED_VALUE"""),2)</f>
        <v>2</v>
      </c>
      <c r="G785" s="1" t="str">
        <f ca="1">IFERROR(__xludf.DUMMYFUNCTION("""COMPUTED_VALUE"""),"DRE MAE DO RIO")</f>
        <v>DRE MAE DO RIO</v>
      </c>
      <c r="H785" s="1" t="str">
        <f ca="1">IFERROR(__xludf.DUMMYFUNCTION("""COMPUTED_VALUE"""),"18A URE - MAE DO RIO")</f>
        <v>18A URE - MAE DO RIO</v>
      </c>
      <c r="I785" s="1"/>
      <c r="J785" s="1" t="str">
        <f ca="1">IFERROR(__xludf.DUMMYFUNCTION("""COMPUTED_VALUE"""),"IRITUIA")</f>
        <v>IRITUIA</v>
      </c>
      <c r="K785" s="1">
        <f ca="1">IFERROR(__xludf.DUMMYFUNCTION("""COMPUTED_VALUE"""),15559211)</f>
        <v>15559211</v>
      </c>
      <c r="L785" s="2" t="str">
        <f ca="1">IFERROR(__xludf.DUMMYFUNCTION("""COMPUTED_VALUE"""),"001920916430000")</f>
        <v>001920916430000</v>
      </c>
      <c r="M785" s="2" t="str">
        <f ca="1">IFERROR(__xludf.DUMMYFUNCTION("""COMPUTED_VALUE"""),"1920916430000")</f>
        <v>1920916430000</v>
      </c>
      <c r="N785" s="1" t="str">
        <f ca="1">IFERROR(__xludf.DUMMYFUNCTION("""COMPUTED_VALUE"""),"EEEFM PROF FRANCISCO NUNES")</f>
        <v>EEEFM PROF FRANCISCO NUNES</v>
      </c>
      <c r="O785" s="1"/>
      <c r="P785" s="1"/>
      <c r="Q785" s="1" t="s">
        <v>784</v>
      </c>
    </row>
    <row r="786" spans="1:17" x14ac:dyDescent="0.25">
      <c r="A786" s="2" t="str">
        <f ca="1">IFERROR(__xludf.DUMMYFUNCTION("""COMPUTED_VALUE"""),"REG DE INTEGRA DO RIO CAPIM")</f>
        <v>REG DE INTEGRA DO RIO CAPIM</v>
      </c>
      <c r="B786" s="1" t="str">
        <f ca="1">IFERROR(__xludf.DUMMYFUNCTION("""COMPUTED_VALUE"""),"DRE MAE DO RIO")</f>
        <v>DRE MAE DO RIO</v>
      </c>
      <c r="C786" s="2" t="str">
        <f ca="1">IFERROR(__xludf.DUMMYFUNCTION("""COMPUTED_VALUE"""),"DRE - MAE DO RIO")</f>
        <v>DRE - MAE DO RIO</v>
      </c>
      <c r="D786" s="1"/>
      <c r="E786" s="2" t="str">
        <f ca="1">IFERROR(__xludf.DUMMYFUNCTION("""COMPUTED_VALUE"""),"DRE - MAE DO RIO")</f>
        <v>DRE - MAE DO RIO</v>
      </c>
      <c r="F786" s="1">
        <f ca="1">IFERROR(__xludf.DUMMYFUNCTION("""COMPUTED_VALUE"""),2)</f>
        <v>2</v>
      </c>
      <c r="G786" s="1" t="str">
        <f ca="1">IFERROR(__xludf.DUMMYFUNCTION("""COMPUTED_VALUE"""),"DRE MAE DO RIO")</f>
        <v>DRE MAE DO RIO</v>
      </c>
      <c r="H786" s="1" t="str">
        <f ca="1">IFERROR(__xludf.DUMMYFUNCTION("""COMPUTED_VALUE"""),"18A URE - MAE DO RIO")</f>
        <v>18A URE - MAE DO RIO</v>
      </c>
      <c r="I786" s="1"/>
      <c r="J786" s="1" t="str">
        <f ca="1">IFERROR(__xludf.DUMMYFUNCTION("""COMPUTED_VALUE"""),"IRITUIA")</f>
        <v>IRITUIA</v>
      </c>
      <c r="K786" s="1">
        <f ca="1">IFERROR(__xludf.DUMMYFUNCTION("""COMPUTED_VALUE"""),15168999)</f>
        <v>15168999</v>
      </c>
      <c r="L786" s="2" t="str">
        <f ca="1">IFERROR(__xludf.DUMMYFUNCTION("""COMPUTED_VALUE"""),"001920927660017")</f>
        <v>001920927660017</v>
      </c>
      <c r="M786" s="2" t="str">
        <f ca="1">IFERROR(__xludf.DUMMYFUNCTION("""COMPUTED_VALUE"""),"1920927660017")</f>
        <v>1920927660017</v>
      </c>
      <c r="N786" s="1" t="str">
        <f ca="1">IFERROR(__xludf.DUMMYFUNCTION("""COMPUTED_VALUE"""),"EEEFM PROFA MARIA DA CONCEICAO MALHEIRO - ANEXO IV")</f>
        <v>EEEFM PROFA MARIA DA CONCEICAO MALHEIRO - ANEXO IV</v>
      </c>
      <c r="O786" s="1"/>
      <c r="P786" s="1"/>
      <c r="Q786" s="1" t="s">
        <v>784</v>
      </c>
    </row>
    <row r="787" spans="1:17" x14ac:dyDescent="0.25">
      <c r="A787" s="2" t="str">
        <f ca="1">IFERROR(__xludf.DUMMYFUNCTION("""COMPUTED_VALUE"""),"REG DE INTEGRA DO RIO CAPIM")</f>
        <v>REG DE INTEGRA DO RIO CAPIM</v>
      </c>
      <c r="B787" s="1" t="str">
        <f ca="1">IFERROR(__xludf.DUMMYFUNCTION("""COMPUTED_VALUE"""),"DRE MAE DO RIO")</f>
        <v>DRE MAE DO RIO</v>
      </c>
      <c r="C787" s="2" t="str">
        <f ca="1">IFERROR(__xludf.DUMMYFUNCTION("""COMPUTED_VALUE"""),"DRE - MAE DO RIO")</f>
        <v>DRE - MAE DO RIO</v>
      </c>
      <c r="D787" s="1"/>
      <c r="E787" s="2" t="str">
        <f ca="1">IFERROR(__xludf.DUMMYFUNCTION("""COMPUTED_VALUE"""),"DRE - MAE DO RIO")</f>
        <v>DRE - MAE DO RIO</v>
      </c>
      <c r="F787" s="1">
        <f ca="1">IFERROR(__xludf.DUMMYFUNCTION("""COMPUTED_VALUE"""),2)</f>
        <v>2</v>
      </c>
      <c r="G787" s="1" t="str">
        <f ca="1">IFERROR(__xludf.DUMMYFUNCTION("""COMPUTED_VALUE"""),"DRE MAE DO RIO")</f>
        <v>DRE MAE DO RIO</v>
      </c>
      <c r="H787" s="1" t="str">
        <f ca="1">IFERROR(__xludf.DUMMYFUNCTION("""COMPUTED_VALUE"""),"18A URE - MAE DO RIO")</f>
        <v>18A URE - MAE DO RIO</v>
      </c>
      <c r="I787" s="1"/>
      <c r="J787" s="1" t="str">
        <f ca="1">IFERROR(__xludf.DUMMYFUNCTION("""COMPUTED_VALUE"""),"MAE DO RIO")</f>
        <v>MAE DO RIO</v>
      </c>
      <c r="K787" s="1"/>
      <c r="L787" s="2" t="str">
        <f ca="1">IFERROR(__xludf.DUMMYFUNCTION("""COMPUTED_VALUE"""),"001920900180000")</f>
        <v>001920900180000</v>
      </c>
      <c r="M787" s="2" t="str">
        <f ca="1">IFERROR(__xludf.DUMMYFUNCTION("""COMPUTED_VALUE"""),"1920900180000")</f>
        <v>1920900180000</v>
      </c>
      <c r="N787" s="1" t="str">
        <f ca="1">IFERROR(__xludf.DUMMYFUNCTION("""COMPUTED_VALUE"""),"18 URE")</f>
        <v>18 URE</v>
      </c>
      <c r="O787" s="1"/>
      <c r="P787" s="1"/>
      <c r="Q787" s="1" t="s">
        <v>784</v>
      </c>
    </row>
    <row r="788" spans="1:17" x14ac:dyDescent="0.25">
      <c r="A788" s="2" t="str">
        <f ca="1">IFERROR(__xludf.DUMMYFUNCTION("""COMPUTED_VALUE"""),"REG DE INTEGRA DO RIO CAPIM")</f>
        <v>REG DE INTEGRA DO RIO CAPIM</v>
      </c>
      <c r="B788" s="1" t="str">
        <f ca="1">IFERROR(__xludf.DUMMYFUNCTION("""COMPUTED_VALUE"""),"DRE MAE DO RIO")</f>
        <v>DRE MAE DO RIO</v>
      </c>
      <c r="C788" s="2" t="str">
        <f ca="1">IFERROR(__xludf.DUMMYFUNCTION("""COMPUTED_VALUE"""),"DRE - MAE DO RIO")</f>
        <v>DRE - MAE DO RIO</v>
      </c>
      <c r="D788" s="1"/>
      <c r="E788" s="2" t="str">
        <f ca="1">IFERROR(__xludf.DUMMYFUNCTION("""COMPUTED_VALUE"""),"DRE - MAE DO RIO")</f>
        <v>DRE - MAE DO RIO</v>
      </c>
      <c r="F788" s="1">
        <f ca="1">IFERROR(__xludf.DUMMYFUNCTION("""COMPUTED_VALUE"""),2)</f>
        <v>2</v>
      </c>
      <c r="G788" s="1"/>
      <c r="H788" s="1" t="str">
        <f ca="1">IFERROR(__xludf.DUMMYFUNCTION("""COMPUTED_VALUE"""),"18A URE - MAE DO RIO")</f>
        <v>18A URE - MAE DO RIO</v>
      </c>
      <c r="I788" s="1"/>
      <c r="J788" s="1" t="str">
        <f ca="1">IFERROR(__xludf.DUMMYFUNCTION("""COMPUTED_VALUE"""),"MAE DO RIO")</f>
        <v>MAE DO RIO</v>
      </c>
      <c r="K788" s="1">
        <f ca="1">IFERROR(__xludf.DUMMYFUNCTION("""COMPUTED_VALUE"""),15177971)</f>
        <v>15177971</v>
      </c>
      <c r="L788" s="2" t="str">
        <f ca="1">IFERROR(__xludf.DUMMYFUNCTION("""COMPUTED_VALUE"""),"001920927180003")</f>
        <v>001920927180003</v>
      </c>
      <c r="M788" s="2" t="str">
        <f ca="1">IFERROR(__xludf.DUMMYFUNCTION("""COMPUTED_VALUE"""),"1920927180003")</f>
        <v>1920927180003</v>
      </c>
      <c r="N788" s="1" t="str">
        <f ca="1">IFERROR(__xludf.DUMMYFUNCTION("""COMPUTED_VALUE"""),"ANEXO RURAL PADRE MARINO CONTTI")</f>
        <v>ANEXO RURAL PADRE MARINO CONTTI</v>
      </c>
      <c r="O788" s="1"/>
      <c r="P788" s="1"/>
      <c r="Q788" s="1" t="s">
        <v>784</v>
      </c>
    </row>
    <row r="789" spans="1:17" x14ac:dyDescent="0.25">
      <c r="A789" s="2" t="str">
        <f ca="1">IFERROR(__xludf.DUMMYFUNCTION("""COMPUTED_VALUE"""),"REG DE INTEGRA DO RIO CAPIM")</f>
        <v>REG DE INTEGRA DO RIO CAPIM</v>
      </c>
      <c r="B789" s="1" t="str">
        <f ca="1">IFERROR(__xludf.DUMMYFUNCTION("""COMPUTED_VALUE"""),"DRE MAE DO RIO")</f>
        <v>DRE MAE DO RIO</v>
      </c>
      <c r="C789" s="2" t="str">
        <f ca="1">IFERROR(__xludf.DUMMYFUNCTION("""COMPUTED_VALUE"""),"DRE - MAE DO RIO")</f>
        <v>DRE - MAE DO RIO</v>
      </c>
      <c r="D789" s="1"/>
      <c r="E789" s="2" t="str">
        <f ca="1">IFERROR(__xludf.DUMMYFUNCTION("""COMPUTED_VALUE"""),"DRE - MAE DO RIO")</f>
        <v>DRE - MAE DO RIO</v>
      </c>
      <c r="F789" s="1">
        <f ca="1">IFERROR(__xludf.DUMMYFUNCTION("""COMPUTED_VALUE"""),2)</f>
        <v>2</v>
      </c>
      <c r="G789" s="1" t="str">
        <f ca="1">IFERROR(__xludf.DUMMYFUNCTION("""COMPUTED_VALUE"""),"DRE MAE DO RIO")</f>
        <v>DRE MAE DO RIO</v>
      </c>
      <c r="H789" s="1" t="str">
        <f ca="1">IFERROR(__xludf.DUMMYFUNCTION("""COMPUTED_VALUE"""),"18A URE - MAE DO RIO")</f>
        <v>18A URE - MAE DO RIO</v>
      </c>
      <c r="I789" s="1"/>
      <c r="J789" s="1" t="str">
        <f ca="1">IFERROR(__xludf.DUMMYFUNCTION("""COMPUTED_VALUE"""),"MAE DO RIO")</f>
        <v>MAE DO RIO</v>
      </c>
      <c r="K789" s="1">
        <f ca="1">IFERROR(__xludf.DUMMYFUNCTION("""COMPUTED_VALUE"""),15092542)</f>
        <v>15092542</v>
      </c>
      <c r="L789" s="2" t="str">
        <f ca="1">IFERROR(__xludf.DUMMYFUNCTION("""COMPUTED_VALUE"""),"001920927180000")</f>
        <v>001920927180000</v>
      </c>
      <c r="M789" s="2" t="str">
        <f ca="1">IFERROR(__xludf.DUMMYFUNCTION("""COMPUTED_VALUE"""),"1920927180000")</f>
        <v>1920927180000</v>
      </c>
      <c r="N789" s="1" t="str">
        <f ca="1">IFERROR(__xludf.DUMMYFUNCTION("""COMPUTED_VALUE"""),"EEEM PADRE MARINO CONTTI")</f>
        <v>EEEM PADRE MARINO CONTTI</v>
      </c>
      <c r="O789" s="1"/>
      <c r="P789" s="1"/>
      <c r="Q789" s="1" t="s">
        <v>784</v>
      </c>
    </row>
    <row r="790" spans="1:17" x14ac:dyDescent="0.25">
      <c r="A790" s="2" t="str">
        <f ca="1">IFERROR(__xludf.DUMMYFUNCTION("""COMPUTED_VALUE"""),"REG DE INTEGRA DO RIO CAPIM")</f>
        <v>REG DE INTEGRA DO RIO CAPIM</v>
      </c>
      <c r="B790" s="1" t="str">
        <f ca="1">IFERROR(__xludf.DUMMYFUNCTION("""COMPUTED_VALUE"""),"DRE MAE DO RIO")</f>
        <v>DRE MAE DO RIO</v>
      </c>
      <c r="C790" s="2" t="str">
        <f ca="1">IFERROR(__xludf.DUMMYFUNCTION("""COMPUTED_VALUE"""),"DRE - MAE DO RIO")</f>
        <v>DRE - MAE DO RIO</v>
      </c>
      <c r="D790" s="1"/>
      <c r="E790" s="2" t="str">
        <f ca="1">IFERROR(__xludf.DUMMYFUNCTION("""COMPUTED_VALUE"""),"DRE - MAE DO RIO")</f>
        <v>DRE - MAE DO RIO</v>
      </c>
      <c r="F790" s="1">
        <f ca="1">IFERROR(__xludf.DUMMYFUNCTION("""COMPUTED_VALUE"""),2)</f>
        <v>2</v>
      </c>
      <c r="G790" s="1" t="str">
        <f ca="1">IFERROR(__xludf.DUMMYFUNCTION("""COMPUTED_VALUE"""),"DRE MAE DO RIO")</f>
        <v>DRE MAE DO RIO</v>
      </c>
      <c r="H790" s="1" t="str">
        <f ca="1">IFERROR(__xludf.DUMMYFUNCTION("""COMPUTED_VALUE"""),"18A URE - MAE DO RIO")</f>
        <v>18A URE - MAE DO RIO</v>
      </c>
      <c r="I790" s="1"/>
      <c r="J790" s="1" t="str">
        <f ca="1">IFERROR(__xludf.DUMMYFUNCTION("""COMPUTED_VALUE"""),"MAE DO RIO")</f>
        <v>MAE DO RIO</v>
      </c>
      <c r="K790" s="1">
        <f ca="1">IFERROR(__xludf.DUMMYFUNCTION("""COMPUTED_VALUE"""),15156796)</f>
        <v>15156796</v>
      </c>
      <c r="L790" s="2" t="str">
        <f ca="1">IFERROR(__xludf.DUMMYFUNCTION("""COMPUTED_VALUE"""),"001920937540000")</f>
        <v>001920937540000</v>
      </c>
      <c r="M790" s="2" t="str">
        <f ca="1">IFERROR(__xludf.DUMMYFUNCTION("""COMPUTED_VALUE"""),"1920937540000")</f>
        <v>1920937540000</v>
      </c>
      <c r="N790" s="1" t="str">
        <f ca="1">IFERROR(__xludf.DUMMYFUNCTION("""COMPUTED_VALUE"""),"EEEM PROFA OSCARINA ANTONIA SOUZA DO REGO")</f>
        <v>EEEM PROFA OSCARINA ANTONIA SOUZA DO REGO</v>
      </c>
      <c r="O790" s="1"/>
      <c r="P790" s="1"/>
      <c r="Q790" s="1" t="s">
        <v>784</v>
      </c>
    </row>
    <row r="791" spans="1:17" x14ac:dyDescent="0.25">
      <c r="A791" s="2" t="str">
        <f ca="1">IFERROR(__xludf.DUMMYFUNCTION("""COMPUTED_VALUE"""),"REG DE INTEGRA DO RIO CAPIM")</f>
        <v>REG DE INTEGRA DO RIO CAPIM</v>
      </c>
      <c r="B791" s="1" t="str">
        <f ca="1">IFERROR(__xludf.DUMMYFUNCTION("""COMPUTED_VALUE"""),"DRE MAE DO RIO")</f>
        <v>DRE MAE DO RIO</v>
      </c>
      <c r="C791" s="2" t="str">
        <f ca="1">IFERROR(__xludf.DUMMYFUNCTION("""COMPUTED_VALUE"""),"DRE - MAE DO RIO")</f>
        <v>DRE - MAE DO RIO</v>
      </c>
      <c r="D791" s="1"/>
      <c r="E791" s="2" t="str">
        <f ca="1">IFERROR(__xludf.DUMMYFUNCTION("""COMPUTED_VALUE"""),"DRE - MAE DO RIO")</f>
        <v>DRE - MAE DO RIO</v>
      </c>
      <c r="F791" s="1"/>
      <c r="G791" s="1"/>
      <c r="H791" s="1" t="str">
        <f ca="1">IFERROR(__xludf.DUMMYFUNCTION("""COMPUTED_VALUE"""),"18A URE - MAE DO RIO")</f>
        <v>18A URE - MAE DO RIO</v>
      </c>
      <c r="I791" s="1"/>
      <c r="J791" s="1" t="str">
        <f ca="1">IFERROR(__xludf.DUMMYFUNCTION("""COMPUTED_VALUE"""),"MAE DO RIO")</f>
        <v>MAE DO RIO</v>
      </c>
      <c r="K791" s="1"/>
      <c r="L791" s="2" t="str">
        <f ca="1">IFERROR(__xludf.DUMMYFUNCTION("""COMPUTED_VALUE"""),"001921044000000")</f>
        <v>001921044000000</v>
      </c>
      <c r="M791" s="2" t="str">
        <f ca="1">IFERROR(__xludf.DUMMYFUNCTION("""COMPUTED_VALUE"""),"1921044000000")</f>
        <v>1921044000000</v>
      </c>
      <c r="N791" s="1" t="str">
        <f ca="1">IFERROR(__xludf.DUMMYFUNCTION("""COMPUTED_VALUE"""),"ESCOLA ESTADUAL RURAL DE MAE DO RIO")</f>
        <v>ESCOLA ESTADUAL RURAL DE MAE DO RIO</v>
      </c>
      <c r="O791" s="1"/>
      <c r="P791" s="1"/>
      <c r="Q791" s="1" t="s">
        <v>784</v>
      </c>
    </row>
    <row r="792" spans="1:17" x14ac:dyDescent="0.25">
      <c r="A792" s="2" t="str">
        <f ca="1">IFERROR(__xludf.DUMMYFUNCTION("""COMPUTED_VALUE"""),"REG DE INTEGRA DO RIO CAPIM")</f>
        <v>REG DE INTEGRA DO RIO CAPIM</v>
      </c>
      <c r="B792" s="1" t="str">
        <f ca="1">IFERROR(__xludf.DUMMYFUNCTION("""COMPUTED_VALUE"""),"DRE MAE DO RIO")</f>
        <v>DRE MAE DO RIO</v>
      </c>
      <c r="C792" s="2" t="str">
        <f ca="1">IFERROR(__xludf.DUMMYFUNCTION("""COMPUTED_VALUE"""),"DRE - MAE DO RIO")</f>
        <v>DRE - MAE DO RIO</v>
      </c>
      <c r="D792" s="1"/>
      <c r="E792" s="2" t="str">
        <f ca="1">IFERROR(__xludf.DUMMYFUNCTION("""COMPUTED_VALUE"""),"DRE - MAE DO RIO")</f>
        <v>DRE - MAE DO RIO</v>
      </c>
      <c r="F792" s="1">
        <f ca="1">IFERROR(__xludf.DUMMYFUNCTION("""COMPUTED_VALUE"""),2)</f>
        <v>2</v>
      </c>
      <c r="G792" s="1"/>
      <c r="H792" s="1" t="str">
        <f ca="1">IFERROR(__xludf.DUMMYFUNCTION("""COMPUTED_VALUE"""),"18A URE - MAE DO RIO")</f>
        <v>18A URE - MAE DO RIO</v>
      </c>
      <c r="I792" s="1"/>
      <c r="J792" s="1" t="str">
        <f ca="1">IFERROR(__xludf.DUMMYFUNCTION("""COMPUTED_VALUE"""),"PARAGOMINAS")</f>
        <v>PARAGOMINAS</v>
      </c>
      <c r="K792" s="1">
        <f ca="1">IFERROR(__xludf.DUMMYFUNCTION("""COMPUTED_VALUE"""),15177998)</f>
        <v>15177998</v>
      </c>
      <c r="L792" s="2" t="str">
        <f ca="1">IFERROR(__xludf.DUMMYFUNCTION("""COMPUTED_VALUE"""),"001920915400006")</f>
        <v>001920915400006</v>
      </c>
      <c r="M792" s="2" t="str">
        <f ca="1">IFERROR(__xludf.DUMMYFUNCTION("""COMPUTED_VALUE"""),"1920915400006")</f>
        <v>1920915400006</v>
      </c>
      <c r="N792" s="1" t="str">
        <f ca="1">IFERROR(__xludf.DUMMYFUNCTION("""COMPUTED_VALUE"""),"ANEXO RURAL PRESIDENTE CASTELO BRANCO")</f>
        <v>ANEXO RURAL PRESIDENTE CASTELO BRANCO</v>
      </c>
      <c r="O792" s="1"/>
      <c r="P792" s="1"/>
      <c r="Q792" s="1" t="s">
        <v>784</v>
      </c>
    </row>
    <row r="793" spans="1:17" x14ac:dyDescent="0.25">
      <c r="A793" s="2" t="str">
        <f ca="1">IFERROR(__xludf.DUMMYFUNCTION("""COMPUTED_VALUE"""),"REG DE INTEGRA DO RIO CAPIM")</f>
        <v>REG DE INTEGRA DO RIO CAPIM</v>
      </c>
      <c r="B793" s="1" t="str">
        <f ca="1">IFERROR(__xludf.DUMMYFUNCTION("""COMPUTED_VALUE"""),"DRE MAE DO RIO")</f>
        <v>DRE MAE DO RIO</v>
      </c>
      <c r="C793" s="2" t="str">
        <f ca="1">IFERROR(__xludf.DUMMYFUNCTION("""COMPUTED_VALUE"""),"DRE - MAE DO RIO")</f>
        <v>DRE - MAE DO RIO</v>
      </c>
      <c r="D793" s="1"/>
      <c r="E793" s="2" t="str">
        <f ca="1">IFERROR(__xludf.DUMMYFUNCTION("""COMPUTED_VALUE"""),"DRE - MAE DO RIO")</f>
        <v>DRE - MAE DO RIO</v>
      </c>
      <c r="F793" s="1">
        <f ca="1">IFERROR(__xludf.DUMMYFUNCTION("""COMPUTED_VALUE"""),2)</f>
        <v>2</v>
      </c>
      <c r="G793" s="1" t="str">
        <f ca="1">IFERROR(__xludf.DUMMYFUNCTION("""COMPUTED_VALUE"""),"DRE MAE DO RIO")</f>
        <v>DRE MAE DO RIO</v>
      </c>
      <c r="H793" s="1" t="str">
        <f ca="1">IFERROR(__xludf.DUMMYFUNCTION("""COMPUTED_VALUE"""),"18A URE - MAE DO RIO")</f>
        <v>18A URE - MAE DO RIO</v>
      </c>
      <c r="I793" s="1"/>
      <c r="J793" s="1" t="str">
        <f ca="1">IFERROR(__xludf.DUMMYFUNCTION("""COMPUTED_VALUE"""),"PARAGOMINAS")</f>
        <v>PARAGOMINAS</v>
      </c>
      <c r="K793" s="1">
        <f ca="1">IFERROR(__xludf.DUMMYFUNCTION("""COMPUTED_VALUE"""),15582930)</f>
        <v>15582930</v>
      </c>
      <c r="L793" s="2" t="str">
        <f ca="1">IFERROR(__xludf.DUMMYFUNCTION("""COMPUTED_VALUE"""),"001920936810000")</f>
        <v>001920936810000</v>
      </c>
      <c r="M793" s="2" t="str">
        <f ca="1">IFERROR(__xludf.DUMMYFUNCTION("""COMPUTED_VALUE"""),"1920936810000")</f>
        <v>1920936810000</v>
      </c>
      <c r="N793" s="1" t="str">
        <f ca="1">IFERROR(__xludf.DUMMYFUNCTION("""COMPUTED_VALUE"""),"EEEM GUILHERME GABRIEL")</f>
        <v>EEEM GUILHERME GABRIEL</v>
      </c>
      <c r="O793" s="1"/>
      <c r="P793" s="1"/>
      <c r="Q793" s="1" t="s">
        <v>784</v>
      </c>
    </row>
    <row r="794" spans="1:17" x14ac:dyDescent="0.25">
      <c r="A794" s="2" t="str">
        <f ca="1">IFERROR(__xludf.DUMMYFUNCTION("""COMPUTED_VALUE"""),"REG DE INTEGRA DO RIO CAPIM")</f>
        <v>REG DE INTEGRA DO RIO CAPIM</v>
      </c>
      <c r="B794" s="1" t="str">
        <f ca="1">IFERROR(__xludf.DUMMYFUNCTION("""COMPUTED_VALUE"""),"DRE MAE DO RIO")</f>
        <v>DRE MAE DO RIO</v>
      </c>
      <c r="C794" s="2" t="str">
        <f ca="1">IFERROR(__xludf.DUMMYFUNCTION("""COMPUTED_VALUE"""),"DRE - MAE DO RIO")</f>
        <v>DRE - MAE DO RIO</v>
      </c>
      <c r="D794" s="1"/>
      <c r="E794" s="2" t="str">
        <f ca="1">IFERROR(__xludf.DUMMYFUNCTION("""COMPUTED_VALUE"""),"DRE - MAE DO RIO")</f>
        <v>DRE - MAE DO RIO</v>
      </c>
      <c r="F794" s="1">
        <f ca="1">IFERROR(__xludf.DUMMYFUNCTION("""COMPUTED_VALUE"""),2)</f>
        <v>2</v>
      </c>
      <c r="G794" s="1" t="str">
        <f ca="1">IFERROR(__xludf.DUMMYFUNCTION("""COMPUTED_VALUE"""),"DRE MAE DO RIO")</f>
        <v>DRE MAE DO RIO</v>
      </c>
      <c r="H794" s="1" t="str">
        <f ca="1">IFERROR(__xludf.DUMMYFUNCTION("""COMPUTED_VALUE"""),"18A URE - MAE DO RIO")</f>
        <v>18A URE - MAE DO RIO</v>
      </c>
      <c r="I794" s="1"/>
      <c r="J794" s="1" t="str">
        <f ca="1">IFERROR(__xludf.DUMMYFUNCTION("""COMPUTED_VALUE"""),"PARAGOMINAS")</f>
        <v>PARAGOMINAS</v>
      </c>
      <c r="K794" s="1">
        <f ca="1">IFERROR(__xludf.DUMMYFUNCTION("""COMPUTED_VALUE"""),15169030)</f>
        <v>15169030</v>
      </c>
      <c r="L794" s="2" t="str">
        <f ca="1">IFERROR(__xludf.DUMMYFUNCTION("""COMPUTED_VALUE"""),"001920915400003")</f>
        <v>001920915400003</v>
      </c>
      <c r="M794" s="2" t="str">
        <f ca="1">IFERROR(__xludf.DUMMYFUNCTION("""COMPUTED_VALUE"""),"1920915400003")</f>
        <v>1920915400003</v>
      </c>
      <c r="N794" s="1" t="str">
        <f ca="1">IFERROR(__xludf.DUMMYFUNCTION("""COMPUTED_VALUE"""),"EEEM PRESIDENTE CASTELO BRANCO ANEXO III")</f>
        <v>EEEM PRESIDENTE CASTELO BRANCO ANEXO III</v>
      </c>
      <c r="O794" s="1"/>
      <c r="P794" s="1"/>
      <c r="Q794" s="1" t="s">
        <v>784</v>
      </c>
    </row>
    <row r="795" spans="1:17" x14ac:dyDescent="0.25">
      <c r="A795" s="2" t="str">
        <f ca="1">IFERROR(__xludf.DUMMYFUNCTION("""COMPUTED_VALUE"""),"REG DE INTEGRA DO RIO CAPIM")</f>
        <v>REG DE INTEGRA DO RIO CAPIM</v>
      </c>
      <c r="B795" s="1" t="str">
        <f ca="1">IFERROR(__xludf.DUMMYFUNCTION("""COMPUTED_VALUE"""),"DRE MAE DO RIO")</f>
        <v>DRE MAE DO RIO</v>
      </c>
      <c r="C795" s="2" t="str">
        <f ca="1">IFERROR(__xludf.DUMMYFUNCTION("""COMPUTED_VALUE"""),"DRE - MAE DO RIO")</f>
        <v>DRE - MAE DO RIO</v>
      </c>
      <c r="D795" s="1"/>
      <c r="E795" s="2" t="str">
        <f ca="1">IFERROR(__xludf.DUMMYFUNCTION("""COMPUTED_VALUE"""),"DRE - MAE DO RIO")</f>
        <v>DRE - MAE DO RIO</v>
      </c>
      <c r="F795" s="1">
        <f ca="1">IFERROR(__xludf.DUMMYFUNCTION("""COMPUTED_VALUE"""),2)</f>
        <v>2</v>
      </c>
      <c r="G795" s="1" t="str">
        <f ca="1">IFERROR(__xludf.DUMMYFUNCTION("""COMPUTED_VALUE"""),"DRE MAE DO RIO")</f>
        <v>DRE MAE DO RIO</v>
      </c>
      <c r="H795" s="1" t="str">
        <f ca="1">IFERROR(__xludf.DUMMYFUNCTION("""COMPUTED_VALUE"""),"18A URE - MAE DO RIO")</f>
        <v>18A URE - MAE DO RIO</v>
      </c>
      <c r="I795" s="1"/>
      <c r="J795" s="1" t="str">
        <f ca="1">IFERROR(__xludf.DUMMYFUNCTION("""COMPUTED_VALUE"""),"PARAGOMINAS")</f>
        <v>PARAGOMINAS</v>
      </c>
      <c r="K795" s="1">
        <f ca="1">IFERROR(__xludf.DUMMYFUNCTION("""COMPUTED_VALUE"""),15118991)</f>
        <v>15118991</v>
      </c>
      <c r="L795" s="2" t="str">
        <f ca="1">IFERROR(__xludf.DUMMYFUNCTION("""COMPUTED_VALUE"""),"001920915400000")</f>
        <v>001920915400000</v>
      </c>
      <c r="M795" s="2" t="str">
        <f ca="1">IFERROR(__xludf.DUMMYFUNCTION("""COMPUTED_VALUE"""),"1920915400000")</f>
        <v>1920915400000</v>
      </c>
      <c r="N795" s="1" t="str">
        <f ca="1">IFERROR(__xludf.DUMMYFUNCTION("""COMPUTED_VALUE"""),"EEEM PRESIDENTE CASTELO BRANCO SEDE")</f>
        <v>EEEM PRESIDENTE CASTELO BRANCO SEDE</v>
      </c>
      <c r="O795" s="1"/>
      <c r="P795" s="1"/>
      <c r="Q795" s="1" t="s">
        <v>784</v>
      </c>
    </row>
    <row r="796" spans="1:17" x14ac:dyDescent="0.25">
      <c r="A796" s="2" t="str">
        <f ca="1">IFERROR(__xludf.DUMMYFUNCTION("""COMPUTED_VALUE"""),"REG DE INTEGRA DO RIO CAPIM")</f>
        <v>REG DE INTEGRA DO RIO CAPIM</v>
      </c>
      <c r="B796" s="1" t="str">
        <f ca="1">IFERROR(__xludf.DUMMYFUNCTION("""COMPUTED_VALUE"""),"DRE MAE DO RIO")</f>
        <v>DRE MAE DO RIO</v>
      </c>
      <c r="C796" s="2" t="str">
        <f ca="1">IFERROR(__xludf.DUMMYFUNCTION("""COMPUTED_VALUE"""),"DRE - MAE DO RIO")</f>
        <v>DRE - MAE DO RIO</v>
      </c>
      <c r="D796" s="1"/>
      <c r="E796" s="2" t="str">
        <f ca="1">IFERROR(__xludf.DUMMYFUNCTION("""COMPUTED_VALUE"""),"DRE - MAE DO RIO")</f>
        <v>DRE - MAE DO RIO</v>
      </c>
      <c r="F796" s="1">
        <f ca="1">IFERROR(__xludf.DUMMYFUNCTION("""COMPUTED_VALUE"""),2)</f>
        <v>2</v>
      </c>
      <c r="G796" s="1" t="str">
        <f ca="1">IFERROR(__xludf.DUMMYFUNCTION("""COMPUTED_VALUE"""),"DRE MAE DO RIO")</f>
        <v>DRE MAE DO RIO</v>
      </c>
      <c r="H796" s="1" t="str">
        <f ca="1">IFERROR(__xludf.DUMMYFUNCTION("""COMPUTED_VALUE"""),"18A URE - MAE DO RIO")</f>
        <v>18A URE - MAE DO RIO</v>
      </c>
      <c r="I796" s="1"/>
      <c r="J796" s="1" t="str">
        <f ca="1">IFERROR(__xludf.DUMMYFUNCTION("""COMPUTED_VALUE"""),"PARAGOMINAS")</f>
        <v>PARAGOMINAS</v>
      </c>
      <c r="K796" s="1">
        <f ca="1">IFERROR(__xludf.DUMMYFUNCTION("""COMPUTED_VALUE"""),15212602)</f>
        <v>15212602</v>
      </c>
      <c r="L796" s="2" t="str">
        <f ca="1">IFERROR(__xludf.DUMMYFUNCTION("""COMPUTED_VALUE"""),"001920937270000")</f>
        <v>001920937270000</v>
      </c>
      <c r="M796" s="2" t="str">
        <f ca="1">IFERROR(__xludf.DUMMYFUNCTION("""COMPUTED_VALUE"""),"1920937270000")</f>
        <v>1920937270000</v>
      </c>
      <c r="N796" s="1" t="str">
        <f ca="1">IFERROR(__xludf.DUMMYFUNCTION("""COMPUTED_VALUE"""),"EEEM PROF RAIMUNDO LAUREANO DA SILVA SOUZA")</f>
        <v>EEEM PROF RAIMUNDO LAUREANO DA SILVA SOUZA</v>
      </c>
      <c r="O796" s="1"/>
      <c r="P796" s="1"/>
      <c r="Q796" s="1" t="s">
        <v>784</v>
      </c>
    </row>
    <row r="797" spans="1:17" x14ac:dyDescent="0.25">
      <c r="A797" s="2" t="str">
        <f ca="1">IFERROR(__xludf.DUMMYFUNCTION("""COMPUTED_VALUE"""),"REG DE INTEGRA DO RIO CAPIM")</f>
        <v>REG DE INTEGRA DO RIO CAPIM</v>
      </c>
      <c r="B797" s="1" t="str">
        <f ca="1">IFERROR(__xludf.DUMMYFUNCTION("""COMPUTED_VALUE"""),"DRE MAE DO RIO")</f>
        <v>DRE MAE DO RIO</v>
      </c>
      <c r="C797" s="2" t="str">
        <f ca="1">IFERROR(__xludf.DUMMYFUNCTION("""COMPUTED_VALUE"""),"DRE - MAE DO RIO")</f>
        <v>DRE - MAE DO RIO</v>
      </c>
      <c r="D797" s="1"/>
      <c r="E797" s="2" t="str">
        <f ca="1">IFERROR(__xludf.DUMMYFUNCTION("""COMPUTED_VALUE"""),"DRE - MAE DO RIO")</f>
        <v>DRE - MAE DO RIO</v>
      </c>
      <c r="F797" s="1">
        <f ca="1">IFERROR(__xludf.DUMMYFUNCTION("""COMPUTED_VALUE"""),2)</f>
        <v>2</v>
      </c>
      <c r="G797" s="1" t="str">
        <f ca="1">IFERROR(__xludf.DUMMYFUNCTION("""COMPUTED_VALUE"""),"DRE MAE DO RIO")</f>
        <v>DRE MAE DO RIO</v>
      </c>
      <c r="H797" s="1" t="str">
        <f ca="1">IFERROR(__xludf.DUMMYFUNCTION("""COMPUTED_VALUE"""),"18A URE - MAE DO RIO")</f>
        <v>18A URE - MAE DO RIO</v>
      </c>
      <c r="I797" s="1"/>
      <c r="J797" s="1" t="str">
        <f ca="1">IFERROR(__xludf.DUMMYFUNCTION("""COMPUTED_VALUE"""),"PARAGOMINAS")</f>
        <v>PARAGOMINAS</v>
      </c>
      <c r="K797" s="1">
        <f ca="1">IFERROR(__xludf.DUMMYFUNCTION("""COMPUTED_VALUE"""),15582949)</f>
        <v>15582949</v>
      </c>
      <c r="L797" s="2" t="str">
        <f ca="1">IFERROR(__xludf.DUMMYFUNCTION("""COMPUTED_VALUE"""),"001920937370000")</f>
        <v>001920937370000</v>
      </c>
      <c r="M797" s="2" t="str">
        <f ca="1">IFERROR(__xludf.DUMMYFUNCTION("""COMPUTED_VALUE"""),"1920937370000")</f>
        <v>1920937370000</v>
      </c>
      <c r="N797" s="1" t="str">
        <f ca="1">IFERROR(__xludf.DUMMYFUNCTION("""COMPUTED_VALUE"""),"EETEPA- PARAGOMINAS")</f>
        <v>EETEPA- PARAGOMINAS</v>
      </c>
      <c r="O797" s="1"/>
      <c r="P797" s="1"/>
      <c r="Q797" s="1" t="s">
        <v>784</v>
      </c>
    </row>
    <row r="798" spans="1:17" x14ac:dyDescent="0.25">
      <c r="A798" s="2" t="str">
        <f ca="1">IFERROR(__xludf.DUMMYFUNCTION("""COMPUTED_VALUE"""),"REG DE INTEGRA DO RIO CAPIM")</f>
        <v>REG DE INTEGRA DO RIO CAPIM</v>
      </c>
      <c r="B798" s="1" t="str">
        <f ca="1">IFERROR(__xludf.DUMMYFUNCTION("""COMPUTED_VALUE"""),"DRE MAE DO RIO")</f>
        <v>DRE MAE DO RIO</v>
      </c>
      <c r="C798" s="2" t="str">
        <f ca="1">IFERROR(__xludf.DUMMYFUNCTION("""COMPUTED_VALUE"""),"DRE - MAE DO RIO")</f>
        <v>DRE - MAE DO RIO</v>
      </c>
      <c r="D798" s="1"/>
      <c r="E798" s="2" t="str">
        <f ca="1">IFERROR(__xludf.DUMMYFUNCTION("""COMPUTED_VALUE"""),"DRE - MAE DO RIO")</f>
        <v>DRE - MAE DO RIO</v>
      </c>
      <c r="F798" s="1"/>
      <c r="G798" s="1"/>
      <c r="H798" s="1" t="str">
        <f ca="1">IFERROR(__xludf.DUMMYFUNCTION("""COMPUTED_VALUE"""),"18A URE - MAE DO RIO")</f>
        <v>18A URE - MAE DO RIO</v>
      </c>
      <c r="I798" s="1"/>
      <c r="J798" s="1" t="str">
        <f ca="1">IFERROR(__xludf.DUMMYFUNCTION("""COMPUTED_VALUE"""),"PARAGOMINAS")</f>
        <v>PARAGOMINAS</v>
      </c>
      <c r="K798" s="1"/>
      <c r="L798" s="2" t="str">
        <f ca="1">IFERROR(__xludf.DUMMYFUNCTION("""COMPUTED_VALUE"""),"001921045000000")</f>
        <v>001921045000000</v>
      </c>
      <c r="M798" s="2" t="str">
        <f ca="1">IFERROR(__xludf.DUMMYFUNCTION("""COMPUTED_VALUE"""),"1921045000000")</f>
        <v>1921045000000</v>
      </c>
      <c r="N798" s="1" t="str">
        <f ca="1">IFERROR(__xludf.DUMMYFUNCTION("""COMPUTED_VALUE"""),"ESCOLA ESTADUAL RURAL DE PARAGOMINAS")</f>
        <v>ESCOLA ESTADUAL RURAL DE PARAGOMINAS</v>
      </c>
      <c r="O798" s="1"/>
      <c r="P798" s="1"/>
      <c r="Q798" s="1" t="s">
        <v>784</v>
      </c>
    </row>
    <row r="799" spans="1:17" x14ac:dyDescent="0.25">
      <c r="A799" s="2" t="str">
        <f ca="1">IFERROR(__xludf.DUMMYFUNCTION("""COMPUTED_VALUE"""),"REG DE INTEGRA DO RIO CAPIM")</f>
        <v>REG DE INTEGRA DO RIO CAPIM</v>
      </c>
      <c r="B799" s="1" t="str">
        <f ca="1">IFERROR(__xludf.DUMMYFUNCTION("""COMPUTED_VALUE"""),"DRE MAE DO RIO")</f>
        <v>DRE MAE DO RIO</v>
      </c>
      <c r="C799" s="2" t="str">
        <f ca="1">IFERROR(__xludf.DUMMYFUNCTION("""COMPUTED_VALUE"""),"DRE - MAE DO RIO")</f>
        <v>DRE - MAE DO RIO</v>
      </c>
      <c r="D799" s="1"/>
      <c r="E799" s="2" t="str">
        <f ca="1">IFERROR(__xludf.DUMMYFUNCTION("""COMPUTED_VALUE"""),"DRE - MAE DO RIO")</f>
        <v>DRE - MAE DO RIO</v>
      </c>
      <c r="F799" s="1">
        <f ca="1">IFERROR(__xludf.DUMMYFUNCTION("""COMPUTED_VALUE"""),2)</f>
        <v>2</v>
      </c>
      <c r="G799" s="1"/>
      <c r="H799" s="1" t="str">
        <f ca="1">IFERROR(__xludf.DUMMYFUNCTION("""COMPUTED_VALUE"""),"18A URE - MAE DO RIO")</f>
        <v>18A URE - MAE DO RIO</v>
      </c>
      <c r="I799" s="1"/>
      <c r="J799" s="1" t="str">
        <f ca="1">IFERROR(__xludf.DUMMYFUNCTION("""COMPUTED_VALUE"""),"ULIANOPOLIS")</f>
        <v>ULIANOPOLIS</v>
      </c>
      <c r="K799" s="1">
        <f ca="1">IFERROR(__xludf.DUMMYFUNCTION("""COMPUTED_VALUE"""),15178013)</f>
        <v>15178013</v>
      </c>
      <c r="L799" s="2" t="str">
        <f ca="1">IFERROR(__xludf.DUMMYFUNCTION("""COMPUTED_VALUE"""),"001920936600002")</f>
        <v>001920936600002</v>
      </c>
      <c r="M799" s="2" t="str">
        <f ca="1">IFERROR(__xludf.DUMMYFUNCTION("""COMPUTED_VALUE"""),"1920936600002")</f>
        <v>1920936600002</v>
      </c>
      <c r="N799" s="1" t="str">
        <f ca="1">IFERROR(__xludf.DUMMYFUNCTION("""COMPUTED_VALUE"""),"ANEXO RURAL PROFA. IZABEL AMAZONAS")</f>
        <v>ANEXO RURAL PROFA. IZABEL AMAZONAS</v>
      </c>
      <c r="O799" s="1"/>
      <c r="P799" s="1"/>
      <c r="Q799" s="1" t="s">
        <v>784</v>
      </c>
    </row>
    <row r="800" spans="1:17" x14ac:dyDescent="0.25">
      <c r="A800" s="2" t="str">
        <f ca="1">IFERROR(__xludf.DUMMYFUNCTION("""COMPUTED_VALUE"""),"REG DE INTEGRA DO RIO CAPIM")</f>
        <v>REG DE INTEGRA DO RIO CAPIM</v>
      </c>
      <c r="B800" s="1" t="str">
        <f ca="1">IFERROR(__xludf.DUMMYFUNCTION("""COMPUTED_VALUE"""),"DRE MAE DO RIO")</f>
        <v>DRE MAE DO RIO</v>
      </c>
      <c r="C800" s="2" t="str">
        <f ca="1">IFERROR(__xludf.DUMMYFUNCTION("""COMPUTED_VALUE"""),"DRE - MAE DO RIO")</f>
        <v>DRE - MAE DO RIO</v>
      </c>
      <c r="D800" s="1"/>
      <c r="E800" s="2" t="str">
        <f ca="1">IFERROR(__xludf.DUMMYFUNCTION("""COMPUTED_VALUE"""),"DRE - MAE DO RIO")</f>
        <v>DRE - MAE DO RIO</v>
      </c>
      <c r="F800" s="1">
        <f ca="1">IFERROR(__xludf.DUMMYFUNCTION("""COMPUTED_VALUE"""),2)</f>
        <v>2</v>
      </c>
      <c r="G800" s="1" t="str">
        <f ca="1">IFERROR(__xludf.DUMMYFUNCTION("""COMPUTED_VALUE"""),"DRE MAE DO RIO")</f>
        <v>DRE MAE DO RIO</v>
      </c>
      <c r="H800" s="1" t="str">
        <f ca="1">IFERROR(__xludf.DUMMYFUNCTION("""COMPUTED_VALUE"""),"18A URE - MAE DO RIO")</f>
        <v>18A URE - MAE DO RIO</v>
      </c>
      <c r="I800" s="1"/>
      <c r="J800" s="1" t="str">
        <f ca="1">IFERROR(__xludf.DUMMYFUNCTION("""COMPUTED_VALUE"""),"ULIANOPOLIS")</f>
        <v>ULIANOPOLIS</v>
      </c>
      <c r="K800" s="1">
        <f ca="1">IFERROR(__xludf.DUMMYFUNCTION("""COMPUTED_VALUE"""),15571831)</f>
        <v>15571831</v>
      </c>
      <c r="L800" s="2" t="str">
        <f ca="1">IFERROR(__xludf.DUMMYFUNCTION("""COMPUTED_VALUE"""),"001920936600000")</f>
        <v>001920936600000</v>
      </c>
      <c r="M800" s="2" t="str">
        <f ca="1">IFERROR(__xludf.DUMMYFUNCTION("""COMPUTED_VALUE"""),"1920936600000")</f>
        <v>1920936600000</v>
      </c>
      <c r="N800" s="1" t="str">
        <f ca="1">IFERROR(__xludf.DUMMYFUNCTION("""COMPUTED_VALUE"""),"EEEM PROFA IZABEL AMAZONAS")</f>
        <v>EEEM PROFA IZABEL AMAZONAS</v>
      </c>
      <c r="O800" s="1"/>
      <c r="P800" s="1"/>
      <c r="Q800" s="1" t="s">
        <v>784</v>
      </c>
    </row>
    <row r="801" spans="1:17" x14ac:dyDescent="0.25">
      <c r="A801" s="2" t="str">
        <f ca="1">IFERROR(__xludf.DUMMYFUNCTION("""COMPUTED_VALUE"""),"REG DE INTEGRA DO RIO CAPIM")</f>
        <v>REG DE INTEGRA DO RIO CAPIM</v>
      </c>
      <c r="B801" s="1" t="str">
        <f ca="1">IFERROR(__xludf.DUMMYFUNCTION("""COMPUTED_VALUE"""),"DRE MAE DO RIO")</f>
        <v>DRE MAE DO RIO</v>
      </c>
      <c r="C801" s="2" t="str">
        <f ca="1">IFERROR(__xludf.DUMMYFUNCTION("""COMPUTED_VALUE"""),"DRE - MAE DO RIO")</f>
        <v>DRE - MAE DO RIO</v>
      </c>
      <c r="D801" s="1"/>
      <c r="E801" s="2" t="str">
        <f ca="1">IFERROR(__xludf.DUMMYFUNCTION("""COMPUTED_VALUE"""),"DRE - MAE DO RIO")</f>
        <v>DRE - MAE DO RIO</v>
      </c>
      <c r="F801" s="1"/>
      <c r="G801" s="1"/>
      <c r="H801" s="1" t="str">
        <f ca="1">IFERROR(__xludf.DUMMYFUNCTION("""COMPUTED_VALUE"""),"18A URE - MAE DO RIO")</f>
        <v>18A URE - MAE DO RIO</v>
      </c>
      <c r="I801" s="1"/>
      <c r="J801" s="1" t="str">
        <f ca="1">IFERROR(__xludf.DUMMYFUNCTION("""COMPUTED_VALUE"""),"ULIANOPOLIS")</f>
        <v>ULIANOPOLIS</v>
      </c>
      <c r="K801" s="1"/>
      <c r="L801" s="2" t="str">
        <f ca="1">IFERROR(__xludf.DUMMYFUNCTION("""COMPUTED_VALUE"""),"001921046000000")</f>
        <v>001921046000000</v>
      </c>
      <c r="M801" s="2" t="str">
        <f ca="1">IFERROR(__xludf.DUMMYFUNCTION("""COMPUTED_VALUE"""),"1921046000000")</f>
        <v>1921046000000</v>
      </c>
      <c r="N801" s="1" t="str">
        <f ca="1">IFERROR(__xludf.DUMMYFUNCTION("""COMPUTED_VALUE"""),"ESCOLA ESTADUAL RURAL DE ULIANOPOLIS")</f>
        <v>ESCOLA ESTADUAL RURAL DE ULIANOPOLIS</v>
      </c>
      <c r="O801" s="1"/>
      <c r="P801" s="1"/>
      <c r="Q801" s="1" t="s">
        <v>784</v>
      </c>
    </row>
    <row r="802" spans="1:17" x14ac:dyDescent="0.25">
      <c r="A802" s="2" t="str">
        <f ca="1">IFERROR(__xludf.DUMMYFUNCTION("""COMPUTED_VALUE"""),"REG DE INTEGRA DO RIO CAPIM")</f>
        <v>REG DE INTEGRA DO RIO CAPIM</v>
      </c>
      <c r="B802" s="1" t="str">
        <f ca="1">IFERROR(__xludf.DUMMYFUNCTION("""COMPUTED_VALUE"""),"DRE MARABA")</f>
        <v>DRE MARABA</v>
      </c>
      <c r="C802" s="2" t="str">
        <f ca="1">IFERROR(__xludf.DUMMYFUNCTION("""COMPUTED_VALUE"""),"DRE - MARABA")</f>
        <v>DRE - MARABA</v>
      </c>
      <c r="D802" s="1"/>
      <c r="E802" s="2" t="str">
        <f ca="1">IFERROR(__xludf.DUMMYFUNCTION("""COMPUTED_VALUE"""),"DRE - MARABA")</f>
        <v>DRE - MARABA</v>
      </c>
      <c r="F802" s="1">
        <f ca="1">IFERROR(__xludf.DUMMYFUNCTION("""COMPUTED_VALUE"""),3)</f>
        <v>3</v>
      </c>
      <c r="G802" s="1" t="str">
        <f ca="1">IFERROR(__xludf.DUMMYFUNCTION("""COMPUTED_VALUE"""),"DRE MARABA")</f>
        <v>DRE MARABA</v>
      </c>
      <c r="H802" s="1" t="str">
        <f ca="1">IFERROR(__xludf.DUMMYFUNCTION("""COMPUTED_VALUE"""),"04A URE - MARABA")</f>
        <v>04A URE - MARABA</v>
      </c>
      <c r="I802" s="1"/>
      <c r="J802" s="1" t="str">
        <f ca="1">IFERROR(__xludf.DUMMYFUNCTION("""COMPUTED_VALUE"""),"ABEL FIGUEIREDO")</f>
        <v>ABEL FIGUEIREDO</v>
      </c>
      <c r="K802" s="1">
        <f ca="1">IFERROR(__xludf.DUMMYFUNCTION("""COMPUTED_VALUE"""),15116220)</f>
        <v>15116220</v>
      </c>
      <c r="L802" s="2" t="str">
        <f ca="1">IFERROR(__xludf.DUMMYFUNCTION("""COMPUTED_VALUE"""),"001920936710000")</f>
        <v>001920936710000</v>
      </c>
      <c r="M802" s="2" t="str">
        <f ca="1">IFERROR(__xludf.DUMMYFUNCTION("""COMPUTED_VALUE"""),"1920936710000")</f>
        <v>1920936710000</v>
      </c>
      <c r="N802" s="1" t="str">
        <f ca="1">IFERROR(__xludf.DUMMYFUNCTION("""COMPUTED_VALUE"""),"EEEM PROF HELIO FROTA LIMA")</f>
        <v>EEEM PROF HELIO FROTA LIMA</v>
      </c>
      <c r="O802" s="1"/>
      <c r="P802" s="1"/>
      <c r="Q802" s="1" t="s">
        <v>822</v>
      </c>
    </row>
    <row r="803" spans="1:17" x14ac:dyDescent="0.25">
      <c r="A803" s="2" t="str">
        <f ca="1">IFERROR(__xludf.DUMMYFUNCTION("""COMPUTED_VALUE"""),"REG DE INTEGRA DO RIO CAPIM")</f>
        <v>REG DE INTEGRA DO RIO CAPIM</v>
      </c>
      <c r="B803" s="1" t="str">
        <f ca="1">IFERROR(__xludf.DUMMYFUNCTION("""COMPUTED_VALUE"""),"DRE MARABA")</f>
        <v>DRE MARABA</v>
      </c>
      <c r="C803" s="2" t="str">
        <f ca="1">IFERROR(__xludf.DUMMYFUNCTION("""COMPUTED_VALUE"""),"DRE - MARABA")</f>
        <v>DRE - MARABA</v>
      </c>
      <c r="D803" s="1"/>
      <c r="E803" s="2" t="str">
        <f ca="1">IFERROR(__xludf.DUMMYFUNCTION("""COMPUTED_VALUE"""),"DRE - MARABA")</f>
        <v>DRE - MARABA</v>
      </c>
      <c r="F803" s="1">
        <f ca="1">IFERROR(__xludf.DUMMYFUNCTION("""COMPUTED_VALUE"""),3)</f>
        <v>3</v>
      </c>
      <c r="G803" s="1" t="str">
        <f ca="1">IFERROR(__xludf.DUMMYFUNCTION("""COMPUTED_VALUE"""),"DRE MARABA")</f>
        <v>DRE MARABA</v>
      </c>
      <c r="H803" s="1" t="str">
        <f ca="1">IFERROR(__xludf.DUMMYFUNCTION("""COMPUTED_VALUE"""),"04A URE - MARABA")</f>
        <v>04A URE - MARABA</v>
      </c>
      <c r="I803" s="1"/>
      <c r="J803" s="1" t="str">
        <f ca="1">IFERROR(__xludf.DUMMYFUNCTION("""COMPUTED_VALUE"""),"BOM JESUS DO TOCANTINS")</f>
        <v>BOM JESUS DO TOCANTINS</v>
      </c>
      <c r="K803" s="1"/>
      <c r="L803" s="2" t="str">
        <f ca="1">IFERROR(__xludf.DUMMYFUNCTION("""COMPUTED_VALUE"""),"001920940000001")</f>
        <v>001920940000001</v>
      </c>
      <c r="M803" s="2" t="str">
        <f ca="1">IFERROR(__xludf.DUMMYFUNCTION("""COMPUTED_VALUE"""),"1920940000001")</f>
        <v>1920940000001</v>
      </c>
      <c r="N803" s="1" t="str">
        <f ca="1">IFERROR(__xludf.DUMMYFUNCTION("""COMPUTED_VALUE"""),"ANEXO JARKOJAHERE")</f>
        <v>ANEXO JARKOJAHERE</v>
      </c>
      <c r="O803" s="1"/>
      <c r="P803" s="1"/>
      <c r="Q803" s="1" t="s">
        <v>822</v>
      </c>
    </row>
    <row r="804" spans="1:17" x14ac:dyDescent="0.25">
      <c r="A804" s="2" t="str">
        <f ca="1">IFERROR(__xludf.DUMMYFUNCTION("""COMPUTED_VALUE"""),"REG DE INTEGRA DO RIO CAPIM")</f>
        <v>REG DE INTEGRA DO RIO CAPIM</v>
      </c>
      <c r="B804" s="1" t="str">
        <f ca="1">IFERROR(__xludf.DUMMYFUNCTION("""COMPUTED_VALUE"""),"DRE MARABA")</f>
        <v>DRE MARABA</v>
      </c>
      <c r="C804" s="2" t="str">
        <f ca="1">IFERROR(__xludf.DUMMYFUNCTION("""COMPUTED_VALUE"""),"DRE - MARABA")</f>
        <v>DRE - MARABA</v>
      </c>
      <c r="D804" s="1"/>
      <c r="E804" s="2" t="str">
        <f ca="1">IFERROR(__xludf.DUMMYFUNCTION("""COMPUTED_VALUE"""),"DRE - MARABA")</f>
        <v>DRE - MARABA</v>
      </c>
      <c r="F804" s="1">
        <f ca="1">IFERROR(__xludf.DUMMYFUNCTION("""COMPUTED_VALUE"""),3)</f>
        <v>3</v>
      </c>
      <c r="G804" s="1" t="str">
        <f ca="1">IFERROR(__xludf.DUMMYFUNCTION("""COMPUTED_VALUE"""),"DRE MARABA")</f>
        <v>DRE MARABA</v>
      </c>
      <c r="H804" s="1" t="str">
        <f ca="1">IFERROR(__xludf.DUMMYFUNCTION("""COMPUTED_VALUE"""),"04A URE - MARABA")</f>
        <v>04A URE - MARABA</v>
      </c>
      <c r="I804" s="1"/>
      <c r="J804" s="1" t="str">
        <f ca="1">IFERROR(__xludf.DUMMYFUNCTION("""COMPUTED_VALUE"""),"BOM JESUS DO TOCANTINS")</f>
        <v>BOM JESUS DO TOCANTINS</v>
      </c>
      <c r="K804" s="1"/>
      <c r="L804" s="2" t="str">
        <f ca="1">IFERROR(__xludf.DUMMYFUNCTION("""COMPUTED_VALUE"""),"001921062000000")</f>
        <v>001921062000000</v>
      </c>
      <c r="M804" s="2" t="str">
        <f ca="1">IFERROR(__xludf.DUMMYFUNCTION("""COMPUTED_VALUE"""),"1921062000000")</f>
        <v>1921062000000</v>
      </c>
      <c r="N804" s="1" t="str">
        <f ca="1">IFERROR(__xludf.DUMMYFUNCTION("""COMPUTED_VALUE"""),"ESCOLA ESTADUAL INDIGENA PAHIXATI")</f>
        <v>ESCOLA ESTADUAL INDIGENA PAHIXATI</v>
      </c>
      <c r="O804" s="1"/>
      <c r="P804" s="1"/>
      <c r="Q804" s="1" t="s">
        <v>822</v>
      </c>
    </row>
    <row r="805" spans="1:17" x14ac:dyDescent="0.25">
      <c r="A805" s="2" t="str">
        <f ca="1">IFERROR(__xludf.DUMMYFUNCTION("""COMPUTED_VALUE"""),"REG DE INTEGRA DO CARAJAS")</f>
        <v>REG DE INTEGRA DO CARAJAS</v>
      </c>
      <c r="B805" s="1" t="str">
        <f ca="1">IFERROR(__xludf.DUMMYFUNCTION("""COMPUTED_VALUE"""),"DRE MARABA")</f>
        <v>DRE MARABA</v>
      </c>
      <c r="C805" s="2" t="str">
        <f ca="1">IFERROR(__xludf.DUMMYFUNCTION("""COMPUTED_VALUE"""),"DRE - MARABA")</f>
        <v>DRE - MARABA</v>
      </c>
      <c r="D805" s="1"/>
      <c r="E805" s="2" t="str">
        <f ca="1">IFERROR(__xludf.DUMMYFUNCTION("""COMPUTED_VALUE"""),"DRE - MARABA")</f>
        <v>DRE - MARABA</v>
      </c>
      <c r="F805" s="1"/>
      <c r="G805" s="1"/>
      <c r="H805" s="1" t="str">
        <f ca="1">IFERROR(__xludf.DUMMYFUNCTION("""COMPUTED_VALUE"""),"04A URE - MARABA")</f>
        <v>04A URE - MARABA</v>
      </c>
      <c r="I805" s="1"/>
      <c r="J805" s="1" t="str">
        <f ca="1">IFERROR(__xludf.DUMMYFUNCTION("""COMPUTED_VALUE"""),"BOM JESUS DO TOCANTINS")</f>
        <v>BOM JESUS DO TOCANTINS</v>
      </c>
      <c r="K805" s="1"/>
      <c r="L805" s="2" t="str">
        <f ca="1">IFERROR(__xludf.DUMMYFUNCTION("""COMPUTED_VALUE"""),"001920960000000")</f>
        <v>001920960000000</v>
      </c>
      <c r="M805" s="2" t="str">
        <f ca="1">IFERROR(__xludf.DUMMYFUNCTION("""COMPUTED_VALUE"""),"1920960000000")</f>
        <v>1920960000000</v>
      </c>
      <c r="N805" s="1" t="str">
        <f ca="1">IFERROR(__xludf.DUMMYFUNCTION("""COMPUTED_VALUE"""),"EE IND ENS INF FUND MED KWYNKAPREKRE KUWEKATITI")</f>
        <v>EE IND ENS INF FUND MED KWYNKAPREKRE KUWEKATITI</v>
      </c>
      <c r="O805" s="1"/>
      <c r="P805" s="1"/>
      <c r="Q805" s="1" t="s">
        <v>822</v>
      </c>
    </row>
    <row r="806" spans="1:17" x14ac:dyDescent="0.25">
      <c r="A806" s="2" t="str">
        <f ca="1">IFERROR(__xludf.DUMMYFUNCTION("""COMPUTED_VALUE"""),"REG DE INTEGRA DO CARAJAS")</f>
        <v>REG DE INTEGRA DO CARAJAS</v>
      </c>
      <c r="B806" s="1" t="str">
        <f ca="1">IFERROR(__xludf.DUMMYFUNCTION("""COMPUTED_VALUE"""),"DRE MARABA")</f>
        <v>DRE MARABA</v>
      </c>
      <c r="C806" s="2" t="str">
        <f ca="1">IFERROR(__xludf.DUMMYFUNCTION("""COMPUTED_VALUE"""),"DRE - MARABA")</f>
        <v>DRE - MARABA</v>
      </c>
      <c r="D806" s="1"/>
      <c r="E806" s="2" t="str">
        <f ca="1">IFERROR(__xludf.DUMMYFUNCTION("""COMPUTED_VALUE"""),"DRE - MARABA")</f>
        <v>DRE - MARABA</v>
      </c>
      <c r="F806" s="1">
        <f ca="1">IFERROR(__xludf.DUMMYFUNCTION("""COMPUTED_VALUE"""),3)</f>
        <v>3</v>
      </c>
      <c r="G806" s="1" t="str">
        <f ca="1">IFERROR(__xludf.DUMMYFUNCTION("""COMPUTED_VALUE"""),"DRE MARABA")</f>
        <v>DRE MARABA</v>
      </c>
      <c r="H806" s="1" t="str">
        <f ca="1">IFERROR(__xludf.DUMMYFUNCTION("""COMPUTED_VALUE"""),"04A URE - MARABA")</f>
        <v>04A URE - MARABA</v>
      </c>
      <c r="I806" s="1"/>
      <c r="J806" s="1" t="str">
        <f ca="1">IFERROR(__xludf.DUMMYFUNCTION("""COMPUTED_VALUE"""),"BOM JESUS DO TOCANTINS")</f>
        <v>BOM JESUS DO TOCANTINS</v>
      </c>
      <c r="K806" s="1">
        <f ca="1">IFERROR(__xludf.DUMMYFUNCTION("""COMPUTED_VALUE"""),15574261)</f>
        <v>15574261</v>
      </c>
      <c r="L806" s="2" t="str">
        <f ca="1">IFERROR(__xludf.DUMMYFUNCTION("""COMPUTED_VALUE"""),"001920937340000")</f>
        <v>001920937340000</v>
      </c>
      <c r="M806" s="2" t="str">
        <f ca="1">IFERROR(__xludf.DUMMYFUNCTION("""COMPUTED_VALUE"""),"1920937340000")</f>
        <v>1920937340000</v>
      </c>
      <c r="N806" s="1" t="str">
        <f ca="1">IFERROR(__xludf.DUMMYFUNCTION("""COMPUTED_VALUE"""),"EE INDIGENA DE EFM TATAKT KYIKATEJE")</f>
        <v>EE INDIGENA DE EFM TATAKT KYIKATEJE</v>
      </c>
      <c r="O806" s="1"/>
      <c r="P806" s="1"/>
      <c r="Q806" s="1" t="s">
        <v>822</v>
      </c>
    </row>
    <row r="807" spans="1:17" x14ac:dyDescent="0.25">
      <c r="A807" s="2" t="str">
        <f ca="1">IFERROR(__xludf.DUMMYFUNCTION("""COMPUTED_VALUE"""),"REG DE INTEGRA DO CARAJAS")</f>
        <v>REG DE INTEGRA DO CARAJAS</v>
      </c>
      <c r="B807" s="1" t="str">
        <f ca="1">IFERROR(__xludf.DUMMYFUNCTION("""COMPUTED_VALUE"""),"DRE MARABA")</f>
        <v>DRE MARABA</v>
      </c>
      <c r="C807" s="2" t="str">
        <f ca="1">IFERROR(__xludf.DUMMYFUNCTION("""COMPUTED_VALUE"""),"DRE - MARABA")</f>
        <v>DRE - MARABA</v>
      </c>
      <c r="D807" s="1"/>
      <c r="E807" s="2" t="str">
        <f ca="1">IFERROR(__xludf.DUMMYFUNCTION("""COMPUTED_VALUE"""),"DRE - MARABA")</f>
        <v>DRE - MARABA</v>
      </c>
      <c r="F807" s="1">
        <f ca="1">IFERROR(__xludf.DUMMYFUNCTION("""COMPUTED_VALUE"""),3)</f>
        <v>3</v>
      </c>
      <c r="G807" s="1" t="str">
        <f ca="1">IFERROR(__xludf.DUMMYFUNCTION("""COMPUTED_VALUE"""),"DRE MARABA")</f>
        <v>DRE MARABA</v>
      </c>
      <c r="H807" s="1" t="str">
        <f ca="1">IFERROR(__xludf.DUMMYFUNCTION("""COMPUTED_VALUE"""),"04A URE - MARABA")</f>
        <v>04A URE - MARABA</v>
      </c>
      <c r="I807" s="1"/>
      <c r="J807" s="1" t="str">
        <f ca="1">IFERROR(__xludf.DUMMYFUNCTION("""COMPUTED_VALUE"""),"BOM JESUS DO TOCANTINS")</f>
        <v>BOM JESUS DO TOCANTINS</v>
      </c>
      <c r="K807" s="1">
        <f ca="1">IFERROR(__xludf.DUMMYFUNCTION("""COMPUTED_VALUE"""),15155862)</f>
        <v>15155862</v>
      </c>
      <c r="L807" s="2" t="str">
        <f ca="1">IFERROR(__xludf.DUMMYFUNCTION("""COMPUTED_VALUE"""),"001920929670000")</f>
        <v>001920929670000</v>
      </c>
      <c r="M807" s="2" t="str">
        <f ca="1">IFERROR(__xludf.DUMMYFUNCTION("""COMPUTED_VALUE"""),"1920929670000")</f>
        <v>1920929670000</v>
      </c>
      <c r="N807" s="1" t="str">
        <f ca="1">IFERROR(__xludf.DUMMYFUNCTION("""COMPUTED_VALUE"""),"EE INDIGENA DE EIFM PEPTYKRE PARKATEJE")</f>
        <v>EE INDIGENA DE EIFM PEPTYKRE PARKATEJE</v>
      </c>
      <c r="O807" s="1"/>
      <c r="P807" s="1"/>
      <c r="Q807" s="1" t="s">
        <v>822</v>
      </c>
    </row>
    <row r="808" spans="1:17" x14ac:dyDescent="0.25">
      <c r="A808" s="2" t="str">
        <f ca="1">IFERROR(__xludf.DUMMYFUNCTION("""COMPUTED_VALUE"""),"REG DE INTEGRA DO CARAJAS")</f>
        <v>REG DE INTEGRA DO CARAJAS</v>
      </c>
      <c r="B808" s="1" t="str">
        <f ca="1">IFERROR(__xludf.DUMMYFUNCTION("""COMPUTED_VALUE"""),"DRE MARABA")</f>
        <v>DRE MARABA</v>
      </c>
      <c r="C808" s="2" t="str">
        <f ca="1">IFERROR(__xludf.DUMMYFUNCTION("""COMPUTED_VALUE"""),"DRE - MARABA")</f>
        <v>DRE - MARABA</v>
      </c>
      <c r="D808" s="1"/>
      <c r="E808" s="2" t="str">
        <f ca="1">IFERROR(__xludf.DUMMYFUNCTION("""COMPUTED_VALUE"""),"DRE - MARABA")</f>
        <v>DRE - MARABA</v>
      </c>
      <c r="F808" s="1">
        <f ca="1">IFERROR(__xludf.DUMMYFUNCTION("""COMPUTED_VALUE"""),3)</f>
        <v>3</v>
      </c>
      <c r="G808" s="1" t="str">
        <f ca="1">IFERROR(__xludf.DUMMYFUNCTION("""COMPUTED_VALUE"""),"DRE MARABA")</f>
        <v>DRE MARABA</v>
      </c>
      <c r="H808" s="1" t="str">
        <f ca="1">IFERROR(__xludf.DUMMYFUNCTION("""COMPUTED_VALUE"""),"04A URE - MARABA")</f>
        <v>04A URE - MARABA</v>
      </c>
      <c r="I808" s="1"/>
      <c r="J808" s="1" t="str">
        <f ca="1">IFERROR(__xludf.DUMMYFUNCTION("""COMPUTED_VALUE"""),"BOM JESUS DO TOCANTINS")</f>
        <v>BOM JESUS DO TOCANTINS</v>
      </c>
      <c r="K808" s="1">
        <f ca="1">IFERROR(__xludf.DUMMYFUNCTION("""COMPUTED_VALUE"""),15173186)</f>
        <v>15173186</v>
      </c>
      <c r="L808" s="2" t="str">
        <f ca="1">IFERROR(__xludf.DUMMYFUNCTION("""COMPUTED_VALUE"""),"001920945000000")</f>
        <v>001920945000000</v>
      </c>
      <c r="M808" s="2" t="str">
        <f ca="1">IFERROR(__xludf.DUMMYFUNCTION("""COMPUTED_VALUE"""),"1920945000000")</f>
        <v>1920945000000</v>
      </c>
      <c r="N808" s="1" t="str">
        <f ca="1">IFERROR(__xludf.DUMMYFUNCTION("""COMPUTED_VALUE"""),"EE INDIGENA DE ENS INFANTIL FUND E MEDIO KOJIPOKTI")</f>
        <v>EE INDIGENA DE ENS INFANTIL FUND E MEDIO KOJIPOKTI</v>
      </c>
      <c r="O808" s="1"/>
      <c r="P808" s="1"/>
      <c r="Q808" s="1" t="s">
        <v>822</v>
      </c>
    </row>
    <row r="809" spans="1:17" x14ac:dyDescent="0.25">
      <c r="A809" s="2" t="str">
        <f ca="1">IFERROR(__xludf.DUMMYFUNCTION("""COMPUTED_VALUE"""),"REG DE INTEGRA DO CARAJAS")</f>
        <v>REG DE INTEGRA DO CARAJAS</v>
      </c>
      <c r="B809" s="1" t="str">
        <f ca="1">IFERROR(__xludf.DUMMYFUNCTION("""COMPUTED_VALUE"""),"DRE MARABA")</f>
        <v>DRE MARABA</v>
      </c>
      <c r="C809" s="2" t="str">
        <f ca="1">IFERROR(__xludf.DUMMYFUNCTION("""COMPUTED_VALUE"""),"DRE - MARABA")</f>
        <v>DRE - MARABA</v>
      </c>
      <c r="D809" s="1"/>
      <c r="E809" s="2" t="str">
        <f ca="1">IFERROR(__xludf.DUMMYFUNCTION("""COMPUTED_VALUE"""),"DRE - MARABA")</f>
        <v>DRE - MARABA</v>
      </c>
      <c r="F809" s="1">
        <f ca="1">IFERROR(__xludf.DUMMYFUNCTION("""COMPUTED_VALUE"""),3)</f>
        <v>3</v>
      </c>
      <c r="G809" s="1" t="str">
        <f ca="1">IFERROR(__xludf.DUMMYFUNCTION("""COMPUTED_VALUE"""),"DRE MARABA")</f>
        <v>DRE MARABA</v>
      </c>
      <c r="H809" s="1" t="str">
        <f ca="1">IFERROR(__xludf.DUMMYFUNCTION("""COMPUTED_VALUE"""),"04A URE - MARABA")</f>
        <v>04A URE - MARABA</v>
      </c>
      <c r="I809" s="1"/>
      <c r="J809" s="1" t="str">
        <f ca="1">IFERROR(__xludf.DUMMYFUNCTION("""COMPUTED_VALUE"""),"BOM JESUS DO TOCANTINS")</f>
        <v>BOM JESUS DO TOCANTINS</v>
      </c>
      <c r="K809" s="1">
        <f ca="1">IFERROR(__xludf.DUMMYFUNCTION("""COMPUTED_VALUE"""),15162990)</f>
        <v>15162990</v>
      </c>
      <c r="L809" s="2" t="str">
        <f ca="1">IFERROR(__xludf.DUMMYFUNCTION("""COMPUTED_VALUE"""),"001920937740000")</f>
        <v>001920937740000</v>
      </c>
      <c r="M809" s="2" t="str">
        <f ca="1">IFERROR(__xludf.DUMMYFUNCTION("""COMPUTED_VALUE"""),"1920937740000")</f>
        <v>1920937740000</v>
      </c>
      <c r="N809" s="1" t="str">
        <f ca="1">IFERROR(__xludf.DUMMYFUNCTION("""COMPUTED_VALUE"""),"EE INDIGENA EFM KATEKAPONOTI")</f>
        <v>EE INDIGENA EFM KATEKAPONOTI</v>
      </c>
      <c r="O809" s="1"/>
      <c r="P809" s="1"/>
      <c r="Q809" s="1" t="s">
        <v>822</v>
      </c>
    </row>
    <row r="810" spans="1:17" x14ac:dyDescent="0.25">
      <c r="A810" s="2" t="str">
        <f ca="1">IFERROR(__xludf.DUMMYFUNCTION("""COMPUTED_VALUE"""),"REG DE INTEGRA DO CARAJAS")</f>
        <v>REG DE INTEGRA DO CARAJAS</v>
      </c>
      <c r="B810" s="1" t="str">
        <f ca="1">IFERROR(__xludf.DUMMYFUNCTION("""COMPUTED_VALUE"""),"DRE MARABA")</f>
        <v>DRE MARABA</v>
      </c>
      <c r="C810" s="2" t="str">
        <f ca="1">IFERROR(__xludf.DUMMYFUNCTION("""COMPUTED_VALUE"""),"DRE - MARABA")</f>
        <v>DRE - MARABA</v>
      </c>
      <c r="D810" s="1"/>
      <c r="E810" s="2" t="str">
        <f ca="1">IFERROR(__xludf.DUMMYFUNCTION("""COMPUTED_VALUE"""),"DRE - MARABA")</f>
        <v>DRE - MARABA</v>
      </c>
      <c r="F810" s="1">
        <f ca="1">IFERROR(__xludf.DUMMYFUNCTION("""COMPUTED_VALUE"""),3)</f>
        <v>3</v>
      </c>
      <c r="G810" s="1" t="str">
        <f ca="1">IFERROR(__xludf.DUMMYFUNCTION("""COMPUTED_VALUE"""),"DRE MARABA")</f>
        <v>DRE MARABA</v>
      </c>
      <c r="H810" s="1" t="str">
        <f ca="1">IFERROR(__xludf.DUMMYFUNCTION("""COMPUTED_VALUE"""),"04A URE - MARABA")</f>
        <v>04A URE - MARABA</v>
      </c>
      <c r="I810" s="1"/>
      <c r="J810" s="1" t="str">
        <f ca="1">IFERROR(__xludf.DUMMYFUNCTION("""COMPUTED_VALUE"""),"BOM JESUS DO TOCANTINS")</f>
        <v>BOM JESUS DO TOCANTINS</v>
      </c>
      <c r="K810" s="1">
        <f ca="1">IFERROR(__xludf.DUMMYFUNCTION("""COMPUTED_VALUE"""),15170411)</f>
        <v>15170411</v>
      </c>
      <c r="L810" s="2" t="str">
        <f ca="1">IFERROR(__xludf.DUMMYFUNCTION("""COMPUTED_VALUE"""),"001920938300000")</f>
        <v>001920938300000</v>
      </c>
      <c r="M810" s="2" t="str">
        <f ca="1">IFERROR(__xludf.DUMMYFUNCTION("""COMPUTED_VALUE"""),"1920938300000")</f>
        <v>1920938300000</v>
      </c>
      <c r="N810" s="1" t="str">
        <f ca="1">IFERROR(__xludf.DUMMYFUNCTION("""COMPUTED_VALUE"""),"EE INDIGENA EFM ME AKRE KOYAKATI")</f>
        <v>EE INDIGENA EFM ME AKRE KOYAKATI</v>
      </c>
      <c r="O810" s="1"/>
      <c r="P810" s="1"/>
      <c r="Q810" s="1" t="s">
        <v>822</v>
      </c>
    </row>
    <row r="811" spans="1:17" x14ac:dyDescent="0.25">
      <c r="A811" s="2" t="str">
        <f ca="1">IFERROR(__xludf.DUMMYFUNCTION("""COMPUTED_VALUE"""),"REG DE INTEGRA DO CARAJAS")</f>
        <v>REG DE INTEGRA DO CARAJAS</v>
      </c>
      <c r="B811" s="1" t="str">
        <f ca="1">IFERROR(__xludf.DUMMYFUNCTION("""COMPUTED_VALUE"""),"DRE MARABA")</f>
        <v>DRE MARABA</v>
      </c>
      <c r="C811" s="2" t="str">
        <f ca="1">IFERROR(__xludf.DUMMYFUNCTION("""COMPUTED_VALUE"""),"DRE - MARABA")</f>
        <v>DRE - MARABA</v>
      </c>
      <c r="D811" s="1"/>
      <c r="E811" s="2" t="str">
        <f ca="1">IFERROR(__xludf.DUMMYFUNCTION("""COMPUTED_VALUE"""),"DRE - MARABA")</f>
        <v>DRE - MARABA</v>
      </c>
      <c r="F811" s="1">
        <f ca="1">IFERROR(__xludf.DUMMYFUNCTION("""COMPUTED_VALUE"""),3)</f>
        <v>3</v>
      </c>
      <c r="G811" s="1" t="str">
        <f ca="1">IFERROR(__xludf.DUMMYFUNCTION("""COMPUTED_VALUE"""),"DRE MARABA")</f>
        <v>DRE MARABA</v>
      </c>
      <c r="H811" s="1" t="str">
        <f ca="1">IFERROR(__xludf.DUMMYFUNCTION("""COMPUTED_VALUE"""),"04A URE - MARABA")</f>
        <v>04A URE - MARABA</v>
      </c>
      <c r="I811" s="1"/>
      <c r="J811" s="1" t="str">
        <f ca="1">IFERROR(__xludf.DUMMYFUNCTION("""COMPUTED_VALUE"""),"BOM JESUS DO TOCANTINS")</f>
        <v>BOM JESUS DO TOCANTINS</v>
      </c>
      <c r="K811" s="1">
        <f ca="1">IFERROR(__xludf.DUMMYFUNCTION("""COMPUTED_VALUE"""),15170462)</f>
        <v>15170462</v>
      </c>
      <c r="L811" s="2" t="str">
        <f ca="1">IFERROR(__xludf.DUMMYFUNCTION("""COMPUTED_VALUE"""),"001920938000000")</f>
        <v>001920938000000</v>
      </c>
      <c r="M811" s="2" t="str">
        <f ca="1">IFERROR(__xludf.DUMMYFUNCTION("""COMPUTED_VALUE"""),"1920938000000")</f>
        <v>1920938000000</v>
      </c>
      <c r="N811" s="1" t="str">
        <f ca="1">IFERROR(__xludf.DUMMYFUNCTION("""COMPUTED_VALUE"""),"EE INDIGENA EIFM RONORE KAPERE TEMEJAKREKATE AKRATIKATEJE")</f>
        <v>EE INDIGENA EIFM RONORE KAPERE TEMEJAKREKATE AKRATIKATEJE</v>
      </c>
      <c r="O811" s="1"/>
      <c r="P811" s="1"/>
      <c r="Q811" s="1" t="s">
        <v>822</v>
      </c>
    </row>
    <row r="812" spans="1:17" x14ac:dyDescent="0.25">
      <c r="A812" s="2" t="str">
        <f ca="1">IFERROR(__xludf.DUMMYFUNCTION("""COMPUTED_VALUE"""),"REG DE INTEGRA DO CARAJAS")</f>
        <v>REG DE INTEGRA DO CARAJAS</v>
      </c>
      <c r="B812" s="1" t="str">
        <f ca="1">IFERROR(__xludf.DUMMYFUNCTION("""COMPUTED_VALUE"""),"DRE MARABA")</f>
        <v>DRE MARABA</v>
      </c>
      <c r="C812" s="2" t="str">
        <f ca="1">IFERROR(__xludf.DUMMYFUNCTION("""COMPUTED_VALUE"""),"DRE - MARABA")</f>
        <v>DRE - MARABA</v>
      </c>
      <c r="D812" s="1"/>
      <c r="E812" s="2" t="str">
        <f ca="1">IFERROR(__xludf.DUMMYFUNCTION("""COMPUTED_VALUE"""),"DRE - MARABA")</f>
        <v>DRE - MARABA</v>
      </c>
      <c r="F812" s="1">
        <f ca="1">IFERROR(__xludf.DUMMYFUNCTION("""COMPUTED_VALUE"""),3)</f>
        <v>3</v>
      </c>
      <c r="G812" s="1" t="str">
        <f ca="1">IFERROR(__xludf.DUMMYFUNCTION("""COMPUTED_VALUE"""),"DRE MARABA")</f>
        <v>DRE MARABA</v>
      </c>
      <c r="H812" s="1" t="str">
        <f ca="1">IFERROR(__xludf.DUMMYFUNCTION("""COMPUTED_VALUE"""),"04A URE - MARABA")</f>
        <v>04A URE - MARABA</v>
      </c>
      <c r="I812" s="1"/>
      <c r="J812" s="1" t="str">
        <f ca="1">IFERROR(__xludf.DUMMYFUNCTION("""COMPUTED_VALUE"""),"BOM JESUS DO TOCANTINS")</f>
        <v>BOM JESUS DO TOCANTINS</v>
      </c>
      <c r="K812" s="1">
        <f ca="1">IFERROR(__xludf.DUMMYFUNCTION("""COMPUTED_VALUE"""),15116395)</f>
        <v>15116395</v>
      </c>
      <c r="L812" s="2" t="str">
        <f ca="1">IFERROR(__xludf.DUMMYFUNCTION("""COMPUTED_VALUE"""),"001920912890000")</f>
        <v>001920912890000</v>
      </c>
      <c r="M812" s="2" t="str">
        <f ca="1">IFERROR(__xludf.DUMMYFUNCTION("""COMPUTED_VALUE"""),"1920912890000")</f>
        <v>1920912890000</v>
      </c>
      <c r="N812" s="1" t="str">
        <f ca="1">IFERROR(__xludf.DUMMYFUNCTION("""COMPUTED_VALUE"""),"EEEFM PROFA MARIA SYLVIA DOS SANTOS SEDE")</f>
        <v>EEEFM PROFA MARIA SYLVIA DOS SANTOS SEDE</v>
      </c>
      <c r="O812" s="1"/>
      <c r="P812" s="1"/>
      <c r="Q812" s="1" t="s">
        <v>822</v>
      </c>
    </row>
    <row r="813" spans="1:17" x14ac:dyDescent="0.25">
      <c r="A813" s="2" t="str">
        <f ca="1">IFERROR(__xludf.DUMMYFUNCTION("""COMPUTED_VALUE"""),"REG DE INTEGRA DO CARAJAS")</f>
        <v>REG DE INTEGRA DO CARAJAS</v>
      </c>
      <c r="B813" s="1" t="str">
        <f ca="1">IFERROR(__xludf.DUMMYFUNCTION("""COMPUTED_VALUE"""),"DRE MARABA")</f>
        <v>DRE MARABA</v>
      </c>
      <c r="C813" s="2" t="str">
        <f ca="1">IFERROR(__xludf.DUMMYFUNCTION("""COMPUTED_VALUE"""),"DRE - MARABA")</f>
        <v>DRE - MARABA</v>
      </c>
      <c r="D813" s="1"/>
      <c r="E813" s="2" t="str">
        <f ca="1">IFERROR(__xludf.DUMMYFUNCTION("""COMPUTED_VALUE"""),"DRE - MARABA")</f>
        <v>DRE - MARABA</v>
      </c>
      <c r="F813" s="1">
        <f ca="1">IFERROR(__xludf.DUMMYFUNCTION("""COMPUTED_VALUE"""),3)</f>
        <v>3</v>
      </c>
      <c r="G813" s="1" t="str">
        <f ca="1">IFERROR(__xludf.DUMMYFUNCTION("""COMPUTED_VALUE"""),"DRE MARABA")</f>
        <v>DRE MARABA</v>
      </c>
      <c r="H813" s="1" t="str">
        <f ca="1">IFERROR(__xludf.DUMMYFUNCTION("""COMPUTED_VALUE"""),"04A URE - MARABA")</f>
        <v>04A URE - MARABA</v>
      </c>
      <c r="I813" s="1"/>
      <c r="J813" s="1" t="str">
        <f ca="1">IFERROR(__xludf.DUMMYFUNCTION("""COMPUTED_VALUE"""),"BOM JESUS DO TOCANTINS")</f>
        <v>BOM JESUS DO TOCANTINS</v>
      </c>
      <c r="K813" s="1">
        <f ca="1">IFERROR(__xludf.DUMMYFUNCTION("""COMPUTED_VALUE"""),15172694)</f>
        <v>15172694</v>
      </c>
      <c r="L813" s="2" t="str">
        <f ca="1">IFERROR(__xludf.DUMMYFUNCTION("""COMPUTED_VALUE"""),"001920942000000")</f>
        <v>001920942000000</v>
      </c>
      <c r="M813" s="2" t="str">
        <f ca="1">IFERROR(__xludf.DUMMYFUNCTION("""COMPUTED_VALUE"""),"1920942000000")</f>
        <v>1920942000000</v>
      </c>
      <c r="N813" s="1" t="str">
        <f ca="1">IFERROR(__xludf.DUMMYFUNCTION("""COMPUTED_VALUE"""),"EIEEIFM AKROTIKATEJE")</f>
        <v>EIEEIFM AKROTIKATEJE</v>
      </c>
      <c r="O813" s="1"/>
      <c r="P813" s="1"/>
      <c r="Q813" s="1" t="s">
        <v>822</v>
      </c>
    </row>
    <row r="814" spans="1:17" x14ac:dyDescent="0.25">
      <c r="A814" s="2" t="str">
        <f ca="1">IFERROR(__xludf.DUMMYFUNCTION("""COMPUTED_VALUE"""),"REG DE INTEGRA DO CARAJAS")</f>
        <v>REG DE INTEGRA DO CARAJAS</v>
      </c>
      <c r="B814" s="1" t="str">
        <f ca="1">IFERROR(__xludf.DUMMYFUNCTION("""COMPUTED_VALUE"""),"DRE MARABA")</f>
        <v>DRE MARABA</v>
      </c>
      <c r="C814" s="2" t="str">
        <f ca="1">IFERROR(__xludf.DUMMYFUNCTION("""COMPUTED_VALUE"""),"DRE - MARABA")</f>
        <v>DRE - MARABA</v>
      </c>
      <c r="D814" s="1"/>
      <c r="E814" s="2" t="str">
        <f ca="1">IFERROR(__xludf.DUMMYFUNCTION("""COMPUTED_VALUE"""),"DRE - MARABA")</f>
        <v>DRE - MARABA</v>
      </c>
      <c r="F814" s="1">
        <f ca="1">IFERROR(__xludf.DUMMYFUNCTION("""COMPUTED_VALUE"""),3)</f>
        <v>3</v>
      </c>
      <c r="G814" s="1" t="str">
        <f ca="1">IFERROR(__xludf.DUMMYFUNCTION("""COMPUTED_VALUE"""),"DRE MARABA")</f>
        <v>DRE MARABA</v>
      </c>
      <c r="H814" s="1" t="str">
        <f ca="1">IFERROR(__xludf.DUMMYFUNCTION("""COMPUTED_VALUE"""),"04A URE - MARABA")</f>
        <v>04A URE - MARABA</v>
      </c>
      <c r="I814" s="1"/>
      <c r="J814" s="1" t="str">
        <f ca="1">IFERROR(__xludf.DUMMYFUNCTION("""COMPUTED_VALUE"""),"BOM JESUS DO TOCANTINS")</f>
        <v>BOM JESUS DO TOCANTINS</v>
      </c>
      <c r="K814" s="1">
        <f ca="1">IFERROR(__xludf.DUMMYFUNCTION("""COMPUTED_VALUE"""),15171892)</f>
        <v>15171892</v>
      </c>
      <c r="L814" s="2" t="str">
        <f ca="1">IFERROR(__xludf.DUMMYFUNCTION("""COMPUTED_VALUE"""),"001920938800000")</f>
        <v>001920938800000</v>
      </c>
      <c r="M814" s="2" t="str">
        <f ca="1">IFERROR(__xludf.DUMMYFUNCTION("""COMPUTED_VALUE"""),"1920938800000")</f>
        <v>1920938800000</v>
      </c>
      <c r="N814" s="1" t="str">
        <f ca="1">IFERROR(__xludf.DUMMYFUNCTION("""COMPUTED_VALUE"""),"EIEEIFM IMPOHYTUWA")</f>
        <v>EIEEIFM IMPOHYTUWA</v>
      </c>
      <c r="O814" s="1"/>
      <c r="P814" s="1"/>
      <c r="Q814" s="1" t="s">
        <v>822</v>
      </c>
    </row>
    <row r="815" spans="1:17" x14ac:dyDescent="0.25">
      <c r="A815" s="2" t="str">
        <f ca="1">IFERROR(__xludf.DUMMYFUNCTION("""COMPUTED_VALUE"""),"REG DE INTEGRA DO CARAJAS")</f>
        <v>REG DE INTEGRA DO CARAJAS</v>
      </c>
      <c r="B815" s="1" t="str">
        <f ca="1">IFERROR(__xludf.DUMMYFUNCTION("""COMPUTED_VALUE"""),"DRE MARABA")</f>
        <v>DRE MARABA</v>
      </c>
      <c r="C815" s="2" t="str">
        <f ca="1">IFERROR(__xludf.DUMMYFUNCTION("""COMPUTED_VALUE"""),"DRE - MARABA")</f>
        <v>DRE - MARABA</v>
      </c>
      <c r="D815" s="1"/>
      <c r="E815" s="2" t="str">
        <f ca="1">IFERROR(__xludf.DUMMYFUNCTION("""COMPUTED_VALUE"""),"DRE - MARABA")</f>
        <v>DRE - MARABA</v>
      </c>
      <c r="F815" s="1">
        <f ca="1">IFERROR(__xludf.DUMMYFUNCTION("""COMPUTED_VALUE"""),3)</f>
        <v>3</v>
      </c>
      <c r="G815" s="1" t="str">
        <f ca="1">IFERROR(__xludf.DUMMYFUNCTION("""COMPUTED_VALUE"""),"DRE MARABA")</f>
        <v>DRE MARABA</v>
      </c>
      <c r="H815" s="1" t="str">
        <f ca="1">IFERROR(__xludf.DUMMYFUNCTION("""COMPUTED_VALUE"""),"04A URE - MARABA")</f>
        <v>04A URE - MARABA</v>
      </c>
      <c r="I815" s="1"/>
      <c r="J815" s="1" t="str">
        <f ca="1">IFERROR(__xludf.DUMMYFUNCTION("""COMPUTED_VALUE"""),"BOM JESUS DO TOCANTINS")</f>
        <v>BOM JESUS DO TOCANTINS</v>
      </c>
      <c r="K815" s="1">
        <f ca="1">IFERROR(__xludf.DUMMYFUNCTION("""COMPUTED_VALUE"""),15172708)</f>
        <v>15172708</v>
      </c>
      <c r="L815" s="2" t="str">
        <f ca="1">IFERROR(__xludf.DUMMYFUNCTION("""COMPUTED_VALUE"""),"001920944000000")</f>
        <v>001920944000000</v>
      </c>
      <c r="M815" s="2" t="str">
        <f ca="1">IFERROR(__xludf.DUMMYFUNCTION("""COMPUTED_VALUE"""),"1920944000000")</f>
        <v>1920944000000</v>
      </c>
      <c r="N815" s="1" t="str">
        <f ca="1">IFERROR(__xludf.DUMMYFUNCTION("""COMPUTED_VALUE"""),"EIEEIFM JUKAPI KRIJOHERE")</f>
        <v>EIEEIFM JUKAPI KRIJOHERE</v>
      </c>
      <c r="O815" s="1"/>
      <c r="P815" s="1"/>
      <c r="Q815" s="1" t="s">
        <v>822</v>
      </c>
    </row>
    <row r="816" spans="1:17" x14ac:dyDescent="0.25">
      <c r="A816" s="2" t="str">
        <f ca="1">IFERROR(__xludf.DUMMYFUNCTION("""COMPUTED_VALUE"""),"REG DE INTEGRA DO CARAJAS")</f>
        <v>REG DE INTEGRA DO CARAJAS</v>
      </c>
      <c r="B816" s="1" t="str">
        <f ca="1">IFERROR(__xludf.DUMMYFUNCTION("""COMPUTED_VALUE"""),"DRE MARABA")</f>
        <v>DRE MARABA</v>
      </c>
      <c r="C816" s="2" t="str">
        <f ca="1">IFERROR(__xludf.DUMMYFUNCTION("""COMPUTED_VALUE"""),"DRE - MARABA")</f>
        <v>DRE - MARABA</v>
      </c>
      <c r="D816" s="1"/>
      <c r="E816" s="2" t="str">
        <f ca="1">IFERROR(__xludf.DUMMYFUNCTION("""COMPUTED_VALUE"""),"DRE - MARABA")</f>
        <v>DRE - MARABA</v>
      </c>
      <c r="F816" s="1">
        <f ca="1">IFERROR(__xludf.DUMMYFUNCTION("""COMPUTED_VALUE"""),3)</f>
        <v>3</v>
      </c>
      <c r="G816" s="1" t="str">
        <f ca="1">IFERROR(__xludf.DUMMYFUNCTION("""COMPUTED_VALUE"""),"DRE MARABA")</f>
        <v>DRE MARABA</v>
      </c>
      <c r="H816" s="1" t="str">
        <f ca="1">IFERROR(__xludf.DUMMYFUNCTION("""COMPUTED_VALUE"""),"04A URE - MARABA")</f>
        <v>04A URE - MARABA</v>
      </c>
      <c r="I816" s="1"/>
      <c r="J816" s="1" t="str">
        <f ca="1">IFERROR(__xludf.DUMMYFUNCTION("""COMPUTED_VALUE"""),"BOM JESUS DO TOCANTINS")</f>
        <v>BOM JESUS DO TOCANTINS</v>
      </c>
      <c r="K816" s="1">
        <f ca="1">IFERROR(__xludf.DUMMYFUNCTION("""COMPUTED_VALUE"""),15171957)</f>
        <v>15171957</v>
      </c>
      <c r="L816" s="2" t="str">
        <f ca="1">IFERROR(__xludf.DUMMYFUNCTION("""COMPUTED_VALUE"""),"001920941000000")</f>
        <v>001920941000000</v>
      </c>
      <c r="M816" s="2" t="str">
        <f ca="1">IFERROR(__xludf.DUMMYFUNCTION("""COMPUTED_VALUE"""),"1920941000000")</f>
        <v>1920941000000</v>
      </c>
      <c r="N816" s="1" t="str">
        <f ca="1">IFERROR(__xludf.DUMMYFUNCTION("""COMPUTED_VALUE"""),"EIEEIFM KUXWARE KRIAMRENTIJE")</f>
        <v>EIEEIFM KUXWARE KRIAMRENTIJE</v>
      </c>
      <c r="O816" s="1"/>
      <c r="P816" s="1"/>
      <c r="Q816" s="1" t="s">
        <v>822</v>
      </c>
    </row>
    <row r="817" spans="1:17" x14ac:dyDescent="0.25">
      <c r="A817" s="2" t="str">
        <f ca="1">IFERROR(__xludf.DUMMYFUNCTION("""COMPUTED_VALUE"""),"REG DE INTEGRA DO CARAJAS")</f>
        <v>REG DE INTEGRA DO CARAJAS</v>
      </c>
      <c r="B817" s="1" t="str">
        <f ca="1">IFERROR(__xludf.DUMMYFUNCTION("""COMPUTED_VALUE"""),"DRE MARABA")</f>
        <v>DRE MARABA</v>
      </c>
      <c r="C817" s="2" t="str">
        <f ca="1">IFERROR(__xludf.DUMMYFUNCTION("""COMPUTED_VALUE"""),"DRE - MARABA")</f>
        <v>DRE - MARABA</v>
      </c>
      <c r="D817" s="1"/>
      <c r="E817" s="2" t="str">
        <f ca="1">IFERROR(__xludf.DUMMYFUNCTION("""COMPUTED_VALUE"""),"DRE - MARABA")</f>
        <v>DRE - MARABA</v>
      </c>
      <c r="F817" s="1">
        <f ca="1">IFERROR(__xludf.DUMMYFUNCTION("""COMPUTED_VALUE"""),3)</f>
        <v>3</v>
      </c>
      <c r="G817" s="1" t="str">
        <f ca="1">IFERROR(__xludf.DUMMYFUNCTION("""COMPUTED_VALUE"""),"DRE MARABA")</f>
        <v>DRE MARABA</v>
      </c>
      <c r="H817" s="1" t="str">
        <f ca="1">IFERROR(__xludf.DUMMYFUNCTION("""COMPUTED_VALUE"""),"04A URE - MARABA")</f>
        <v>04A URE - MARABA</v>
      </c>
      <c r="I817" s="1"/>
      <c r="J817" s="1" t="str">
        <f ca="1">IFERROR(__xludf.DUMMYFUNCTION("""COMPUTED_VALUE"""),"BOM JESUS DO TOCANTINS")</f>
        <v>BOM JESUS DO TOCANTINS</v>
      </c>
      <c r="K817" s="1">
        <f ca="1">IFERROR(__xludf.DUMMYFUNCTION("""COMPUTED_VALUE"""),15171965)</f>
        <v>15171965</v>
      </c>
      <c r="L817" s="2" t="str">
        <f ca="1">IFERROR(__xludf.DUMMYFUNCTION("""COMPUTED_VALUE"""),"001920940000000")</f>
        <v>001920940000000</v>
      </c>
      <c r="M817" s="2" t="str">
        <f ca="1">IFERROR(__xludf.DUMMYFUNCTION("""COMPUTED_VALUE"""),"1920940000000")</f>
        <v>1920940000000</v>
      </c>
      <c r="N817" s="1" t="str">
        <f ca="1">IFERROR(__xludf.DUMMYFUNCTION("""COMPUTED_VALUE"""),"EIEEIFM TOKURYKTI")</f>
        <v>EIEEIFM TOKURYKTI</v>
      </c>
      <c r="O817" s="1"/>
      <c r="P817" s="1"/>
      <c r="Q817" s="1" t="s">
        <v>822</v>
      </c>
    </row>
    <row r="818" spans="1:17" x14ac:dyDescent="0.25">
      <c r="A818" s="2" t="str">
        <f ca="1">IFERROR(__xludf.DUMMYFUNCTION("""COMPUTED_VALUE"""),"REG DE INTEGRA DO CARAJAS")</f>
        <v>REG DE INTEGRA DO CARAJAS</v>
      </c>
      <c r="B818" s="1" t="str">
        <f ca="1">IFERROR(__xludf.DUMMYFUNCTION("""COMPUTED_VALUE"""),"DRE MARABA")</f>
        <v>DRE MARABA</v>
      </c>
      <c r="C818" s="2" t="str">
        <f ca="1">IFERROR(__xludf.DUMMYFUNCTION("""COMPUTED_VALUE"""),"DRE - MARABA")</f>
        <v>DRE - MARABA</v>
      </c>
      <c r="D818" s="1"/>
      <c r="E818" s="2" t="str">
        <f ca="1">IFERROR(__xludf.DUMMYFUNCTION("""COMPUTED_VALUE"""),"DRE - MARABA")</f>
        <v>DRE - MARABA</v>
      </c>
      <c r="F818" s="1">
        <f ca="1">IFERROR(__xludf.DUMMYFUNCTION("""COMPUTED_VALUE"""),3)</f>
        <v>3</v>
      </c>
      <c r="G818" s="1"/>
      <c r="H818" s="1" t="str">
        <f ca="1">IFERROR(__xludf.DUMMYFUNCTION("""COMPUTED_VALUE"""),"04A URE - MARABA")</f>
        <v>04A URE - MARABA</v>
      </c>
      <c r="I818" s="1"/>
      <c r="J818" s="1" t="str">
        <f ca="1">IFERROR(__xludf.DUMMYFUNCTION("""COMPUTED_VALUE"""),"BOM JESUS DO TOCANTINS")</f>
        <v>BOM JESUS DO TOCANTINS</v>
      </c>
      <c r="K818" s="1"/>
      <c r="L818" s="2" t="str">
        <f ca="1">IFERROR(__xludf.DUMMYFUNCTION("""COMPUTED_VALUE"""),"001920959000000")</f>
        <v>001920959000000</v>
      </c>
      <c r="M818" s="2" t="str">
        <f ca="1">IFERROR(__xludf.DUMMYFUNCTION("""COMPUTED_VALUE"""),"1920959000000")</f>
        <v>1920959000000</v>
      </c>
      <c r="N818" s="1" t="str">
        <f ca="1">IFERROR(__xludf.DUMMYFUNCTION("""COMPUTED_VALUE"""),"ESC IND EST ENS INF FUND MED KRUAPUTITIRE")</f>
        <v>ESC IND EST ENS INF FUND MED KRUAPUTITIRE</v>
      </c>
      <c r="O818" s="1"/>
      <c r="P818" s="1"/>
      <c r="Q818" s="1" t="s">
        <v>822</v>
      </c>
    </row>
    <row r="819" spans="1:17" x14ac:dyDescent="0.25">
      <c r="A819" s="2" t="str">
        <f ca="1">IFERROR(__xludf.DUMMYFUNCTION("""COMPUTED_VALUE"""),"REG DE INTEGRA DO CARAJAS")</f>
        <v>REG DE INTEGRA DO CARAJAS</v>
      </c>
      <c r="B819" s="1" t="str">
        <f ca="1">IFERROR(__xludf.DUMMYFUNCTION("""COMPUTED_VALUE"""),"DRE MARABA")</f>
        <v>DRE MARABA</v>
      </c>
      <c r="C819" s="2" t="str">
        <f ca="1">IFERROR(__xludf.DUMMYFUNCTION("""COMPUTED_VALUE"""),"DRE - MARABA")</f>
        <v>DRE - MARABA</v>
      </c>
      <c r="D819" s="1"/>
      <c r="E819" s="2" t="str">
        <f ca="1">IFERROR(__xludf.DUMMYFUNCTION("""COMPUTED_VALUE"""),"DRE - MARABA")</f>
        <v>DRE - MARABA</v>
      </c>
      <c r="F819" s="1">
        <f ca="1">IFERROR(__xludf.DUMMYFUNCTION("""COMPUTED_VALUE"""),3)</f>
        <v>3</v>
      </c>
      <c r="G819" s="1"/>
      <c r="H819" s="1" t="str">
        <f ca="1">IFERROR(__xludf.DUMMYFUNCTION("""COMPUTED_VALUE"""),"04A URE - MARABA")</f>
        <v>04A URE - MARABA</v>
      </c>
      <c r="I819" s="1"/>
      <c r="J819" s="1" t="str">
        <f ca="1">IFERROR(__xludf.DUMMYFUNCTION("""COMPUTED_VALUE"""),"BOM JESUS DO TOCANTINS")</f>
        <v>BOM JESUS DO TOCANTINS</v>
      </c>
      <c r="K819" s="1"/>
      <c r="L819" s="2" t="str">
        <f ca="1">IFERROR(__xludf.DUMMYFUNCTION("""COMPUTED_VALUE"""),"001920957000000")</f>
        <v>001920957000000</v>
      </c>
      <c r="M819" s="2" t="str">
        <f ca="1">IFERROR(__xludf.DUMMYFUNCTION("""COMPUTED_VALUE"""),"1920957000000")</f>
        <v>1920957000000</v>
      </c>
      <c r="N819" s="1" t="str">
        <f ca="1">IFERROR(__xludf.DUMMYFUNCTION("""COMPUTED_VALUE"""),"ESC IND EST ENS INF FUND MED KWYNTYNKRE KYIKATEJE")</f>
        <v>ESC IND EST ENS INF FUND MED KWYNTYNKRE KYIKATEJE</v>
      </c>
      <c r="O819" s="1"/>
      <c r="P819" s="1"/>
      <c r="Q819" s="1" t="s">
        <v>822</v>
      </c>
    </row>
    <row r="820" spans="1:17" x14ac:dyDescent="0.25">
      <c r="A820" s="2" t="str">
        <f ca="1">IFERROR(__xludf.DUMMYFUNCTION("""COMPUTED_VALUE"""),"REG DE INTEGRA DO CARAJAS")</f>
        <v>REG DE INTEGRA DO CARAJAS</v>
      </c>
      <c r="B820" s="1" t="str">
        <f ca="1">IFERROR(__xludf.DUMMYFUNCTION("""COMPUTED_VALUE"""),"DRE MARABA")</f>
        <v>DRE MARABA</v>
      </c>
      <c r="C820" s="2" t="str">
        <f ca="1">IFERROR(__xludf.DUMMYFUNCTION("""COMPUTED_VALUE"""),"DRE - MARABA")</f>
        <v>DRE - MARABA</v>
      </c>
      <c r="D820" s="1"/>
      <c r="E820" s="2" t="str">
        <f ca="1">IFERROR(__xludf.DUMMYFUNCTION("""COMPUTED_VALUE"""),"DRE - MARABA")</f>
        <v>DRE - MARABA</v>
      </c>
      <c r="F820" s="1">
        <f ca="1">IFERROR(__xludf.DUMMYFUNCTION("""COMPUTED_VALUE"""),3)</f>
        <v>3</v>
      </c>
      <c r="G820" s="1"/>
      <c r="H820" s="1" t="str">
        <f ca="1">IFERROR(__xludf.DUMMYFUNCTION("""COMPUTED_VALUE"""),"04A URE - MARABA")</f>
        <v>04A URE - MARABA</v>
      </c>
      <c r="I820" s="1"/>
      <c r="J820" s="1" t="str">
        <f ca="1">IFERROR(__xludf.DUMMYFUNCTION("""COMPUTED_VALUE"""),"BOM JESUS DO TOCANTINS")</f>
        <v>BOM JESUS DO TOCANTINS</v>
      </c>
      <c r="K820" s="1"/>
      <c r="L820" s="2" t="str">
        <f ca="1">IFERROR(__xludf.DUMMYFUNCTION("""COMPUTED_VALUE"""),"001921061000000")</f>
        <v>001921061000000</v>
      </c>
      <c r="M820" s="2" t="str">
        <f ca="1">IFERROR(__xludf.DUMMYFUNCTION("""COMPUTED_VALUE"""),"1921061000000")</f>
        <v>1921061000000</v>
      </c>
      <c r="N820" s="1" t="str">
        <f ca="1">IFERROR(__xludf.DUMMYFUNCTION("""COMPUTED_VALUE"""),"ESCOLA ESTADUAL INDIGENA JATHIATI PARKATEJE")</f>
        <v>ESCOLA ESTADUAL INDIGENA JATHIATI PARKATEJE</v>
      </c>
      <c r="O820" s="1"/>
      <c r="P820" s="1"/>
      <c r="Q820" s="1" t="s">
        <v>822</v>
      </c>
    </row>
    <row r="821" spans="1:17" x14ac:dyDescent="0.25">
      <c r="A821" s="2" t="str">
        <f ca="1">IFERROR(__xludf.DUMMYFUNCTION("""COMPUTED_VALUE"""),"REG DE INTEGRA DO CARAJAS")</f>
        <v>REG DE INTEGRA DO CARAJAS</v>
      </c>
      <c r="B821" s="1" t="str">
        <f ca="1">IFERROR(__xludf.DUMMYFUNCTION("""COMPUTED_VALUE"""),"DRE MARABA")</f>
        <v>DRE MARABA</v>
      </c>
      <c r="C821" s="2" t="str">
        <f ca="1">IFERROR(__xludf.DUMMYFUNCTION("""COMPUTED_VALUE"""),"DRE - MARABA")</f>
        <v>DRE - MARABA</v>
      </c>
      <c r="D821" s="1"/>
      <c r="E821" s="2" t="str">
        <f ca="1">IFERROR(__xludf.DUMMYFUNCTION("""COMPUTED_VALUE"""),"DRE - MARABA")</f>
        <v>DRE - MARABA</v>
      </c>
      <c r="F821" s="1">
        <f ca="1">IFERROR(__xludf.DUMMYFUNCTION("""COMPUTED_VALUE"""),3)</f>
        <v>3</v>
      </c>
      <c r="G821" s="1"/>
      <c r="H821" s="1" t="str">
        <f ca="1">IFERROR(__xludf.DUMMYFUNCTION("""COMPUTED_VALUE"""),"04A URE - MARABA")</f>
        <v>04A URE - MARABA</v>
      </c>
      <c r="I821" s="1"/>
      <c r="J821" s="1" t="str">
        <f ca="1">IFERROR(__xludf.DUMMYFUNCTION("""COMPUTED_VALUE"""),"BOM JESUS DO TOCANTINS")</f>
        <v>BOM JESUS DO TOCANTINS</v>
      </c>
      <c r="K821" s="1"/>
      <c r="L821" s="2" t="str">
        <f ca="1">IFERROR(__xludf.DUMMYFUNCTION("""COMPUTED_VALUE"""),"001921063000000")</f>
        <v>001921063000000</v>
      </c>
      <c r="M821" s="2" t="str">
        <f ca="1">IFERROR(__xludf.DUMMYFUNCTION("""COMPUTED_VALUE"""),"1921063000000")</f>
        <v>1921063000000</v>
      </c>
      <c r="N821" s="1" t="str">
        <f ca="1">IFERROR(__xludf.DUMMYFUNCTION("""COMPUTED_VALUE"""),"ESCOLA ESTADUAL INDIGENA AKRATI ME HAKRE")</f>
        <v>ESCOLA ESTADUAL INDIGENA AKRATI ME HAKRE</v>
      </c>
      <c r="O821" s="1"/>
      <c r="P821" s="1"/>
      <c r="Q821" s="1" t="s">
        <v>822</v>
      </c>
    </row>
    <row r="822" spans="1:17" x14ac:dyDescent="0.25">
      <c r="A822" s="2" t="str">
        <f ca="1">IFERROR(__xludf.DUMMYFUNCTION("""COMPUTED_VALUE"""),"REG DE INTEGRA DO CARAJAS")</f>
        <v>REG DE INTEGRA DO CARAJAS</v>
      </c>
      <c r="B822" s="1" t="str">
        <f ca="1">IFERROR(__xludf.DUMMYFUNCTION("""COMPUTED_VALUE"""),"DRE MARABA")</f>
        <v>DRE MARABA</v>
      </c>
      <c r="C822" s="2" t="str">
        <f ca="1">IFERROR(__xludf.DUMMYFUNCTION("""COMPUTED_VALUE"""),"DRE - MARABA")</f>
        <v>DRE - MARABA</v>
      </c>
      <c r="D822" s="1"/>
      <c r="E822" s="2" t="str">
        <f ca="1">IFERROR(__xludf.DUMMYFUNCTION("""COMPUTED_VALUE"""),"DRE - MARABA")</f>
        <v>DRE - MARABA</v>
      </c>
      <c r="F822" s="1">
        <f ca="1">IFERROR(__xludf.DUMMYFUNCTION("""COMPUTED_VALUE"""),3)</f>
        <v>3</v>
      </c>
      <c r="G822" s="1"/>
      <c r="H822" s="1" t="str">
        <f ca="1">IFERROR(__xludf.DUMMYFUNCTION("""COMPUTED_VALUE"""),"04A URE - MARABA")</f>
        <v>04A URE - MARABA</v>
      </c>
      <c r="I822" s="1"/>
      <c r="J822" s="1" t="str">
        <f ca="1">IFERROR(__xludf.DUMMYFUNCTION("""COMPUTED_VALUE"""),"BOM JESUS DO TOCANTINS")</f>
        <v>BOM JESUS DO TOCANTINS</v>
      </c>
      <c r="K822" s="1"/>
      <c r="L822" s="2" t="str">
        <f ca="1">IFERROR(__xludf.DUMMYFUNCTION("""COMPUTED_VALUE"""),"001921064000000")</f>
        <v>001921064000000</v>
      </c>
      <c r="M822" s="2" t="str">
        <f ca="1">IFERROR(__xludf.DUMMYFUNCTION("""COMPUTED_VALUE"""),"1921064000000")</f>
        <v>1921064000000</v>
      </c>
      <c r="N822" s="1" t="str">
        <f ca="1">IFERROR(__xludf.DUMMYFUNCTION("""COMPUTED_VALUE"""),"ESCOLA ESTADUAL INDIGENA ROKOKATEJE")</f>
        <v>ESCOLA ESTADUAL INDIGENA ROKOKATEJE</v>
      </c>
      <c r="O822" s="1"/>
      <c r="P822" s="1"/>
      <c r="Q822" s="1" t="s">
        <v>822</v>
      </c>
    </row>
    <row r="823" spans="1:17" x14ac:dyDescent="0.25">
      <c r="A823" s="2" t="str">
        <f ca="1">IFERROR(__xludf.DUMMYFUNCTION("""COMPUTED_VALUE"""),"REG DE INTEGRA DO CARAJAS")</f>
        <v>REG DE INTEGRA DO CARAJAS</v>
      </c>
      <c r="B823" s="1" t="str">
        <f ca="1">IFERROR(__xludf.DUMMYFUNCTION("""COMPUTED_VALUE"""),"DRE MARABA")</f>
        <v>DRE MARABA</v>
      </c>
      <c r="C823" s="2" t="str">
        <f ca="1">IFERROR(__xludf.DUMMYFUNCTION("""COMPUTED_VALUE"""),"DRE - MARABA")</f>
        <v>DRE - MARABA</v>
      </c>
      <c r="D823" s="1"/>
      <c r="E823" s="2" t="str">
        <f ca="1">IFERROR(__xludf.DUMMYFUNCTION("""COMPUTED_VALUE"""),"DRE - MARABA")</f>
        <v>DRE - MARABA</v>
      </c>
      <c r="F823" s="1">
        <f ca="1">IFERROR(__xludf.DUMMYFUNCTION("""COMPUTED_VALUE"""),3)</f>
        <v>3</v>
      </c>
      <c r="G823" s="1"/>
      <c r="H823" s="1" t="str">
        <f ca="1">IFERROR(__xludf.DUMMYFUNCTION("""COMPUTED_VALUE"""),"04A URE - MARABA")</f>
        <v>04A URE - MARABA</v>
      </c>
      <c r="I823" s="1"/>
      <c r="J823" s="1" t="str">
        <f ca="1">IFERROR(__xludf.DUMMYFUNCTION("""COMPUTED_VALUE"""),"BREJO GRANDE DO ARAGUAIA")</f>
        <v>BREJO GRANDE DO ARAGUAIA</v>
      </c>
      <c r="K823" s="1">
        <f ca="1">IFERROR(__xludf.DUMMYFUNCTION("""COMPUTED_VALUE"""),15177513)</f>
        <v>15177513</v>
      </c>
      <c r="L823" s="2" t="str">
        <f ca="1">IFERROR(__xludf.DUMMYFUNCTION("""COMPUTED_VALUE"""),"001920936680001")</f>
        <v>001920936680001</v>
      </c>
      <c r="M823" s="2" t="str">
        <f ca="1">IFERROR(__xludf.DUMMYFUNCTION("""COMPUTED_VALUE"""),"1920936680001")</f>
        <v>1920936680001</v>
      </c>
      <c r="N823" s="1" t="str">
        <f ca="1">IFERROR(__xludf.DUMMYFUNCTION("""COMPUTED_VALUE"""),"ANEXO RURAL  PROF LICIO SOLHEIRO")</f>
        <v>ANEXO RURAL  PROF LICIO SOLHEIRO</v>
      </c>
      <c r="O823" s="1"/>
      <c r="P823" s="1"/>
      <c r="Q823" s="1" t="s">
        <v>822</v>
      </c>
    </row>
    <row r="824" spans="1:17" x14ac:dyDescent="0.25">
      <c r="A824" s="2" t="str">
        <f ca="1">IFERROR(__xludf.DUMMYFUNCTION("""COMPUTED_VALUE"""),"REG DE INTEGRA DO CARAJAS")</f>
        <v>REG DE INTEGRA DO CARAJAS</v>
      </c>
      <c r="B824" s="1" t="str">
        <f ca="1">IFERROR(__xludf.DUMMYFUNCTION("""COMPUTED_VALUE"""),"DRE MARABA")</f>
        <v>DRE MARABA</v>
      </c>
      <c r="C824" s="2" t="str">
        <f ca="1">IFERROR(__xludf.DUMMYFUNCTION("""COMPUTED_VALUE"""),"DRE - MARABA")</f>
        <v>DRE - MARABA</v>
      </c>
      <c r="D824" s="1"/>
      <c r="E824" s="2" t="str">
        <f ca="1">IFERROR(__xludf.DUMMYFUNCTION("""COMPUTED_VALUE"""),"DRE - MARABA")</f>
        <v>DRE - MARABA</v>
      </c>
      <c r="F824" s="1">
        <f ca="1">IFERROR(__xludf.DUMMYFUNCTION("""COMPUTED_VALUE"""),3)</f>
        <v>3</v>
      </c>
      <c r="G824" s="1" t="str">
        <f ca="1">IFERROR(__xludf.DUMMYFUNCTION("""COMPUTED_VALUE"""),"DRE MARABA")</f>
        <v>DRE MARABA</v>
      </c>
      <c r="H824" s="1" t="str">
        <f ca="1">IFERROR(__xludf.DUMMYFUNCTION("""COMPUTED_VALUE"""),"04A URE - MARABA")</f>
        <v>04A URE - MARABA</v>
      </c>
      <c r="I824" s="1"/>
      <c r="J824" s="1" t="str">
        <f ca="1">IFERROR(__xludf.DUMMYFUNCTION("""COMPUTED_VALUE"""),"BREJO GRANDE DO ARAGUAIA")</f>
        <v>BREJO GRANDE DO ARAGUAIA</v>
      </c>
      <c r="K824" s="1">
        <f ca="1">IFERROR(__xludf.DUMMYFUNCTION("""COMPUTED_VALUE"""),15126714)</f>
        <v>15126714</v>
      </c>
      <c r="L824" s="2" t="str">
        <f ca="1">IFERROR(__xludf.DUMMYFUNCTION("""COMPUTED_VALUE"""),"001920936680000")</f>
        <v>001920936680000</v>
      </c>
      <c r="M824" s="2" t="str">
        <f ca="1">IFERROR(__xludf.DUMMYFUNCTION("""COMPUTED_VALUE"""),"1920936680000")</f>
        <v>1920936680000</v>
      </c>
      <c r="N824" s="1" t="str">
        <f ca="1">IFERROR(__xludf.DUMMYFUNCTION("""COMPUTED_VALUE"""),"EEEM PROF LICIO SOLHEIRO")</f>
        <v>EEEM PROF LICIO SOLHEIRO</v>
      </c>
      <c r="O824" s="1"/>
      <c r="P824" s="1"/>
      <c r="Q824" s="1" t="s">
        <v>822</v>
      </c>
    </row>
    <row r="825" spans="1:17" x14ac:dyDescent="0.25">
      <c r="A825" s="2" t="str">
        <f ca="1">IFERROR(__xludf.DUMMYFUNCTION("""COMPUTED_VALUE"""),"REG DE INTEGRA DO CARAJAS")</f>
        <v>REG DE INTEGRA DO CARAJAS</v>
      </c>
      <c r="B825" s="1" t="str">
        <f ca="1">IFERROR(__xludf.DUMMYFUNCTION("""COMPUTED_VALUE"""),"DRE MARABA")</f>
        <v>DRE MARABA</v>
      </c>
      <c r="C825" s="2" t="str">
        <f ca="1">IFERROR(__xludf.DUMMYFUNCTION("""COMPUTED_VALUE"""),"DRE - MARABA")</f>
        <v>DRE - MARABA</v>
      </c>
      <c r="D825" s="1"/>
      <c r="E825" s="2" t="str">
        <f ca="1">IFERROR(__xludf.DUMMYFUNCTION("""COMPUTED_VALUE"""),"DRE - MARABA")</f>
        <v>DRE - MARABA</v>
      </c>
      <c r="F825" s="1">
        <f ca="1">IFERROR(__xludf.DUMMYFUNCTION("""COMPUTED_VALUE"""),3)</f>
        <v>3</v>
      </c>
      <c r="G825" s="1"/>
      <c r="H825" s="1" t="str">
        <f ca="1">IFERROR(__xludf.DUMMYFUNCTION("""COMPUTED_VALUE"""),"04A URE - MARABA")</f>
        <v>04A URE - MARABA</v>
      </c>
      <c r="I825" s="1"/>
      <c r="J825" s="1" t="str">
        <f ca="1">IFERROR(__xludf.DUMMYFUNCTION("""COMPUTED_VALUE"""),"BREJO GRANDE DO ARAGUAIA")</f>
        <v>BREJO GRANDE DO ARAGUAIA</v>
      </c>
      <c r="K825" s="1"/>
      <c r="L825" s="2" t="str">
        <f ca="1">IFERROR(__xludf.DUMMYFUNCTION("""COMPUTED_VALUE"""),"001920974000000")</f>
        <v>001920974000000</v>
      </c>
      <c r="M825" s="2" t="str">
        <f ca="1">IFERROR(__xludf.DUMMYFUNCTION("""COMPUTED_VALUE"""),"1920974000000")</f>
        <v>1920974000000</v>
      </c>
      <c r="N825" s="1" t="str">
        <f ca="1">IFERROR(__xludf.DUMMYFUNCTION("""COMPUTED_VALUE"""),"ESCOLA ESTADUAL RURAL DE BREJO GRANDE DO ARAGUAIA")</f>
        <v>ESCOLA ESTADUAL RURAL DE BREJO GRANDE DO ARAGUAIA</v>
      </c>
      <c r="O825" s="1"/>
      <c r="P825" s="1"/>
      <c r="Q825" s="1" t="s">
        <v>822</v>
      </c>
    </row>
    <row r="826" spans="1:17" x14ac:dyDescent="0.25">
      <c r="A826" s="2" t="str">
        <f ca="1">IFERROR(__xludf.DUMMYFUNCTION("""COMPUTED_VALUE"""),"REG DE INT DO LAGO DE TUCURUI")</f>
        <v>REG DE INT DO LAGO DE TUCURUI</v>
      </c>
      <c r="B826" s="1" t="str">
        <f ca="1">IFERROR(__xludf.DUMMYFUNCTION("""COMPUTED_VALUE"""),"DRE MARABA")</f>
        <v>DRE MARABA</v>
      </c>
      <c r="C826" s="2" t="str">
        <f ca="1">IFERROR(__xludf.DUMMYFUNCTION("""COMPUTED_VALUE"""),"DRE - MARABA")</f>
        <v>DRE - MARABA</v>
      </c>
      <c r="D826" s="1"/>
      <c r="E826" s="2" t="str">
        <f ca="1">IFERROR(__xludf.DUMMYFUNCTION("""COMPUTED_VALUE"""),"DRE - MARABA")</f>
        <v>DRE - MARABA</v>
      </c>
      <c r="F826" s="1">
        <f ca="1">IFERROR(__xludf.DUMMYFUNCTION("""COMPUTED_VALUE"""),3)</f>
        <v>3</v>
      </c>
      <c r="G826" s="1"/>
      <c r="H826" s="1" t="str">
        <f ca="1">IFERROR(__xludf.DUMMYFUNCTION("""COMPUTED_VALUE"""),"04A URE - MARABA")</f>
        <v>04A URE - MARABA</v>
      </c>
      <c r="I826" s="1"/>
      <c r="J826" s="1" t="str">
        <f ca="1">IFERROR(__xludf.DUMMYFUNCTION("""COMPUTED_VALUE"""),"ITUPIRANGA")</f>
        <v>ITUPIRANGA</v>
      </c>
      <c r="K826" s="1">
        <f ca="1">IFERROR(__xludf.DUMMYFUNCTION("""COMPUTED_VALUE"""),15177742)</f>
        <v>15177742</v>
      </c>
      <c r="L826" s="2" t="str">
        <f ca="1">IFERROR(__xludf.DUMMYFUNCTION("""COMPUTED_VALUE"""),"001920937160001")</f>
        <v>001920937160001</v>
      </c>
      <c r="M826" s="2" t="str">
        <f ca="1">IFERROR(__xludf.DUMMYFUNCTION("""COMPUTED_VALUE"""),"1920937160001")</f>
        <v>1920937160001</v>
      </c>
      <c r="N826" s="1" t="str">
        <f ca="1">IFERROR(__xludf.DUMMYFUNCTION("""COMPUTED_VALUE"""),"ANEXO RURAL LIBERALINA CARVALHO DE ARAGAO")</f>
        <v>ANEXO RURAL LIBERALINA CARVALHO DE ARAGAO</v>
      </c>
      <c r="O826" s="1"/>
      <c r="P826" s="1"/>
      <c r="Q826" s="1" t="s">
        <v>822</v>
      </c>
    </row>
    <row r="827" spans="1:17" x14ac:dyDescent="0.25">
      <c r="A827" s="2" t="str">
        <f ca="1">IFERROR(__xludf.DUMMYFUNCTION("""COMPUTED_VALUE"""),"REG DE INT DO LAGO DE TUCURUI")</f>
        <v>REG DE INT DO LAGO DE TUCURUI</v>
      </c>
      <c r="B827" s="1" t="str">
        <f ca="1">IFERROR(__xludf.DUMMYFUNCTION("""COMPUTED_VALUE"""),"DRE MARABA")</f>
        <v>DRE MARABA</v>
      </c>
      <c r="C827" s="2" t="str">
        <f ca="1">IFERROR(__xludf.DUMMYFUNCTION("""COMPUTED_VALUE"""),"DRE - MARABA")</f>
        <v>DRE - MARABA</v>
      </c>
      <c r="D827" s="1"/>
      <c r="E827" s="2" t="str">
        <f ca="1">IFERROR(__xludf.DUMMYFUNCTION("""COMPUTED_VALUE"""),"DRE - MARABA")</f>
        <v>DRE - MARABA</v>
      </c>
      <c r="F827" s="1">
        <f ca="1">IFERROR(__xludf.DUMMYFUNCTION("""COMPUTED_VALUE"""),3)</f>
        <v>3</v>
      </c>
      <c r="G827" s="1" t="str">
        <f ca="1">IFERROR(__xludf.DUMMYFUNCTION("""COMPUTED_VALUE"""),"DRE MARABA")</f>
        <v>DRE MARABA</v>
      </c>
      <c r="H827" s="1" t="str">
        <f ca="1">IFERROR(__xludf.DUMMYFUNCTION("""COMPUTED_VALUE"""),"04A URE - MARABA")</f>
        <v>04A URE - MARABA</v>
      </c>
      <c r="I827" s="1"/>
      <c r="J827" s="1" t="str">
        <f ca="1">IFERROR(__xludf.DUMMYFUNCTION("""COMPUTED_VALUE"""),"ITUPIRANGA")</f>
        <v>ITUPIRANGA</v>
      </c>
      <c r="K827" s="1">
        <f ca="1">IFERROR(__xludf.DUMMYFUNCTION("""COMPUTED_VALUE"""),15111822)</f>
        <v>15111822</v>
      </c>
      <c r="L827" s="2" t="str">
        <f ca="1">IFERROR(__xludf.DUMMYFUNCTION("""COMPUTED_VALUE"""),"001920913070000")</f>
        <v>001920913070000</v>
      </c>
      <c r="M827" s="2" t="str">
        <f ca="1">IFERROR(__xludf.DUMMYFUNCTION("""COMPUTED_VALUE"""),"1920913070000")</f>
        <v>1920913070000</v>
      </c>
      <c r="N827" s="1" t="str">
        <f ca="1">IFERROR(__xludf.DUMMYFUNCTION("""COMPUTED_VALUE"""),"EEEF BRASIL TROPICAL")</f>
        <v>EEEF BRASIL TROPICAL</v>
      </c>
      <c r="O827" s="1"/>
      <c r="P827" s="1"/>
      <c r="Q827" s="1" t="s">
        <v>822</v>
      </c>
    </row>
    <row r="828" spans="1:17" x14ac:dyDescent="0.25">
      <c r="A828" s="2" t="str">
        <f ca="1">IFERROR(__xludf.DUMMYFUNCTION("""COMPUTED_VALUE"""),"REG DE INT DO LAGO DE TUCURUI")</f>
        <v>REG DE INT DO LAGO DE TUCURUI</v>
      </c>
      <c r="B828" s="1" t="str">
        <f ca="1">IFERROR(__xludf.DUMMYFUNCTION("""COMPUTED_VALUE"""),"DRE MARABA")</f>
        <v>DRE MARABA</v>
      </c>
      <c r="C828" s="2" t="str">
        <f ca="1">IFERROR(__xludf.DUMMYFUNCTION("""COMPUTED_VALUE"""),"DRE - MARABA")</f>
        <v>DRE - MARABA</v>
      </c>
      <c r="D828" s="1"/>
      <c r="E828" s="2" t="str">
        <f ca="1">IFERROR(__xludf.DUMMYFUNCTION("""COMPUTED_VALUE"""),"DRE - MARABA")</f>
        <v>DRE - MARABA</v>
      </c>
      <c r="F828" s="1">
        <f ca="1">IFERROR(__xludf.DUMMYFUNCTION("""COMPUTED_VALUE"""),3)</f>
        <v>3</v>
      </c>
      <c r="G828" s="1" t="str">
        <f ca="1">IFERROR(__xludf.DUMMYFUNCTION("""COMPUTED_VALUE"""),"DRE MARABA")</f>
        <v>DRE MARABA</v>
      </c>
      <c r="H828" s="1" t="str">
        <f ca="1">IFERROR(__xludf.DUMMYFUNCTION("""COMPUTED_VALUE"""),"04A URE - MARABA")</f>
        <v>04A URE - MARABA</v>
      </c>
      <c r="I828" s="1"/>
      <c r="J828" s="1" t="str">
        <f ca="1">IFERROR(__xludf.DUMMYFUNCTION("""COMPUTED_VALUE"""),"ITUPIRANGA")</f>
        <v>ITUPIRANGA</v>
      </c>
      <c r="K828" s="1">
        <f ca="1">IFERROR(__xludf.DUMMYFUNCTION("""COMPUTED_VALUE"""),15111741)</f>
        <v>15111741</v>
      </c>
      <c r="L828" s="2" t="str">
        <f ca="1">IFERROR(__xludf.DUMMYFUNCTION("""COMPUTED_VALUE"""),"001920912930000")</f>
        <v>001920912930000</v>
      </c>
      <c r="M828" s="2" t="str">
        <f ca="1">IFERROR(__xludf.DUMMYFUNCTION("""COMPUTED_VALUE"""),"1920912930000")</f>
        <v>1920912930000</v>
      </c>
      <c r="N828" s="1" t="str">
        <f ca="1">IFERROR(__xludf.DUMMYFUNCTION("""COMPUTED_VALUE"""),"EEEFM ALBERTINA BARREIROS")</f>
        <v>EEEFM ALBERTINA BARREIROS</v>
      </c>
      <c r="O828" s="1"/>
      <c r="P828" s="1"/>
      <c r="Q828" s="1" t="s">
        <v>822</v>
      </c>
    </row>
    <row r="829" spans="1:17" x14ac:dyDescent="0.25">
      <c r="A829" s="2" t="str">
        <f ca="1">IFERROR(__xludf.DUMMYFUNCTION("""COMPUTED_VALUE"""),"REG DE INT DO LAGO DE TUCURUI")</f>
        <v>REG DE INT DO LAGO DE TUCURUI</v>
      </c>
      <c r="B829" s="1" t="str">
        <f ca="1">IFERROR(__xludf.DUMMYFUNCTION("""COMPUTED_VALUE"""),"DRE MARABA")</f>
        <v>DRE MARABA</v>
      </c>
      <c r="C829" s="2" t="str">
        <f ca="1">IFERROR(__xludf.DUMMYFUNCTION("""COMPUTED_VALUE"""),"DRE - MARABA")</f>
        <v>DRE - MARABA</v>
      </c>
      <c r="D829" s="1"/>
      <c r="E829" s="2" t="str">
        <f ca="1">IFERROR(__xludf.DUMMYFUNCTION("""COMPUTED_VALUE"""),"DRE - MARABA")</f>
        <v>DRE - MARABA</v>
      </c>
      <c r="F829" s="1">
        <f ca="1">IFERROR(__xludf.DUMMYFUNCTION("""COMPUTED_VALUE"""),3)</f>
        <v>3</v>
      </c>
      <c r="G829" s="1" t="str">
        <f ca="1">IFERROR(__xludf.DUMMYFUNCTION("""COMPUTED_VALUE"""),"DRE MARABA")</f>
        <v>DRE MARABA</v>
      </c>
      <c r="H829" s="1" t="str">
        <f ca="1">IFERROR(__xludf.DUMMYFUNCTION("""COMPUTED_VALUE"""),"04A URE - MARABA")</f>
        <v>04A URE - MARABA</v>
      </c>
      <c r="I829" s="1"/>
      <c r="J829" s="1" t="str">
        <f ca="1">IFERROR(__xludf.DUMMYFUNCTION("""COMPUTED_VALUE"""),"ITUPIRANGA")</f>
        <v>ITUPIRANGA</v>
      </c>
      <c r="K829" s="1">
        <f ca="1">IFERROR(__xludf.DUMMYFUNCTION("""COMPUTED_VALUE"""),15111938)</f>
        <v>15111938</v>
      </c>
      <c r="L829" s="2" t="str">
        <f ca="1">IFERROR(__xludf.DUMMYFUNCTION("""COMPUTED_VALUE"""),"001920926800000")</f>
        <v>001920926800000</v>
      </c>
      <c r="M829" s="2" t="str">
        <f ca="1">IFERROR(__xludf.DUMMYFUNCTION("""COMPUTED_VALUE"""),"1920926800000")</f>
        <v>1920926800000</v>
      </c>
      <c r="N829" s="1" t="str">
        <f ca="1">IFERROR(__xludf.DUMMYFUNCTION("""COMPUTED_VALUE"""),"EEEFM PROFA IZABEL MARACAIPE")</f>
        <v>EEEFM PROFA IZABEL MARACAIPE</v>
      </c>
      <c r="O829" s="1"/>
      <c r="P829" s="1"/>
      <c r="Q829" s="1" t="s">
        <v>822</v>
      </c>
    </row>
    <row r="830" spans="1:17" x14ac:dyDescent="0.25">
      <c r="A830" s="2" t="str">
        <f ca="1">IFERROR(__xludf.DUMMYFUNCTION("""COMPUTED_VALUE"""),"REG DE INT DO LAGO DE TUCURUI")</f>
        <v>REG DE INT DO LAGO DE TUCURUI</v>
      </c>
      <c r="B830" s="1" t="str">
        <f ca="1">IFERROR(__xludf.DUMMYFUNCTION("""COMPUTED_VALUE"""),"DRE MARABA")</f>
        <v>DRE MARABA</v>
      </c>
      <c r="C830" s="2" t="str">
        <f ca="1">IFERROR(__xludf.DUMMYFUNCTION("""COMPUTED_VALUE"""),"DRE - MARABA")</f>
        <v>DRE - MARABA</v>
      </c>
      <c r="D830" s="1"/>
      <c r="E830" s="2" t="str">
        <f ca="1">IFERROR(__xludf.DUMMYFUNCTION("""COMPUTED_VALUE"""),"DRE - MARABA")</f>
        <v>DRE - MARABA</v>
      </c>
      <c r="F830" s="1">
        <f ca="1">IFERROR(__xludf.DUMMYFUNCTION("""COMPUTED_VALUE"""),3)</f>
        <v>3</v>
      </c>
      <c r="G830" s="1" t="str">
        <f ca="1">IFERROR(__xludf.DUMMYFUNCTION("""COMPUTED_VALUE"""),"DRE MARABA")</f>
        <v>DRE MARABA</v>
      </c>
      <c r="H830" s="1" t="str">
        <f ca="1">IFERROR(__xludf.DUMMYFUNCTION("""COMPUTED_VALUE"""),"04A URE - MARABA")</f>
        <v>04A URE - MARABA</v>
      </c>
      <c r="I830" s="1"/>
      <c r="J830" s="1" t="str">
        <f ca="1">IFERROR(__xludf.DUMMYFUNCTION("""COMPUTED_VALUE"""),"ITUPIRANGA")</f>
        <v>ITUPIRANGA</v>
      </c>
      <c r="K830" s="1">
        <f ca="1">IFERROR(__xludf.DUMMYFUNCTION("""COMPUTED_VALUE"""),15579697)</f>
        <v>15579697</v>
      </c>
      <c r="L830" s="2" t="str">
        <f ca="1">IFERROR(__xludf.DUMMYFUNCTION("""COMPUTED_VALUE"""),"001920937160000")</f>
        <v>001920937160000</v>
      </c>
      <c r="M830" s="2" t="str">
        <f ca="1">IFERROR(__xludf.DUMMYFUNCTION("""COMPUTED_VALUE"""),"1920937160000")</f>
        <v>1920937160000</v>
      </c>
      <c r="N830" s="1" t="str">
        <f ca="1">IFERROR(__xludf.DUMMYFUNCTION("""COMPUTED_VALUE"""),"EEEM LIBERALINA CARVALHO DE ARAGAO")</f>
        <v>EEEM LIBERALINA CARVALHO DE ARAGAO</v>
      </c>
      <c r="O830" s="1"/>
      <c r="P830" s="1"/>
      <c r="Q830" s="1" t="s">
        <v>822</v>
      </c>
    </row>
    <row r="831" spans="1:17" x14ac:dyDescent="0.25">
      <c r="A831" s="2" t="str">
        <f ca="1">IFERROR(__xludf.DUMMYFUNCTION("""COMPUTED_VALUE"""),"REG DE INT DO LAGO DE TUCURUI")</f>
        <v>REG DE INT DO LAGO DE TUCURUI</v>
      </c>
      <c r="B831" s="1" t="str">
        <f ca="1">IFERROR(__xludf.DUMMYFUNCTION("""COMPUTED_VALUE"""),"DRE MARABA")</f>
        <v>DRE MARABA</v>
      </c>
      <c r="C831" s="2" t="str">
        <f ca="1">IFERROR(__xludf.DUMMYFUNCTION("""COMPUTED_VALUE"""),"DRE - MARABA")</f>
        <v>DRE - MARABA</v>
      </c>
      <c r="D831" s="1"/>
      <c r="E831" s="2" t="str">
        <f ca="1">IFERROR(__xludf.DUMMYFUNCTION("""COMPUTED_VALUE"""),"DRE - MARABA")</f>
        <v>DRE - MARABA</v>
      </c>
      <c r="F831" s="1"/>
      <c r="G831" s="1"/>
      <c r="H831" s="1" t="str">
        <f ca="1">IFERROR(__xludf.DUMMYFUNCTION("""COMPUTED_VALUE"""),"04A URE - MARABA")</f>
        <v>04A URE - MARABA</v>
      </c>
      <c r="I831" s="1"/>
      <c r="J831" s="1" t="str">
        <f ca="1">IFERROR(__xludf.DUMMYFUNCTION("""COMPUTED_VALUE"""),"ITUPIRANGA")</f>
        <v>ITUPIRANGA</v>
      </c>
      <c r="K831" s="1"/>
      <c r="L831" s="2" t="str">
        <f ca="1">IFERROR(__xludf.DUMMYFUNCTION("""COMPUTED_VALUE"""),"001920975000000")</f>
        <v>001920975000000</v>
      </c>
      <c r="M831" s="2" t="str">
        <f ca="1">IFERROR(__xludf.DUMMYFUNCTION("""COMPUTED_VALUE"""),"1920975000000")</f>
        <v>1920975000000</v>
      </c>
      <c r="N831" s="1" t="str">
        <f ca="1">IFERROR(__xludf.DUMMYFUNCTION("""COMPUTED_VALUE"""),"ESCOLA ESTADUAL RURAL DE ITUPIRANGA")</f>
        <v>ESCOLA ESTADUAL RURAL DE ITUPIRANGA</v>
      </c>
      <c r="O831" s="1"/>
      <c r="P831" s="1"/>
      <c r="Q831" s="1" t="s">
        <v>822</v>
      </c>
    </row>
    <row r="832" spans="1:17" x14ac:dyDescent="0.25">
      <c r="A832" s="2" t="str">
        <f ca="1">IFERROR(__xludf.DUMMYFUNCTION("""COMPUTED_VALUE"""),"REG DE INT DO LAGO DE TUCURUI")</f>
        <v>REG DE INT DO LAGO DE TUCURUI</v>
      </c>
      <c r="B832" s="1" t="str">
        <f ca="1">IFERROR(__xludf.DUMMYFUNCTION("""COMPUTED_VALUE"""),"DRE MARABA")</f>
        <v>DRE MARABA</v>
      </c>
      <c r="C832" s="2" t="str">
        <f ca="1">IFERROR(__xludf.DUMMYFUNCTION("""COMPUTED_VALUE"""),"DRE - MARABA")</f>
        <v>DRE - MARABA</v>
      </c>
      <c r="D832" s="1"/>
      <c r="E832" s="2" t="str">
        <f ca="1">IFERROR(__xludf.DUMMYFUNCTION("""COMPUTED_VALUE"""),"DRE - MARABA")</f>
        <v>DRE - MARABA</v>
      </c>
      <c r="F832" s="1">
        <f ca="1">IFERROR(__xludf.DUMMYFUNCTION("""COMPUTED_VALUE"""),3)</f>
        <v>3</v>
      </c>
      <c r="G832" s="1"/>
      <c r="H832" s="1" t="str">
        <f ca="1">IFERROR(__xludf.DUMMYFUNCTION("""COMPUTED_VALUE"""),"04A URE - MARABA")</f>
        <v>04A URE - MARABA</v>
      </c>
      <c r="I832" s="1"/>
      <c r="J832" s="1" t="str">
        <f ca="1">IFERROR(__xludf.DUMMYFUNCTION("""COMPUTED_VALUE"""),"JACUNDA")</f>
        <v>JACUNDA</v>
      </c>
      <c r="K832" s="1">
        <f ca="1">IFERROR(__xludf.DUMMYFUNCTION("""COMPUTED_VALUE"""),15177769)</f>
        <v>15177769</v>
      </c>
      <c r="L832" s="2" t="str">
        <f ca="1">IFERROR(__xludf.DUMMYFUNCTION("""COMPUTED_VALUE"""),"001920927700002")</f>
        <v>001920927700002</v>
      </c>
      <c r="M832" s="2" t="str">
        <f ca="1">IFERROR(__xludf.DUMMYFUNCTION("""COMPUTED_VALUE"""),"1920927700002")</f>
        <v>1920927700002</v>
      </c>
      <c r="N832" s="1" t="str">
        <f ca="1">IFERROR(__xludf.DUMMYFUNCTION("""COMPUTED_VALUE"""),"ANEXO RURAL PROFA MARIA DA GLORIA RODRIGUES PAIXAO")</f>
        <v>ANEXO RURAL PROFA MARIA DA GLORIA RODRIGUES PAIXAO</v>
      </c>
      <c r="O832" s="1"/>
      <c r="P832" s="1"/>
      <c r="Q832" s="1" t="s">
        <v>822</v>
      </c>
    </row>
    <row r="833" spans="1:17" x14ac:dyDescent="0.25">
      <c r="A833" s="2" t="str">
        <f ca="1">IFERROR(__xludf.DUMMYFUNCTION("""COMPUTED_VALUE"""),"REG DE INT DO LAGO DE TUCURUI")</f>
        <v>REG DE INT DO LAGO DE TUCURUI</v>
      </c>
      <c r="B833" s="1" t="str">
        <f ca="1">IFERROR(__xludf.DUMMYFUNCTION("""COMPUTED_VALUE"""),"DRE MARABA")</f>
        <v>DRE MARABA</v>
      </c>
      <c r="C833" s="2" t="str">
        <f ca="1">IFERROR(__xludf.DUMMYFUNCTION("""COMPUTED_VALUE"""),"DRE - MARABA")</f>
        <v>DRE - MARABA</v>
      </c>
      <c r="D833" s="1"/>
      <c r="E833" s="2" t="str">
        <f ca="1">IFERROR(__xludf.DUMMYFUNCTION("""COMPUTED_VALUE"""),"DRE - MARABA")</f>
        <v>DRE - MARABA</v>
      </c>
      <c r="F833" s="1">
        <f ca="1">IFERROR(__xludf.DUMMYFUNCTION("""COMPUTED_VALUE"""),3)</f>
        <v>3</v>
      </c>
      <c r="G833" s="1" t="str">
        <f ca="1">IFERROR(__xludf.DUMMYFUNCTION("""COMPUTED_VALUE"""),"DRE MARABA")</f>
        <v>DRE MARABA</v>
      </c>
      <c r="H833" s="1" t="str">
        <f ca="1">IFERROR(__xludf.DUMMYFUNCTION("""COMPUTED_VALUE"""),"04A URE - MARABA")</f>
        <v>04A URE - MARABA</v>
      </c>
      <c r="I833" s="1"/>
      <c r="J833" s="1" t="str">
        <f ca="1">IFERROR(__xludf.DUMMYFUNCTION("""COMPUTED_VALUE"""),"JACUNDA")</f>
        <v>JACUNDA</v>
      </c>
      <c r="K833" s="1">
        <f ca="1">IFERROR(__xludf.DUMMYFUNCTION("""COMPUTED_VALUE"""),15105121)</f>
        <v>15105121</v>
      </c>
      <c r="L833" s="2" t="str">
        <f ca="1">IFERROR(__xludf.DUMMYFUNCTION("""COMPUTED_VALUE"""),"001920937420000")</f>
        <v>001920937420000</v>
      </c>
      <c r="M833" s="2" t="str">
        <f ca="1">IFERROR(__xludf.DUMMYFUNCTION("""COMPUTED_VALUE"""),"1920937420000")</f>
        <v>1920937420000</v>
      </c>
      <c r="N833" s="1" t="str">
        <f ca="1">IFERROR(__xludf.DUMMYFUNCTION("""COMPUTED_VALUE"""),"EEEFM IRMA DOROTHY STANGE")</f>
        <v>EEEFM IRMA DOROTHY STANGE</v>
      </c>
      <c r="O833" s="1"/>
      <c r="P833" s="1"/>
      <c r="Q833" s="1" t="s">
        <v>822</v>
      </c>
    </row>
    <row r="834" spans="1:17" x14ac:dyDescent="0.25">
      <c r="A834" s="2" t="str">
        <f ca="1">IFERROR(__xludf.DUMMYFUNCTION("""COMPUTED_VALUE"""),"REG DE INT DO LAGO DE TUCURUI")</f>
        <v>REG DE INT DO LAGO DE TUCURUI</v>
      </c>
      <c r="B834" s="1" t="str">
        <f ca="1">IFERROR(__xludf.DUMMYFUNCTION("""COMPUTED_VALUE"""),"DRE MARABA")</f>
        <v>DRE MARABA</v>
      </c>
      <c r="C834" s="2" t="str">
        <f ca="1">IFERROR(__xludf.DUMMYFUNCTION("""COMPUTED_VALUE"""),"DRE - MARABA")</f>
        <v>DRE - MARABA</v>
      </c>
      <c r="D834" s="1"/>
      <c r="E834" s="2" t="str">
        <f ca="1">IFERROR(__xludf.DUMMYFUNCTION("""COMPUTED_VALUE"""),"DRE - MARABA")</f>
        <v>DRE - MARABA</v>
      </c>
      <c r="F834" s="1">
        <f ca="1">IFERROR(__xludf.DUMMYFUNCTION("""COMPUTED_VALUE"""),3)</f>
        <v>3</v>
      </c>
      <c r="G834" s="1" t="str">
        <f ca="1">IFERROR(__xludf.DUMMYFUNCTION("""COMPUTED_VALUE"""),"DRE MARABA")</f>
        <v>DRE MARABA</v>
      </c>
      <c r="H834" s="1" t="str">
        <f ca="1">IFERROR(__xludf.DUMMYFUNCTION("""COMPUTED_VALUE"""),"04A URE - MARABA")</f>
        <v>04A URE - MARABA</v>
      </c>
      <c r="I834" s="1"/>
      <c r="J834" s="1" t="str">
        <f ca="1">IFERROR(__xludf.DUMMYFUNCTION("""COMPUTED_VALUE"""),"JACUNDA")</f>
        <v>JACUNDA</v>
      </c>
      <c r="K834" s="1">
        <f ca="1">IFERROR(__xludf.DUMMYFUNCTION("""COMPUTED_VALUE"""),15113388)</f>
        <v>15113388</v>
      </c>
      <c r="L834" s="2" t="str">
        <f ca="1">IFERROR(__xludf.DUMMYFUNCTION("""COMPUTED_VALUE"""),"001920927700000")</f>
        <v>001920927700000</v>
      </c>
      <c r="M834" s="2" t="str">
        <f ca="1">IFERROR(__xludf.DUMMYFUNCTION("""COMPUTED_VALUE"""),"1920927700000")</f>
        <v>1920927700000</v>
      </c>
      <c r="N834" s="1" t="str">
        <f ca="1">IFERROR(__xludf.DUMMYFUNCTION("""COMPUTED_VALUE"""),"EEEM PROFA MARIA DA GLORIA RODRIGUES PAIXAO")</f>
        <v>EEEM PROFA MARIA DA GLORIA RODRIGUES PAIXAO</v>
      </c>
      <c r="O834" s="1"/>
      <c r="P834" s="1"/>
      <c r="Q834" s="1" t="s">
        <v>822</v>
      </c>
    </row>
    <row r="835" spans="1:17" x14ac:dyDescent="0.25">
      <c r="A835" s="2" t="str">
        <f ca="1">IFERROR(__xludf.DUMMYFUNCTION("""COMPUTED_VALUE"""),"REG DE INT DO LAGO DE TUCURUI")</f>
        <v>REG DE INT DO LAGO DE TUCURUI</v>
      </c>
      <c r="B835" s="1" t="str">
        <f ca="1">IFERROR(__xludf.DUMMYFUNCTION("""COMPUTED_VALUE"""),"DRE MARABA")</f>
        <v>DRE MARABA</v>
      </c>
      <c r="C835" s="2" t="str">
        <f ca="1">IFERROR(__xludf.DUMMYFUNCTION("""COMPUTED_VALUE"""),"DRE - MARABA")</f>
        <v>DRE - MARABA</v>
      </c>
      <c r="D835" s="1"/>
      <c r="E835" s="2" t="str">
        <f ca="1">IFERROR(__xludf.DUMMYFUNCTION("""COMPUTED_VALUE"""),"DRE - MARABA")</f>
        <v>DRE - MARABA</v>
      </c>
      <c r="F835" s="1"/>
      <c r="G835" s="1"/>
      <c r="H835" s="1" t="str">
        <f ca="1">IFERROR(__xludf.DUMMYFUNCTION("""COMPUTED_VALUE"""),"04A URE - MARABA")</f>
        <v>04A URE - MARABA</v>
      </c>
      <c r="I835" s="1"/>
      <c r="J835" s="1" t="str">
        <f ca="1">IFERROR(__xludf.DUMMYFUNCTION("""COMPUTED_VALUE"""),"JACUNDA")</f>
        <v>JACUNDA</v>
      </c>
      <c r="K835" s="1"/>
      <c r="L835" s="2" t="str">
        <f ca="1">IFERROR(__xludf.DUMMYFUNCTION("""COMPUTED_VALUE"""),"001920976000000")</f>
        <v>001920976000000</v>
      </c>
      <c r="M835" s="2" t="str">
        <f ca="1">IFERROR(__xludf.DUMMYFUNCTION("""COMPUTED_VALUE"""),"1920976000000")</f>
        <v>1920976000000</v>
      </c>
      <c r="N835" s="1" t="str">
        <f ca="1">IFERROR(__xludf.DUMMYFUNCTION("""COMPUTED_VALUE"""),"ESCOLA ESTADUAL RURAL DE JACUNDA")</f>
        <v>ESCOLA ESTADUAL RURAL DE JACUNDA</v>
      </c>
      <c r="O835" s="1"/>
      <c r="P835" s="1"/>
      <c r="Q835" s="1" t="s">
        <v>822</v>
      </c>
    </row>
    <row r="836" spans="1:17" x14ac:dyDescent="0.25">
      <c r="A836" s="2" t="str">
        <f ca="1">IFERROR(__xludf.DUMMYFUNCTION("""COMPUTED_VALUE"""),"REG DE INTEGRA DO CARAJAS")</f>
        <v>REG DE INTEGRA DO CARAJAS</v>
      </c>
      <c r="B836" s="1" t="str">
        <f ca="1">IFERROR(__xludf.DUMMYFUNCTION("""COMPUTED_VALUE"""),"DRE MARABA")</f>
        <v>DRE MARABA</v>
      </c>
      <c r="C836" s="2" t="str">
        <f ca="1">IFERROR(__xludf.DUMMYFUNCTION("""COMPUTED_VALUE"""),"DRE - MARABA")</f>
        <v>DRE - MARABA</v>
      </c>
      <c r="D836" s="1"/>
      <c r="E836" s="2" t="str">
        <f ca="1">IFERROR(__xludf.DUMMYFUNCTION("""COMPUTED_VALUE"""),"DRE - MARABA")</f>
        <v>DRE - MARABA</v>
      </c>
      <c r="F836" s="1">
        <f ca="1">IFERROR(__xludf.DUMMYFUNCTION("""COMPUTED_VALUE"""),3)</f>
        <v>3</v>
      </c>
      <c r="G836" s="1" t="str">
        <f ca="1">IFERROR(__xludf.DUMMYFUNCTION("""COMPUTED_VALUE"""),"DRE MARABA")</f>
        <v>DRE MARABA</v>
      </c>
      <c r="H836" s="1" t="str">
        <f ca="1">IFERROR(__xludf.DUMMYFUNCTION("""COMPUTED_VALUE"""),"04A URE - MARABA")</f>
        <v>04A URE - MARABA</v>
      </c>
      <c r="I836" s="1"/>
      <c r="J836" s="1" t="str">
        <f ca="1">IFERROR(__xludf.DUMMYFUNCTION("""COMPUTED_VALUE"""),"MARABA")</f>
        <v>MARABA</v>
      </c>
      <c r="K836" s="1"/>
      <c r="L836" s="2" t="str">
        <f ca="1">IFERROR(__xludf.DUMMYFUNCTION("""COMPUTED_VALUE"""),"001920900040000")</f>
        <v>001920900040000</v>
      </c>
      <c r="M836" s="2" t="str">
        <f ca="1">IFERROR(__xludf.DUMMYFUNCTION("""COMPUTED_VALUE"""),"1920900040000")</f>
        <v>1920900040000</v>
      </c>
      <c r="N836" s="1" t="str">
        <f ca="1">IFERROR(__xludf.DUMMYFUNCTION("""COMPUTED_VALUE"""),"4 URE")</f>
        <v>4 URE</v>
      </c>
      <c r="O836" s="1"/>
      <c r="P836" s="1"/>
      <c r="Q836" s="1" t="s">
        <v>822</v>
      </c>
    </row>
    <row r="837" spans="1:17" x14ac:dyDescent="0.25">
      <c r="A837" s="2" t="str">
        <f ca="1">IFERROR(__xludf.DUMMYFUNCTION("""COMPUTED_VALUE"""),"REG DE INTEGRA DO CARAJAS")</f>
        <v>REG DE INTEGRA DO CARAJAS</v>
      </c>
      <c r="B837" s="1" t="str">
        <f ca="1">IFERROR(__xludf.DUMMYFUNCTION("""COMPUTED_VALUE"""),"DRE MARABA")</f>
        <v>DRE MARABA</v>
      </c>
      <c r="C837" s="2" t="str">
        <f ca="1">IFERROR(__xludf.DUMMYFUNCTION("""COMPUTED_VALUE"""),"DRE - MARABA")</f>
        <v>DRE - MARABA</v>
      </c>
      <c r="D837" s="1"/>
      <c r="E837" s="2" t="str">
        <f ca="1">IFERROR(__xludf.DUMMYFUNCTION("""COMPUTED_VALUE"""),"DRE - MARABA")</f>
        <v>DRE - MARABA</v>
      </c>
      <c r="F837" s="1">
        <f ca="1">IFERROR(__xludf.DUMMYFUNCTION("""COMPUTED_VALUE"""),3)</f>
        <v>3</v>
      </c>
      <c r="G837" s="1"/>
      <c r="H837" s="1" t="str">
        <f ca="1">IFERROR(__xludf.DUMMYFUNCTION("""COMPUTED_VALUE"""),"04A URE - MARABA")</f>
        <v>04A URE - MARABA</v>
      </c>
      <c r="I837" s="1"/>
      <c r="J837" s="1" t="str">
        <f ca="1">IFERROR(__xludf.DUMMYFUNCTION("""COMPUTED_VALUE"""),"MARABA")</f>
        <v>MARABA</v>
      </c>
      <c r="K837" s="1">
        <f ca="1">IFERROR(__xludf.DUMMYFUNCTION("""COMPUTED_VALUE"""),15177777)</f>
        <v>15177777</v>
      </c>
      <c r="L837" s="2" t="str">
        <f ca="1">IFERROR(__xludf.DUMMYFUNCTION("""COMPUTED_VALUE"""),"001920911800003")</f>
        <v>001920911800003</v>
      </c>
      <c r="M837" s="2" t="str">
        <f ca="1">IFERROR(__xludf.DUMMYFUNCTION("""COMPUTED_VALUE"""),"1920911800003")</f>
        <v>1920911800003</v>
      </c>
      <c r="N837" s="1" t="str">
        <f ca="1">IFERROR(__xludf.DUMMYFUNCTION("""COMPUTED_VALUE"""),"ANEXO RURAL ACY DE JESUS NEVES DE BARROS PEREIRA")</f>
        <v>ANEXO RURAL ACY DE JESUS NEVES DE BARROS PEREIRA</v>
      </c>
      <c r="O837" s="1"/>
      <c r="P837" s="1"/>
      <c r="Q837" s="1" t="s">
        <v>822</v>
      </c>
    </row>
    <row r="838" spans="1:17" x14ac:dyDescent="0.25">
      <c r="A838" s="2" t="str">
        <f ca="1">IFERROR(__xludf.DUMMYFUNCTION("""COMPUTED_VALUE"""),"REG DE INTEGRA DO CARAJAS")</f>
        <v>REG DE INTEGRA DO CARAJAS</v>
      </c>
      <c r="B838" s="1" t="str">
        <f ca="1">IFERROR(__xludf.DUMMYFUNCTION("""COMPUTED_VALUE"""),"DRE MARABA")</f>
        <v>DRE MARABA</v>
      </c>
      <c r="C838" s="2" t="str">
        <f ca="1">IFERROR(__xludf.DUMMYFUNCTION("""COMPUTED_VALUE"""),"DRE - MARABA")</f>
        <v>DRE - MARABA</v>
      </c>
      <c r="D838" s="1"/>
      <c r="E838" s="2" t="str">
        <f ca="1">IFERROR(__xludf.DUMMYFUNCTION("""COMPUTED_VALUE"""),"DRE - MARABA")</f>
        <v>DRE - MARABA</v>
      </c>
      <c r="F838" s="1">
        <f ca="1">IFERROR(__xludf.DUMMYFUNCTION("""COMPUTED_VALUE"""),3)</f>
        <v>3</v>
      </c>
      <c r="G838" s="1" t="str">
        <f ca="1">IFERROR(__xludf.DUMMYFUNCTION("""COMPUTED_VALUE"""),"DRE MARABA")</f>
        <v>DRE MARABA</v>
      </c>
      <c r="H838" s="1" t="str">
        <f ca="1">IFERROR(__xludf.DUMMYFUNCTION("""COMPUTED_VALUE"""),"04A URE - MARABA")</f>
        <v>04A URE - MARABA</v>
      </c>
      <c r="I838" s="1"/>
      <c r="J838" s="1" t="str">
        <f ca="1">IFERROR(__xludf.DUMMYFUNCTION("""COMPUTED_VALUE"""),"MARABA")</f>
        <v>MARABA</v>
      </c>
      <c r="K838" s="1">
        <f ca="1">IFERROR(__xludf.DUMMYFUNCTION("""COMPUTED_VALUE"""),15129560)</f>
        <v>15129560</v>
      </c>
      <c r="L838" s="2" t="str">
        <f ca="1">IFERROR(__xludf.DUMMYFUNCTION("""COMPUTED_VALUE"""),"001920927560000")</f>
        <v>001920927560000</v>
      </c>
      <c r="M838" s="2" t="str">
        <f ca="1">IFERROR(__xludf.DUMMYFUNCTION("""COMPUTED_VALUE"""),"1920927560000")</f>
        <v>1920927560000</v>
      </c>
      <c r="N838" s="1" t="str">
        <f ca="1">IFERROR(__xludf.DUMMYFUNCTION("""COMPUTED_VALUE"""),"CENTRO DE EDUCACAO DE JOVENS E ADULTOS PROF TEREZA DONATO DE ARAUJO CEEJA EM MARABA/PA")</f>
        <v>CENTRO DE EDUCACAO DE JOVENS E ADULTOS PROF TEREZA DONATO DE ARAUJO CEEJA EM MARABA/PA</v>
      </c>
      <c r="O838" s="1"/>
      <c r="P838" s="1"/>
      <c r="Q838" s="1" t="s">
        <v>822</v>
      </c>
    </row>
    <row r="839" spans="1:17" x14ac:dyDescent="0.25">
      <c r="A839" s="2" t="str">
        <f ca="1">IFERROR(__xludf.DUMMYFUNCTION("""COMPUTED_VALUE"""),"REG DE INTEGRA DO CARAJAS")</f>
        <v>REG DE INTEGRA DO CARAJAS</v>
      </c>
      <c r="B839" s="1" t="str">
        <f ca="1">IFERROR(__xludf.DUMMYFUNCTION("""COMPUTED_VALUE"""),"DRE MARABA")</f>
        <v>DRE MARABA</v>
      </c>
      <c r="C839" s="2" t="str">
        <f ca="1">IFERROR(__xludf.DUMMYFUNCTION("""COMPUTED_VALUE"""),"DRE - MARABA")</f>
        <v>DRE - MARABA</v>
      </c>
      <c r="D839" s="1"/>
      <c r="E839" s="2" t="str">
        <f ca="1">IFERROR(__xludf.DUMMYFUNCTION("""COMPUTED_VALUE"""),"DRE - MARABA")</f>
        <v>DRE - MARABA</v>
      </c>
      <c r="F839" s="1">
        <f ca="1">IFERROR(__xludf.DUMMYFUNCTION("""COMPUTED_VALUE"""),3)</f>
        <v>3</v>
      </c>
      <c r="G839" s="1" t="str">
        <f ca="1">IFERROR(__xludf.DUMMYFUNCTION("""COMPUTED_VALUE"""),"DRE MARABA")</f>
        <v>DRE MARABA</v>
      </c>
      <c r="H839" s="1" t="str">
        <f ca="1">IFERROR(__xludf.DUMMYFUNCTION("""COMPUTED_VALUE"""),"04A URE - MARABA")</f>
        <v>04A URE - MARABA</v>
      </c>
      <c r="I839" s="1"/>
      <c r="J839" s="1" t="str">
        <f ca="1">IFERROR(__xludf.DUMMYFUNCTION("""COMPUTED_VALUE"""),"MARABA")</f>
        <v>MARABA</v>
      </c>
      <c r="K839" s="1">
        <f ca="1">IFERROR(__xludf.DUMMYFUNCTION("""COMPUTED_VALUE"""),15127389)</f>
        <v>15127389</v>
      </c>
      <c r="L839" s="2" t="str">
        <f ca="1">IFERROR(__xludf.DUMMYFUNCTION("""COMPUTED_VALUE"""),"001920911800000")</f>
        <v>001920911800000</v>
      </c>
      <c r="M839" s="2" t="str">
        <f ca="1">IFERROR(__xludf.DUMMYFUNCTION("""COMPUTED_VALUE"""),"1920911800000")</f>
        <v>1920911800000</v>
      </c>
      <c r="N839" s="1" t="str">
        <f ca="1">IFERROR(__xludf.DUMMYFUNCTION("""COMPUTED_VALUE"""),"EEEM ACY DE JESUS NEVES DE BARROS PEREIRA")</f>
        <v>EEEM ACY DE JESUS NEVES DE BARROS PEREIRA</v>
      </c>
      <c r="O839" s="1"/>
      <c r="P839" s="1"/>
      <c r="Q839" s="1" t="s">
        <v>822</v>
      </c>
    </row>
    <row r="840" spans="1:17" x14ac:dyDescent="0.25">
      <c r="A840" s="2" t="str">
        <f ca="1">IFERROR(__xludf.DUMMYFUNCTION("""COMPUTED_VALUE"""),"REG DE INTEGRA DO CARAJAS")</f>
        <v>REG DE INTEGRA DO CARAJAS</v>
      </c>
      <c r="B840" s="1" t="str">
        <f ca="1">IFERROR(__xludf.DUMMYFUNCTION("""COMPUTED_VALUE"""),"DRE MARABA")</f>
        <v>DRE MARABA</v>
      </c>
      <c r="C840" s="2" t="str">
        <f ca="1">IFERROR(__xludf.DUMMYFUNCTION("""COMPUTED_VALUE"""),"DRE - MARABA")</f>
        <v>DRE - MARABA</v>
      </c>
      <c r="D840" s="1"/>
      <c r="E840" s="2" t="str">
        <f ca="1">IFERROR(__xludf.DUMMYFUNCTION("""COMPUTED_VALUE"""),"DRE - MARABA")</f>
        <v>DRE - MARABA</v>
      </c>
      <c r="F840" s="1">
        <f ca="1">IFERROR(__xludf.DUMMYFUNCTION("""COMPUTED_VALUE"""),3)</f>
        <v>3</v>
      </c>
      <c r="G840" s="1" t="str">
        <f ca="1">IFERROR(__xludf.DUMMYFUNCTION("""COMPUTED_VALUE"""),"DRE MARABA")</f>
        <v>DRE MARABA</v>
      </c>
      <c r="H840" s="1" t="str">
        <f ca="1">IFERROR(__xludf.DUMMYFUNCTION("""COMPUTED_VALUE"""),"04A URE - MARABA")</f>
        <v>04A URE - MARABA</v>
      </c>
      <c r="I840" s="1"/>
      <c r="J840" s="1" t="str">
        <f ca="1">IFERROR(__xludf.DUMMYFUNCTION("""COMPUTED_VALUE"""),"MARABA")</f>
        <v>MARABA</v>
      </c>
      <c r="K840" s="1">
        <f ca="1">IFERROR(__xludf.DUMMYFUNCTION("""COMPUTED_VALUE"""),15169260)</f>
        <v>15169260</v>
      </c>
      <c r="L840" s="2" t="str">
        <f ca="1">IFERROR(__xludf.DUMMYFUNCTION("""COMPUTED_VALUE"""),"001920911800002")</f>
        <v>001920911800002</v>
      </c>
      <c r="M840" s="2" t="str">
        <f ca="1">IFERROR(__xludf.DUMMYFUNCTION("""COMPUTED_VALUE"""),"1920911800002")</f>
        <v>1920911800002</v>
      </c>
      <c r="N840" s="1" t="str">
        <f ca="1">IFERROR(__xludf.DUMMYFUNCTION("""COMPUTED_VALUE"""),"EEEM ACY DE JESUS NEVES DE BARROS PEREIRA -ANEXO II")</f>
        <v>EEEM ACY DE JESUS NEVES DE BARROS PEREIRA -ANEXO II</v>
      </c>
      <c r="O840" s="1"/>
      <c r="P840" s="1"/>
      <c r="Q840" s="1" t="s">
        <v>822</v>
      </c>
    </row>
    <row r="841" spans="1:17" x14ac:dyDescent="0.25">
      <c r="A841" s="2" t="str">
        <f ca="1">IFERROR(__xludf.DUMMYFUNCTION("""COMPUTED_VALUE"""),"REG DE INTEGRA DO CARAJAS")</f>
        <v>REG DE INTEGRA DO CARAJAS</v>
      </c>
      <c r="B841" s="1" t="str">
        <f ca="1">IFERROR(__xludf.DUMMYFUNCTION("""COMPUTED_VALUE"""),"DRE MARABA")</f>
        <v>DRE MARABA</v>
      </c>
      <c r="C841" s="2" t="str">
        <f ca="1">IFERROR(__xludf.DUMMYFUNCTION("""COMPUTED_VALUE"""),"DRE - MARABA")</f>
        <v>DRE - MARABA</v>
      </c>
      <c r="D841" s="1"/>
      <c r="E841" s="2" t="str">
        <f ca="1">IFERROR(__xludf.DUMMYFUNCTION("""COMPUTED_VALUE"""),"DRE - MARABA")</f>
        <v>DRE - MARABA</v>
      </c>
      <c r="F841" s="1">
        <f ca="1">IFERROR(__xludf.DUMMYFUNCTION("""COMPUTED_VALUE"""),3)</f>
        <v>3</v>
      </c>
      <c r="G841" s="1" t="str">
        <f ca="1">IFERROR(__xludf.DUMMYFUNCTION("""COMPUTED_VALUE"""),"DRE MARABA")</f>
        <v>DRE MARABA</v>
      </c>
      <c r="H841" s="1" t="str">
        <f ca="1">IFERROR(__xludf.DUMMYFUNCTION("""COMPUTED_VALUE"""),"04A URE - MARABA")</f>
        <v>04A URE - MARABA</v>
      </c>
      <c r="I841" s="1"/>
      <c r="J841" s="1" t="str">
        <f ca="1">IFERROR(__xludf.DUMMYFUNCTION("""COMPUTED_VALUE"""),"MARABA")</f>
        <v>MARABA</v>
      </c>
      <c r="K841" s="1">
        <f ca="1">IFERROR(__xludf.DUMMYFUNCTION("""COMPUTED_VALUE"""),15127265)</f>
        <v>15127265</v>
      </c>
      <c r="L841" s="2" t="str">
        <f ca="1">IFERROR(__xludf.DUMMYFUNCTION("""COMPUTED_VALUE"""),"001920911850000")</f>
        <v>001920911850000</v>
      </c>
      <c r="M841" s="2" t="str">
        <f ca="1">IFERROR(__xludf.DUMMYFUNCTION("""COMPUTED_VALUE"""),"1920911850000")</f>
        <v>1920911850000</v>
      </c>
      <c r="N841" s="1" t="str">
        <f ca="1">IFERROR(__xludf.DUMMYFUNCTION("""COMPUTED_VALUE"""),"EEEM DR GABRIEL SALES PIMENTA")</f>
        <v>EEEM DR GABRIEL SALES PIMENTA</v>
      </c>
      <c r="O841" s="1"/>
      <c r="P841" s="1"/>
      <c r="Q841" s="1" t="s">
        <v>822</v>
      </c>
    </row>
    <row r="842" spans="1:17" x14ac:dyDescent="0.25">
      <c r="A842" s="2" t="str">
        <f ca="1">IFERROR(__xludf.DUMMYFUNCTION("""COMPUTED_VALUE"""),"REG DE INTEGRA DO CARAJAS")</f>
        <v>REG DE INTEGRA DO CARAJAS</v>
      </c>
      <c r="B842" s="1" t="str">
        <f ca="1">IFERROR(__xludf.DUMMYFUNCTION("""COMPUTED_VALUE"""),"DRE MARABA")</f>
        <v>DRE MARABA</v>
      </c>
      <c r="C842" s="2" t="str">
        <f ca="1">IFERROR(__xludf.DUMMYFUNCTION("""COMPUTED_VALUE"""),"DRE - MARABA")</f>
        <v>DRE - MARABA</v>
      </c>
      <c r="D842" s="1"/>
      <c r="E842" s="2" t="str">
        <f ca="1">IFERROR(__xludf.DUMMYFUNCTION("""COMPUTED_VALUE"""),"DRE - MARABA")</f>
        <v>DRE - MARABA</v>
      </c>
      <c r="F842" s="1">
        <f ca="1">IFERROR(__xludf.DUMMYFUNCTION("""COMPUTED_VALUE"""),3)</f>
        <v>3</v>
      </c>
      <c r="G842" s="1" t="str">
        <f ca="1">IFERROR(__xludf.DUMMYFUNCTION("""COMPUTED_VALUE"""),"DRE MARABA")</f>
        <v>DRE MARABA</v>
      </c>
      <c r="H842" s="1" t="str">
        <f ca="1">IFERROR(__xludf.DUMMYFUNCTION("""COMPUTED_VALUE"""),"04A URE - MARABA")</f>
        <v>04A URE - MARABA</v>
      </c>
      <c r="I842" s="1"/>
      <c r="J842" s="1" t="str">
        <f ca="1">IFERROR(__xludf.DUMMYFUNCTION("""COMPUTED_VALUE"""),"MARABA")</f>
        <v>MARABA</v>
      </c>
      <c r="K842" s="1">
        <f ca="1">IFERROR(__xludf.DUMMYFUNCTION("""COMPUTED_VALUE"""),15127370)</f>
        <v>15127370</v>
      </c>
      <c r="L842" s="2" t="str">
        <f ca="1">IFERROR(__xludf.DUMMYFUNCTION("""COMPUTED_VALUE"""),"001920912040000")</f>
        <v>001920912040000</v>
      </c>
      <c r="M842" s="2" t="str">
        <f ca="1">IFERROR(__xludf.DUMMYFUNCTION("""COMPUTED_VALUE"""),"1920912040000")</f>
        <v>1920912040000</v>
      </c>
      <c r="N842" s="1" t="str">
        <f ca="1">IFERROR(__xludf.DUMMYFUNCTION("""COMPUTED_VALUE"""),"EEEM DR GASPAR VIANNA")</f>
        <v>EEEM DR GASPAR VIANNA</v>
      </c>
      <c r="O842" s="1"/>
      <c r="P842" s="1"/>
      <c r="Q842" s="1" t="s">
        <v>822</v>
      </c>
    </row>
    <row r="843" spans="1:17" x14ac:dyDescent="0.25">
      <c r="A843" s="2" t="str">
        <f ca="1">IFERROR(__xludf.DUMMYFUNCTION("""COMPUTED_VALUE"""),"REG DE INTEGRA DO CARAJAS")</f>
        <v>REG DE INTEGRA DO CARAJAS</v>
      </c>
      <c r="B843" s="1" t="str">
        <f ca="1">IFERROR(__xludf.DUMMYFUNCTION("""COMPUTED_VALUE"""),"DRE MARABA")</f>
        <v>DRE MARABA</v>
      </c>
      <c r="C843" s="2" t="str">
        <f ca="1">IFERROR(__xludf.DUMMYFUNCTION("""COMPUTED_VALUE"""),"DRE - MARABA")</f>
        <v>DRE - MARABA</v>
      </c>
      <c r="D843" s="1"/>
      <c r="E843" s="2" t="str">
        <f ca="1">IFERROR(__xludf.DUMMYFUNCTION("""COMPUTED_VALUE"""),"DRE - MARABA")</f>
        <v>DRE - MARABA</v>
      </c>
      <c r="F843" s="1">
        <f ca="1">IFERROR(__xludf.DUMMYFUNCTION("""COMPUTED_VALUE"""),3)</f>
        <v>3</v>
      </c>
      <c r="G843" s="1" t="str">
        <f ca="1">IFERROR(__xludf.DUMMYFUNCTION("""COMPUTED_VALUE"""),"DRE MARABA")</f>
        <v>DRE MARABA</v>
      </c>
      <c r="H843" s="1" t="str">
        <f ca="1">IFERROR(__xludf.DUMMYFUNCTION("""COMPUTED_VALUE"""),"04A URE - MARABA")</f>
        <v>04A URE - MARABA</v>
      </c>
      <c r="I843" s="1"/>
      <c r="J843" s="1" t="str">
        <f ca="1">IFERROR(__xludf.DUMMYFUNCTION("""COMPUTED_VALUE"""),"MARABA")</f>
        <v>MARABA</v>
      </c>
      <c r="K843" s="1">
        <f ca="1">IFERROR(__xludf.DUMMYFUNCTION("""COMPUTED_VALUE"""),15169294)</f>
        <v>15169294</v>
      </c>
      <c r="L843" s="2" t="str">
        <f ca="1">IFERROR(__xludf.DUMMYFUNCTION("""COMPUTED_VALUE"""),"001920912040001")</f>
        <v>001920912040001</v>
      </c>
      <c r="M843" s="2" t="str">
        <f ca="1">IFERROR(__xludf.DUMMYFUNCTION("""COMPUTED_VALUE"""),"1920912040001")</f>
        <v>1920912040001</v>
      </c>
      <c r="N843" s="1" t="str">
        <f ca="1">IFERROR(__xludf.DUMMYFUNCTION("""COMPUTED_VALUE"""),"EEEM DR GASPAR VIANNA - ANEXO I")</f>
        <v>EEEM DR GASPAR VIANNA - ANEXO I</v>
      </c>
      <c r="O843" s="1"/>
      <c r="P843" s="1"/>
      <c r="Q843" s="1" t="s">
        <v>822</v>
      </c>
    </row>
    <row r="844" spans="1:17" x14ac:dyDescent="0.25">
      <c r="A844" s="2" t="str">
        <f ca="1">IFERROR(__xludf.DUMMYFUNCTION("""COMPUTED_VALUE"""),"REG DE INTEGRA DO CARAJAS")</f>
        <v>REG DE INTEGRA DO CARAJAS</v>
      </c>
      <c r="B844" s="1" t="str">
        <f ca="1">IFERROR(__xludf.DUMMYFUNCTION("""COMPUTED_VALUE"""),"DRE MARABA")</f>
        <v>DRE MARABA</v>
      </c>
      <c r="C844" s="2" t="str">
        <f ca="1">IFERROR(__xludf.DUMMYFUNCTION("""COMPUTED_VALUE"""),"DRE - MARABA")</f>
        <v>DRE - MARABA</v>
      </c>
      <c r="D844" s="1"/>
      <c r="E844" s="2" t="str">
        <f ca="1">IFERROR(__xludf.DUMMYFUNCTION("""COMPUTED_VALUE"""),"DRE - MARABA")</f>
        <v>DRE - MARABA</v>
      </c>
      <c r="F844" s="1">
        <f ca="1">IFERROR(__xludf.DUMMYFUNCTION("""COMPUTED_VALUE"""),3)</f>
        <v>3</v>
      </c>
      <c r="G844" s="1" t="str">
        <f ca="1">IFERROR(__xludf.DUMMYFUNCTION("""COMPUTED_VALUE"""),"DRE MARABA")</f>
        <v>DRE MARABA</v>
      </c>
      <c r="H844" s="1" t="str">
        <f ca="1">IFERROR(__xludf.DUMMYFUNCTION("""COMPUTED_VALUE"""),"04A URE - MARABA")</f>
        <v>04A URE - MARABA</v>
      </c>
      <c r="I844" s="1"/>
      <c r="J844" s="1" t="str">
        <f ca="1">IFERROR(__xludf.DUMMYFUNCTION("""COMPUTED_VALUE"""),"MARABA")</f>
        <v>MARABA</v>
      </c>
      <c r="K844" s="1">
        <f ca="1">IFERROR(__xludf.DUMMYFUNCTION("""COMPUTED_VALUE"""),15577406)</f>
        <v>15577406</v>
      </c>
      <c r="L844" s="2" t="str">
        <f ca="1">IFERROR(__xludf.DUMMYFUNCTION("""COMPUTED_VALUE"""),"001920936090000")</f>
        <v>001920936090000</v>
      </c>
      <c r="M844" s="2" t="str">
        <f ca="1">IFERROR(__xludf.DUMMYFUNCTION("""COMPUTED_VALUE"""),"1920936090000")</f>
        <v>1920936090000</v>
      </c>
      <c r="N844" s="1" t="str">
        <f ca="1">IFERROR(__xludf.DUMMYFUNCTION("""COMPUTED_VALUE"""),"EEEM DR GERALDO MENDES DE CASTRO VELOSO")</f>
        <v>EEEM DR GERALDO MENDES DE CASTRO VELOSO</v>
      </c>
      <c r="O844" s="1"/>
      <c r="P844" s="1"/>
      <c r="Q844" s="1" t="s">
        <v>822</v>
      </c>
    </row>
    <row r="845" spans="1:17" x14ac:dyDescent="0.25">
      <c r="A845" s="2" t="str">
        <f ca="1">IFERROR(__xludf.DUMMYFUNCTION("""COMPUTED_VALUE"""),"REG DE INTEGRA DO CARAJAS")</f>
        <v>REG DE INTEGRA DO CARAJAS</v>
      </c>
      <c r="B845" s="1" t="str">
        <f ca="1">IFERROR(__xludf.DUMMYFUNCTION("""COMPUTED_VALUE"""),"DRE MARABA")</f>
        <v>DRE MARABA</v>
      </c>
      <c r="C845" s="2" t="str">
        <f ca="1">IFERROR(__xludf.DUMMYFUNCTION("""COMPUTED_VALUE"""),"DRE - MARABA")</f>
        <v>DRE - MARABA</v>
      </c>
      <c r="D845" s="1"/>
      <c r="E845" s="2" t="str">
        <f ca="1">IFERROR(__xludf.DUMMYFUNCTION("""COMPUTED_VALUE"""),"DRE - MARABA")</f>
        <v>DRE - MARABA</v>
      </c>
      <c r="F845" s="1">
        <f ca="1">IFERROR(__xludf.DUMMYFUNCTION("""COMPUTED_VALUE"""),3)</f>
        <v>3</v>
      </c>
      <c r="G845" s="1" t="str">
        <f ca="1">IFERROR(__xludf.DUMMYFUNCTION("""COMPUTED_VALUE"""),"DRE MARABA")</f>
        <v>DRE MARABA</v>
      </c>
      <c r="H845" s="1" t="str">
        <f ca="1">IFERROR(__xludf.DUMMYFUNCTION("""COMPUTED_VALUE"""),"04A URE - MARABA")</f>
        <v>04A URE - MARABA</v>
      </c>
      <c r="I845" s="1"/>
      <c r="J845" s="1" t="str">
        <f ca="1">IFERROR(__xludf.DUMMYFUNCTION("""COMPUTED_VALUE"""),"MARABA")</f>
        <v>MARABA</v>
      </c>
      <c r="K845" s="1">
        <f ca="1">IFERROR(__xludf.DUMMYFUNCTION("""COMPUTED_VALUE"""),15127737)</f>
        <v>15127737</v>
      </c>
      <c r="L845" s="2" t="str">
        <f ca="1">IFERROR(__xludf.DUMMYFUNCTION("""COMPUTED_VALUE"""),"001920911840000")</f>
        <v>001920911840000</v>
      </c>
      <c r="M845" s="2" t="str">
        <f ca="1">IFERROR(__xludf.DUMMYFUNCTION("""COMPUTED_VALUE"""),"1920911840000")</f>
        <v>1920911840000</v>
      </c>
      <c r="N845" s="1" t="str">
        <f ca="1">IFERROR(__xludf.DUMMYFUNCTION("""COMPUTED_VALUE"""),"EEEM DR INACIO SOUSA MOTA")</f>
        <v>EEEM DR INACIO SOUSA MOTA</v>
      </c>
      <c r="O845" s="1"/>
      <c r="P845" s="1"/>
      <c r="Q845" s="1" t="s">
        <v>822</v>
      </c>
    </row>
    <row r="846" spans="1:17" x14ac:dyDescent="0.25">
      <c r="A846" s="2" t="str">
        <f ca="1">IFERROR(__xludf.DUMMYFUNCTION("""COMPUTED_VALUE"""),"REG DE INTEGRA DO CARAJAS")</f>
        <v>REG DE INTEGRA DO CARAJAS</v>
      </c>
      <c r="B846" s="1" t="str">
        <f ca="1">IFERROR(__xludf.DUMMYFUNCTION("""COMPUTED_VALUE"""),"DRE MARABA")</f>
        <v>DRE MARABA</v>
      </c>
      <c r="C846" s="2" t="str">
        <f ca="1">IFERROR(__xludf.DUMMYFUNCTION("""COMPUTED_VALUE"""),"DRE - MARABA")</f>
        <v>DRE - MARABA</v>
      </c>
      <c r="D846" s="1"/>
      <c r="E846" s="2" t="str">
        <f ca="1">IFERROR(__xludf.DUMMYFUNCTION("""COMPUTED_VALUE"""),"DRE - MARABA")</f>
        <v>DRE - MARABA</v>
      </c>
      <c r="F846" s="1">
        <f ca="1">IFERROR(__xludf.DUMMYFUNCTION("""COMPUTED_VALUE"""),3)</f>
        <v>3</v>
      </c>
      <c r="G846" s="1" t="str">
        <f ca="1">IFERROR(__xludf.DUMMYFUNCTION("""COMPUTED_VALUE"""),"DRE MARABA")</f>
        <v>DRE MARABA</v>
      </c>
      <c r="H846" s="1" t="str">
        <f ca="1">IFERROR(__xludf.DUMMYFUNCTION("""COMPUTED_VALUE"""),"04A URE - MARABA")</f>
        <v>04A URE - MARABA</v>
      </c>
      <c r="I846" s="1"/>
      <c r="J846" s="1" t="str">
        <f ca="1">IFERROR(__xludf.DUMMYFUNCTION("""COMPUTED_VALUE"""),"MARABA")</f>
        <v>MARABA</v>
      </c>
      <c r="K846" s="1">
        <f ca="1">IFERROR(__xludf.DUMMYFUNCTION("""COMPUTED_VALUE"""),15127303)</f>
        <v>15127303</v>
      </c>
      <c r="L846" s="2" t="str">
        <f ca="1">IFERROR(__xludf.DUMMYFUNCTION("""COMPUTED_VALUE"""),"001920911690000")</f>
        <v>001920911690000</v>
      </c>
      <c r="M846" s="2" t="str">
        <f ca="1">IFERROR(__xludf.DUMMYFUNCTION("""COMPUTED_VALUE"""),"1920911690000")</f>
        <v>1920911690000</v>
      </c>
      <c r="N846" s="1" t="str">
        <f ca="1">IFERROR(__xludf.DUMMYFUNCTION("""COMPUTED_VALUE"""),"EEEM DR JOSE CURSINO DE AZEVEDO")</f>
        <v>EEEM DR JOSE CURSINO DE AZEVEDO</v>
      </c>
      <c r="O846" s="1"/>
      <c r="P846" s="1"/>
      <c r="Q846" s="1" t="s">
        <v>822</v>
      </c>
    </row>
    <row r="847" spans="1:17" x14ac:dyDescent="0.25">
      <c r="A847" s="2" t="str">
        <f ca="1">IFERROR(__xludf.DUMMYFUNCTION("""COMPUTED_VALUE"""),"REG DE INTEGRA DO CARAJAS")</f>
        <v>REG DE INTEGRA DO CARAJAS</v>
      </c>
      <c r="B847" s="1" t="str">
        <f ca="1">IFERROR(__xludf.DUMMYFUNCTION("""COMPUTED_VALUE"""),"DRE MARABA")</f>
        <v>DRE MARABA</v>
      </c>
      <c r="C847" s="2" t="str">
        <f ca="1">IFERROR(__xludf.DUMMYFUNCTION("""COMPUTED_VALUE"""),"DRE - MARABA")</f>
        <v>DRE - MARABA</v>
      </c>
      <c r="D847" s="1"/>
      <c r="E847" s="2" t="str">
        <f ca="1">IFERROR(__xludf.DUMMYFUNCTION("""COMPUTED_VALUE"""),"DRE - MARABA")</f>
        <v>DRE - MARABA</v>
      </c>
      <c r="F847" s="1">
        <f ca="1">IFERROR(__xludf.DUMMYFUNCTION("""COMPUTED_VALUE"""),3)</f>
        <v>3</v>
      </c>
      <c r="G847" s="1" t="str">
        <f ca="1">IFERROR(__xludf.DUMMYFUNCTION("""COMPUTED_VALUE"""),"DRE MARABA")</f>
        <v>DRE MARABA</v>
      </c>
      <c r="H847" s="1" t="str">
        <f ca="1">IFERROR(__xludf.DUMMYFUNCTION("""COMPUTED_VALUE"""),"04A URE - MARABA")</f>
        <v>04A URE - MARABA</v>
      </c>
      <c r="I847" s="1"/>
      <c r="J847" s="1" t="str">
        <f ca="1">IFERROR(__xludf.DUMMYFUNCTION("""COMPUTED_VALUE"""),"MARABA")</f>
        <v>MARABA</v>
      </c>
      <c r="K847" s="1">
        <f ca="1">IFERROR(__xludf.DUMMYFUNCTION("""COMPUTED_VALUE"""),15127745)</f>
        <v>15127745</v>
      </c>
      <c r="L847" s="2" t="str">
        <f ca="1">IFERROR(__xludf.DUMMYFUNCTION("""COMPUTED_VALUE"""),"001920927890000")</f>
        <v>001920927890000</v>
      </c>
      <c r="M847" s="2" t="str">
        <f ca="1">IFERROR(__xludf.DUMMYFUNCTION("""COMPUTED_VALUE"""),"1920927890000")</f>
        <v>1920927890000</v>
      </c>
      <c r="N847" s="1" t="str">
        <f ca="1">IFERROR(__xludf.DUMMYFUNCTION("""COMPUTED_VALUE"""),"EEEM ELINDA SIMPLICIO COSTA")</f>
        <v>EEEM ELINDA SIMPLICIO COSTA</v>
      </c>
      <c r="O847" s="1"/>
      <c r="P847" s="1"/>
      <c r="Q847" s="1" t="s">
        <v>822</v>
      </c>
    </row>
    <row r="848" spans="1:17" x14ac:dyDescent="0.25">
      <c r="A848" s="2" t="str">
        <f ca="1">IFERROR(__xludf.DUMMYFUNCTION("""COMPUTED_VALUE"""),"REG DE INTEGRA DO CARAJAS")</f>
        <v>REG DE INTEGRA DO CARAJAS</v>
      </c>
      <c r="B848" s="1" t="str">
        <f ca="1">IFERROR(__xludf.DUMMYFUNCTION("""COMPUTED_VALUE"""),"DRE MARABA")</f>
        <v>DRE MARABA</v>
      </c>
      <c r="C848" s="2" t="str">
        <f ca="1">IFERROR(__xludf.DUMMYFUNCTION("""COMPUTED_VALUE"""),"DRE - MARABA")</f>
        <v>DRE - MARABA</v>
      </c>
      <c r="D848" s="1"/>
      <c r="E848" s="2" t="str">
        <f ca="1">IFERROR(__xludf.DUMMYFUNCTION("""COMPUTED_VALUE"""),"DRE - MARABA")</f>
        <v>DRE - MARABA</v>
      </c>
      <c r="F848" s="1">
        <f ca="1">IFERROR(__xludf.DUMMYFUNCTION("""COMPUTED_VALUE"""),3)</f>
        <v>3</v>
      </c>
      <c r="G848" s="1" t="str">
        <f ca="1">IFERROR(__xludf.DUMMYFUNCTION("""COMPUTED_VALUE"""),"DRE MARABA")</f>
        <v>DRE MARABA</v>
      </c>
      <c r="H848" s="1" t="str">
        <f ca="1">IFERROR(__xludf.DUMMYFUNCTION("""COMPUTED_VALUE"""),"04A URE - MARABA")</f>
        <v>04A URE - MARABA</v>
      </c>
      <c r="I848" s="1"/>
      <c r="J848" s="1" t="str">
        <f ca="1">IFERROR(__xludf.DUMMYFUNCTION("""COMPUTED_VALUE"""),"MARABA")</f>
        <v>MARABA</v>
      </c>
      <c r="K848" s="1">
        <f ca="1">IFERROR(__xludf.DUMMYFUNCTION("""COMPUTED_VALUE"""),15559726)</f>
        <v>15559726</v>
      </c>
      <c r="L848" s="2" t="str">
        <f ca="1">IFERROR(__xludf.DUMMYFUNCTION("""COMPUTED_VALUE"""),"001920937630000")</f>
        <v>001920937630000</v>
      </c>
      <c r="M848" s="2" t="str">
        <f ca="1">IFERROR(__xludf.DUMMYFUNCTION("""COMPUTED_VALUE"""),"1920937630000")</f>
        <v>1920937630000</v>
      </c>
      <c r="N848" s="1" t="str">
        <f ca="1">IFERROR(__xludf.DUMMYFUNCTION("""COMPUTED_VALUE"""),"EEEM IRMA THEODORA")</f>
        <v>EEEM IRMA THEODORA</v>
      </c>
      <c r="O848" s="1"/>
      <c r="P848" s="1"/>
      <c r="Q848" s="1" t="s">
        <v>822</v>
      </c>
    </row>
    <row r="849" spans="1:17" x14ac:dyDescent="0.25">
      <c r="A849" s="2" t="str">
        <f ca="1">IFERROR(__xludf.DUMMYFUNCTION("""COMPUTED_VALUE"""),"REG DE INTEGRA DO CARAJAS")</f>
        <v>REG DE INTEGRA DO CARAJAS</v>
      </c>
      <c r="B849" s="1" t="str">
        <f ca="1">IFERROR(__xludf.DUMMYFUNCTION("""COMPUTED_VALUE"""),"DRE MARABA")</f>
        <v>DRE MARABA</v>
      </c>
      <c r="C849" s="2" t="str">
        <f ca="1">IFERROR(__xludf.DUMMYFUNCTION("""COMPUTED_VALUE"""),"DRE - MARABA")</f>
        <v>DRE - MARABA</v>
      </c>
      <c r="D849" s="1"/>
      <c r="E849" s="2" t="str">
        <f ca="1">IFERROR(__xludf.DUMMYFUNCTION("""COMPUTED_VALUE"""),"DRE - MARABA")</f>
        <v>DRE - MARABA</v>
      </c>
      <c r="F849" s="1">
        <f ca="1">IFERROR(__xludf.DUMMYFUNCTION("""COMPUTED_VALUE"""),3)</f>
        <v>3</v>
      </c>
      <c r="G849" s="1" t="str">
        <f ca="1">IFERROR(__xludf.DUMMYFUNCTION("""COMPUTED_VALUE"""),"DRE MARABA")</f>
        <v>DRE MARABA</v>
      </c>
      <c r="H849" s="1" t="str">
        <f ca="1">IFERROR(__xludf.DUMMYFUNCTION("""COMPUTED_VALUE"""),"04A URE - MARABA")</f>
        <v>04A URE - MARABA</v>
      </c>
      <c r="I849" s="1"/>
      <c r="J849" s="1" t="str">
        <f ca="1">IFERROR(__xludf.DUMMYFUNCTION("""COMPUTED_VALUE"""),"MARABA")</f>
        <v>MARABA</v>
      </c>
      <c r="K849" s="1">
        <f ca="1">IFERROR(__xludf.DUMMYFUNCTION("""COMPUTED_VALUE"""),15127281)</f>
        <v>15127281</v>
      </c>
      <c r="L849" s="2" t="str">
        <f ca="1">IFERROR(__xludf.DUMMYFUNCTION("""COMPUTED_VALUE"""),"001920912170000")</f>
        <v>001920912170000</v>
      </c>
      <c r="M849" s="2" t="str">
        <f ca="1">IFERROR(__xludf.DUMMYFUNCTION("""COMPUTED_VALUE"""),"1920912170000")</f>
        <v>1920912170000</v>
      </c>
      <c r="N849" s="1" t="str">
        <f ca="1">IFERROR(__xludf.DUMMYFUNCTION("""COMPUTED_VALUE"""),"EEEM LIBERDADE")</f>
        <v>EEEM LIBERDADE</v>
      </c>
      <c r="O849" s="1"/>
      <c r="P849" s="1"/>
      <c r="Q849" s="1" t="s">
        <v>822</v>
      </c>
    </row>
    <row r="850" spans="1:17" x14ac:dyDescent="0.25">
      <c r="A850" s="2" t="str">
        <f ca="1">IFERROR(__xludf.DUMMYFUNCTION("""COMPUTED_VALUE"""),"REG DE INTEGRA DO CARAJAS")</f>
        <v>REG DE INTEGRA DO CARAJAS</v>
      </c>
      <c r="B850" s="1" t="str">
        <f ca="1">IFERROR(__xludf.DUMMYFUNCTION("""COMPUTED_VALUE"""),"DRE MARABA")</f>
        <v>DRE MARABA</v>
      </c>
      <c r="C850" s="2" t="str">
        <f ca="1">IFERROR(__xludf.DUMMYFUNCTION("""COMPUTED_VALUE"""),"DRE - MARABA")</f>
        <v>DRE - MARABA</v>
      </c>
      <c r="D850" s="1"/>
      <c r="E850" s="2" t="str">
        <f ca="1">IFERROR(__xludf.DUMMYFUNCTION("""COMPUTED_VALUE"""),"DRE - MARABA")</f>
        <v>DRE - MARABA</v>
      </c>
      <c r="F850" s="1">
        <f ca="1">IFERROR(__xludf.DUMMYFUNCTION("""COMPUTED_VALUE"""),3)</f>
        <v>3</v>
      </c>
      <c r="G850" s="1" t="str">
        <f ca="1">IFERROR(__xludf.DUMMYFUNCTION("""COMPUTED_VALUE"""),"DRE MARABA")</f>
        <v>DRE MARABA</v>
      </c>
      <c r="H850" s="1" t="str">
        <f ca="1">IFERROR(__xludf.DUMMYFUNCTION("""COMPUTED_VALUE"""),"04A URE - MARABA")</f>
        <v>04A URE - MARABA</v>
      </c>
      <c r="I850" s="1"/>
      <c r="J850" s="1" t="str">
        <f ca="1">IFERROR(__xludf.DUMMYFUNCTION("""COMPUTED_VALUE"""),"MARABA")</f>
        <v>MARABA</v>
      </c>
      <c r="K850" s="1">
        <f ca="1">IFERROR(__xludf.DUMMYFUNCTION("""COMPUTED_VALUE"""),15169251)</f>
        <v>15169251</v>
      </c>
      <c r="L850" s="2" t="str">
        <f ca="1">IFERROR(__xludf.DUMMYFUNCTION("""COMPUTED_VALUE"""),"001920912170001")</f>
        <v>001920912170001</v>
      </c>
      <c r="M850" s="2" t="str">
        <f ca="1">IFERROR(__xludf.DUMMYFUNCTION("""COMPUTED_VALUE"""),"1920912170001")</f>
        <v>1920912170001</v>
      </c>
      <c r="N850" s="1" t="str">
        <f ca="1">IFERROR(__xludf.DUMMYFUNCTION("""COMPUTED_VALUE"""),"EEEM LIBERDADE ANEXO I")</f>
        <v>EEEM LIBERDADE ANEXO I</v>
      </c>
      <c r="O850" s="1"/>
      <c r="P850" s="1"/>
      <c r="Q850" s="1" t="s">
        <v>822</v>
      </c>
    </row>
    <row r="851" spans="1:17" x14ac:dyDescent="0.25">
      <c r="A851" s="2" t="str">
        <f ca="1">IFERROR(__xludf.DUMMYFUNCTION("""COMPUTED_VALUE"""),"REG DE INTEGRA DO CARAJAS")</f>
        <v>REG DE INTEGRA DO CARAJAS</v>
      </c>
      <c r="B851" s="1" t="str">
        <f ca="1">IFERROR(__xludf.DUMMYFUNCTION("""COMPUTED_VALUE"""),"DRE MARABA")</f>
        <v>DRE MARABA</v>
      </c>
      <c r="C851" s="2" t="str">
        <f ca="1">IFERROR(__xludf.DUMMYFUNCTION("""COMPUTED_VALUE"""),"DRE - MARABA")</f>
        <v>DRE - MARABA</v>
      </c>
      <c r="D851" s="1"/>
      <c r="E851" s="2" t="str">
        <f ca="1">IFERROR(__xludf.DUMMYFUNCTION("""COMPUTED_VALUE"""),"DRE - MARABA")</f>
        <v>DRE - MARABA</v>
      </c>
      <c r="F851" s="1">
        <f ca="1">IFERROR(__xludf.DUMMYFUNCTION("""COMPUTED_VALUE"""),3)</f>
        <v>3</v>
      </c>
      <c r="G851" s="1" t="str">
        <f ca="1">IFERROR(__xludf.DUMMYFUNCTION("""COMPUTED_VALUE"""),"DRE MARABA")</f>
        <v>DRE MARABA</v>
      </c>
      <c r="H851" s="1" t="str">
        <f ca="1">IFERROR(__xludf.DUMMYFUNCTION("""COMPUTED_VALUE"""),"04A URE - MARABA")</f>
        <v>04A URE - MARABA</v>
      </c>
      <c r="I851" s="1"/>
      <c r="J851" s="1" t="str">
        <f ca="1">IFERROR(__xludf.DUMMYFUNCTION("""COMPUTED_VALUE"""),"MARABA")</f>
        <v>MARABA</v>
      </c>
      <c r="K851" s="1">
        <f ca="1">IFERROR(__xludf.DUMMYFUNCTION("""COMPUTED_VALUE"""),15127753)</f>
        <v>15127753</v>
      </c>
      <c r="L851" s="2" t="str">
        <f ca="1">IFERROR(__xludf.DUMMYFUNCTION("""COMPUTED_VALUE"""),"001920929750000")</f>
        <v>001920929750000</v>
      </c>
      <c r="M851" s="2" t="str">
        <f ca="1">IFERROR(__xludf.DUMMYFUNCTION("""COMPUTED_VALUE"""),"1920929750000")</f>
        <v>1920929750000</v>
      </c>
      <c r="N851" s="1" t="str">
        <f ca="1">IFERROR(__xludf.DUMMYFUNCTION("""COMPUTED_VALUE"""),"EEEM LUZIA NUNES FERNANDES")</f>
        <v>EEEM LUZIA NUNES FERNANDES</v>
      </c>
      <c r="O851" s="1"/>
      <c r="P851" s="1"/>
      <c r="Q851" s="1" t="s">
        <v>822</v>
      </c>
    </row>
    <row r="852" spans="1:17" x14ac:dyDescent="0.25">
      <c r="A852" s="2" t="str">
        <f ca="1">IFERROR(__xludf.DUMMYFUNCTION("""COMPUTED_VALUE"""),"REG DE INTEGRA DO CARAJAS")</f>
        <v>REG DE INTEGRA DO CARAJAS</v>
      </c>
      <c r="B852" s="1" t="str">
        <f ca="1">IFERROR(__xludf.DUMMYFUNCTION("""COMPUTED_VALUE"""),"DRE MARABA")</f>
        <v>DRE MARABA</v>
      </c>
      <c r="C852" s="2" t="str">
        <f ca="1">IFERROR(__xludf.DUMMYFUNCTION("""COMPUTED_VALUE"""),"DRE - MARABA")</f>
        <v>DRE - MARABA</v>
      </c>
      <c r="D852" s="1"/>
      <c r="E852" s="2" t="str">
        <f ca="1">IFERROR(__xludf.DUMMYFUNCTION("""COMPUTED_VALUE"""),"DRE - MARABA")</f>
        <v>DRE - MARABA</v>
      </c>
      <c r="F852" s="1">
        <f ca="1">IFERROR(__xludf.DUMMYFUNCTION("""COMPUTED_VALUE"""),3)</f>
        <v>3</v>
      </c>
      <c r="G852" s="1" t="str">
        <f ca="1">IFERROR(__xludf.DUMMYFUNCTION("""COMPUTED_VALUE"""),"DRE MARABA")</f>
        <v>DRE MARABA</v>
      </c>
      <c r="H852" s="1" t="str">
        <f ca="1">IFERROR(__xludf.DUMMYFUNCTION("""COMPUTED_VALUE"""),"04A URE - MARABA")</f>
        <v>04A URE - MARABA</v>
      </c>
      <c r="I852" s="1"/>
      <c r="J852" s="1" t="str">
        <f ca="1">IFERROR(__xludf.DUMMYFUNCTION("""COMPUTED_VALUE"""),"MARABA")</f>
        <v>MARABA</v>
      </c>
      <c r="K852" s="1">
        <f ca="1">IFERROR(__xludf.DUMMYFUNCTION("""COMPUTED_VALUE"""),15127079)</f>
        <v>15127079</v>
      </c>
      <c r="L852" s="2" t="str">
        <f ca="1">IFERROR(__xludf.DUMMYFUNCTION("""COMPUTED_VALUE"""),"001920932010000")</f>
        <v>001920932010000</v>
      </c>
      <c r="M852" s="2" t="str">
        <f ca="1">IFERROR(__xludf.DUMMYFUNCTION("""COMPUTED_VALUE"""),"1920932010000")</f>
        <v>1920932010000</v>
      </c>
      <c r="N852" s="1" t="str">
        <f ca="1">IFERROR(__xludf.DUMMYFUNCTION("""COMPUTED_VALUE"""),"EEEM O PEQUENO PRINCIPE")</f>
        <v>EEEM O PEQUENO PRINCIPE</v>
      </c>
      <c r="O852" s="1"/>
      <c r="P852" s="1"/>
      <c r="Q852" s="1" t="s">
        <v>822</v>
      </c>
    </row>
    <row r="853" spans="1:17" x14ac:dyDescent="0.25">
      <c r="A853" s="2" t="str">
        <f ca="1">IFERROR(__xludf.DUMMYFUNCTION("""COMPUTED_VALUE"""),"REG DE INTEGRA DO CARAJAS")</f>
        <v>REG DE INTEGRA DO CARAJAS</v>
      </c>
      <c r="B853" s="1" t="str">
        <f ca="1">IFERROR(__xludf.DUMMYFUNCTION("""COMPUTED_VALUE"""),"DRE MARABA")</f>
        <v>DRE MARABA</v>
      </c>
      <c r="C853" s="2" t="str">
        <f ca="1">IFERROR(__xludf.DUMMYFUNCTION("""COMPUTED_VALUE"""),"DRE - MARABA")</f>
        <v>DRE - MARABA</v>
      </c>
      <c r="D853" s="1"/>
      <c r="E853" s="2" t="str">
        <f ca="1">IFERROR(__xludf.DUMMYFUNCTION("""COMPUTED_VALUE"""),"DRE - MARABA")</f>
        <v>DRE - MARABA</v>
      </c>
      <c r="F853" s="1">
        <f ca="1">IFERROR(__xludf.DUMMYFUNCTION("""COMPUTED_VALUE"""),3)</f>
        <v>3</v>
      </c>
      <c r="G853" s="1" t="str">
        <f ca="1">IFERROR(__xludf.DUMMYFUNCTION("""COMPUTED_VALUE"""),"DRE MARABA")</f>
        <v>DRE MARABA</v>
      </c>
      <c r="H853" s="1" t="str">
        <f ca="1">IFERROR(__xludf.DUMMYFUNCTION("""COMPUTED_VALUE"""),"04A URE - MARABA")</f>
        <v>04A URE - MARABA</v>
      </c>
      <c r="I853" s="1"/>
      <c r="J853" s="1" t="str">
        <f ca="1">IFERROR(__xludf.DUMMYFUNCTION("""COMPUTED_VALUE"""),"MARABA")</f>
        <v>MARABA</v>
      </c>
      <c r="K853" s="1">
        <f ca="1">IFERROR(__xludf.DUMMYFUNCTION("""COMPUTED_VALUE"""),15127729)</f>
        <v>15127729</v>
      </c>
      <c r="L853" s="2" t="str">
        <f ca="1">IFERROR(__xludf.DUMMYFUNCTION("""COMPUTED_VALUE"""),"001920911590000")</f>
        <v>001920911590000</v>
      </c>
      <c r="M853" s="2" t="str">
        <f ca="1">IFERROR(__xludf.DUMMYFUNCTION("""COMPUTED_VALUE"""),"1920911590000")</f>
        <v>1920911590000</v>
      </c>
      <c r="N853" s="1" t="str">
        <f ca="1">IFERROR(__xludf.DUMMYFUNCTION("""COMPUTED_VALUE"""),"EEEM PLINIO PINHEIRO")</f>
        <v>EEEM PLINIO PINHEIRO</v>
      </c>
      <c r="O853" s="1"/>
      <c r="P853" s="1"/>
      <c r="Q853" s="1" t="s">
        <v>822</v>
      </c>
    </row>
    <row r="854" spans="1:17" x14ac:dyDescent="0.25">
      <c r="A854" s="2" t="str">
        <f ca="1">IFERROR(__xludf.DUMMYFUNCTION("""COMPUTED_VALUE"""),"REG DE INTEGRA DO CARAJAS")</f>
        <v>REG DE INTEGRA DO CARAJAS</v>
      </c>
      <c r="B854" s="1" t="str">
        <f ca="1">IFERROR(__xludf.DUMMYFUNCTION("""COMPUTED_VALUE"""),"DRE MARABA")</f>
        <v>DRE MARABA</v>
      </c>
      <c r="C854" s="2" t="str">
        <f ca="1">IFERROR(__xludf.DUMMYFUNCTION("""COMPUTED_VALUE"""),"DRE - MARABA")</f>
        <v>DRE - MARABA</v>
      </c>
      <c r="D854" s="1"/>
      <c r="E854" s="2" t="str">
        <f ca="1">IFERROR(__xludf.DUMMYFUNCTION("""COMPUTED_VALUE"""),"DRE - MARABA")</f>
        <v>DRE - MARABA</v>
      </c>
      <c r="F854" s="1">
        <f ca="1">IFERROR(__xludf.DUMMYFUNCTION("""COMPUTED_VALUE"""),3)</f>
        <v>3</v>
      </c>
      <c r="G854" s="1" t="str">
        <f ca="1">IFERROR(__xludf.DUMMYFUNCTION("""COMPUTED_VALUE"""),"DRE MARABA")</f>
        <v>DRE MARABA</v>
      </c>
      <c r="H854" s="1" t="str">
        <f ca="1">IFERROR(__xludf.DUMMYFUNCTION("""COMPUTED_VALUE"""),"04A URE - MARABA")</f>
        <v>04A URE - MARABA</v>
      </c>
      <c r="I854" s="1"/>
      <c r="J854" s="1" t="str">
        <f ca="1">IFERROR(__xludf.DUMMYFUNCTION("""COMPUTED_VALUE"""),"MARABA")</f>
        <v>MARABA</v>
      </c>
      <c r="K854" s="1">
        <f ca="1">IFERROR(__xludf.DUMMYFUNCTION("""COMPUTED_VALUE"""),15127311)</f>
        <v>15127311</v>
      </c>
      <c r="L854" s="2" t="str">
        <f ca="1">IFERROR(__xludf.DUMMYFUNCTION("""COMPUTED_VALUE"""),"001920928170000")</f>
        <v>001920928170000</v>
      </c>
      <c r="M854" s="2" t="str">
        <f ca="1">IFERROR(__xludf.DUMMYFUNCTION("""COMPUTED_VALUE"""),"1920928170000")</f>
        <v>1920928170000</v>
      </c>
      <c r="N854" s="1" t="str">
        <f ca="1">IFERROR(__xludf.DUMMYFUNCTION("""COMPUTED_VALUE"""),"EEEM PROF ANISIO TEIXEIRA")</f>
        <v>EEEM PROF ANISIO TEIXEIRA</v>
      </c>
      <c r="O854" s="1"/>
      <c r="P854" s="1"/>
      <c r="Q854" s="1" t="s">
        <v>822</v>
      </c>
    </row>
    <row r="855" spans="1:17" x14ac:dyDescent="0.25">
      <c r="A855" s="2" t="str">
        <f ca="1">IFERROR(__xludf.DUMMYFUNCTION("""COMPUTED_VALUE"""),"REG DE INTEGRA DO CARAJAS")</f>
        <v>REG DE INTEGRA DO CARAJAS</v>
      </c>
      <c r="B855" s="1" t="str">
        <f ca="1">IFERROR(__xludf.DUMMYFUNCTION("""COMPUTED_VALUE"""),"DRE MARABA")</f>
        <v>DRE MARABA</v>
      </c>
      <c r="C855" s="2" t="str">
        <f ca="1">IFERROR(__xludf.DUMMYFUNCTION("""COMPUTED_VALUE"""),"DRE - MARABA")</f>
        <v>DRE - MARABA</v>
      </c>
      <c r="D855" s="1"/>
      <c r="E855" s="2" t="str">
        <f ca="1">IFERROR(__xludf.DUMMYFUNCTION("""COMPUTED_VALUE"""),"DRE - MARABA")</f>
        <v>DRE - MARABA</v>
      </c>
      <c r="F855" s="1">
        <f ca="1">IFERROR(__xludf.DUMMYFUNCTION("""COMPUTED_VALUE"""),3)</f>
        <v>3</v>
      </c>
      <c r="G855" s="1" t="str">
        <f ca="1">IFERROR(__xludf.DUMMYFUNCTION("""COMPUTED_VALUE"""),"DRE MARABA")</f>
        <v>DRE MARABA</v>
      </c>
      <c r="H855" s="1" t="str">
        <f ca="1">IFERROR(__xludf.DUMMYFUNCTION("""COMPUTED_VALUE"""),"04A URE - MARABA")</f>
        <v>04A URE - MARABA</v>
      </c>
      <c r="I855" s="1"/>
      <c r="J855" s="1" t="str">
        <f ca="1">IFERROR(__xludf.DUMMYFUNCTION("""COMPUTED_VALUE"""),"MARABA")</f>
        <v>MARABA</v>
      </c>
      <c r="K855" s="1">
        <f ca="1">IFERROR(__xludf.DUMMYFUNCTION("""COMPUTED_VALUE"""),15127907)</f>
        <v>15127907</v>
      </c>
      <c r="L855" s="2" t="str">
        <f ca="1">IFERROR(__xludf.DUMMYFUNCTION("""COMPUTED_VALUE"""),"001920912290000")</f>
        <v>001920912290000</v>
      </c>
      <c r="M855" s="2" t="str">
        <f ca="1">IFERROR(__xludf.DUMMYFUNCTION("""COMPUTED_VALUE"""),"1920912290000")</f>
        <v>1920912290000</v>
      </c>
      <c r="N855" s="1" t="str">
        <f ca="1">IFERROR(__xludf.DUMMYFUNCTION("""COMPUTED_VALUE"""),"EEEM PROF JONATHAS PONTES ATHIAS")</f>
        <v>EEEM PROF JONATHAS PONTES ATHIAS</v>
      </c>
      <c r="O855" s="1"/>
      <c r="P855" s="1"/>
      <c r="Q855" s="1" t="s">
        <v>822</v>
      </c>
    </row>
    <row r="856" spans="1:17" x14ac:dyDescent="0.25">
      <c r="A856" s="2" t="str">
        <f ca="1">IFERROR(__xludf.DUMMYFUNCTION("""COMPUTED_VALUE"""),"REG DE INTEGRA DO CARAJAS")</f>
        <v>REG DE INTEGRA DO CARAJAS</v>
      </c>
      <c r="B856" s="1" t="str">
        <f ca="1">IFERROR(__xludf.DUMMYFUNCTION("""COMPUTED_VALUE"""),"DRE MARABA")</f>
        <v>DRE MARABA</v>
      </c>
      <c r="C856" s="2" t="str">
        <f ca="1">IFERROR(__xludf.DUMMYFUNCTION("""COMPUTED_VALUE"""),"DRE - MARABA")</f>
        <v>DRE - MARABA</v>
      </c>
      <c r="D856" s="1"/>
      <c r="E856" s="2" t="str">
        <f ca="1">IFERROR(__xludf.DUMMYFUNCTION("""COMPUTED_VALUE"""),"DRE - MARABA")</f>
        <v>DRE - MARABA</v>
      </c>
      <c r="F856" s="1">
        <f ca="1">IFERROR(__xludf.DUMMYFUNCTION("""COMPUTED_VALUE"""),3)</f>
        <v>3</v>
      </c>
      <c r="G856" s="1" t="str">
        <f ca="1">IFERROR(__xludf.DUMMYFUNCTION("""COMPUTED_VALUE"""),"DRE MARABA")</f>
        <v>DRE MARABA</v>
      </c>
      <c r="H856" s="1" t="str">
        <f ca="1">IFERROR(__xludf.DUMMYFUNCTION("""COMPUTED_VALUE"""),"04A URE - MARABA")</f>
        <v>04A URE - MARABA</v>
      </c>
      <c r="I856" s="1"/>
      <c r="J856" s="1" t="str">
        <f ca="1">IFERROR(__xludf.DUMMYFUNCTION("""COMPUTED_VALUE"""),"MARABA")</f>
        <v>MARABA</v>
      </c>
      <c r="K856" s="1">
        <f ca="1">IFERROR(__xludf.DUMMYFUNCTION("""COMPUTED_VALUE"""),15127613)</f>
        <v>15127613</v>
      </c>
      <c r="L856" s="2" t="str">
        <f ca="1">IFERROR(__xludf.DUMMYFUNCTION("""COMPUTED_VALUE"""),"001920911620000")</f>
        <v>001920911620000</v>
      </c>
      <c r="M856" s="2" t="str">
        <f ca="1">IFERROR(__xludf.DUMMYFUNCTION("""COMPUTED_VALUE"""),"1920911620000")</f>
        <v>1920911620000</v>
      </c>
      <c r="N856" s="1" t="str">
        <f ca="1">IFERROR(__xludf.DUMMYFUNCTION("""COMPUTED_VALUE"""),"EEEM PROF ONEIDE DE SOUZA TAVARES")</f>
        <v>EEEM PROF ONEIDE DE SOUZA TAVARES</v>
      </c>
      <c r="O856" s="1"/>
      <c r="P856" s="1"/>
      <c r="Q856" s="1" t="s">
        <v>822</v>
      </c>
    </row>
    <row r="857" spans="1:17" x14ac:dyDescent="0.25">
      <c r="A857" s="2" t="str">
        <f ca="1">IFERROR(__xludf.DUMMYFUNCTION("""COMPUTED_VALUE"""),"REG DE INTEGRA DO CARAJAS")</f>
        <v>REG DE INTEGRA DO CARAJAS</v>
      </c>
      <c r="B857" s="1" t="str">
        <f ca="1">IFERROR(__xludf.DUMMYFUNCTION("""COMPUTED_VALUE"""),"DRE MARABA")</f>
        <v>DRE MARABA</v>
      </c>
      <c r="C857" s="2" t="str">
        <f ca="1">IFERROR(__xludf.DUMMYFUNCTION("""COMPUTED_VALUE"""),"DRE - MARABA")</f>
        <v>DRE - MARABA</v>
      </c>
      <c r="D857" s="1"/>
      <c r="E857" s="2" t="str">
        <f ca="1">IFERROR(__xludf.DUMMYFUNCTION("""COMPUTED_VALUE"""),"DRE - MARABA")</f>
        <v>DRE - MARABA</v>
      </c>
      <c r="F857" s="1">
        <f ca="1">IFERROR(__xludf.DUMMYFUNCTION("""COMPUTED_VALUE"""),3)</f>
        <v>3</v>
      </c>
      <c r="G857" s="1" t="str">
        <f ca="1">IFERROR(__xludf.DUMMYFUNCTION("""COMPUTED_VALUE"""),"DRE MARABA")</f>
        <v>DRE MARABA</v>
      </c>
      <c r="H857" s="1" t="str">
        <f ca="1">IFERROR(__xludf.DUMMYFUNCTION("""COMPUTED_VALUE"""),"04A URE - MARABA")</f>
        <v>04A URE - MARABA</v>
      </c>
      <c r="I857" s="1"/>
      <c r="J857" s="1" t="str">
        <f ca="1">IFERROR(__xludf.DUMMYFUNCTION("""COMPUTED_VALUE"""),"MARABA")</f>
        <v>MARABA</v>
      </c>
      <c r="K857" s="1">
        <f ca="1">IFERROR(__xludf.DUMMYFUNCTION("""COMPUTED_VALUE"""),15127648)</f>
        <v>15127648</v>
      </c>
      <c r="L857" s="2" t="str">
        <f ca="1">IFERROR(__xludf.DUMMYFUNCTION("""COMPUTED_VALUE"""),"001920912050000")</f>
        <v>001920912050000</v>
      </c>
      <c r="M857" s="2" t="str">
        <f ca="1">IFERROR(__xludf.DUMMYFUNCTION("""COMPUTED_VALUE"""),"1920912050000")</f>
        <v>1920912050000</v>
      </c>
      <c r="N857" s="1" t="str">
        <f ca="1">IFERROR(__xludf.DUMMYFUNCTION("""COMPUTED_VALUE"""),"EEEM PROF PAULO FREIRE")</f>
        <v>EEEM PROF PAULO FREIRE</v>
      </c>
      <c r="O857" s="1"/>
      <c r="P857" s="1"/>
      <c r="Q857" s="1" t="s">
        <v>822</v>
      </c>
    </row>
    <row r="858" spans="1:17" x14ac:dyDescent="0.25">
      <c r="A858" s="2" t="str">
        <f ca="1">IFERROR(__xludf.DUMMYFUNCTION("""COMPUTED_VALUE"""),"REG DE INTEGRA DO CARAJAS")</f>
        <v>REG DE INTEGRA DO CARAJAS</v>
      </c>
      <c r="B858" s="1" t="str">
        <f ca="1">IFERROR(__xludf.DUMMYFUNCTION("""COMPUTED_VALUE"""),"DRE MARABA")</f>
        <v>DRE MARABA</v>
      </c>
      <c r="C858" s="2" t="str">
        <f ca="1">IFERROR(__xludf.DUMMYFUNCTION("""COMPUTED_VALUE"""),"DRE - MARABA")</f>
        <v>DRE - MARABA</v>
      </c>
      <c r="D858" s="1"/>
      <c r="E858" s="2" t="str">
        <f ca="1">IFERROR(__xludf.DUMMYFUNCTION("""COMPUTED_VALUE"""),"DRE - MARABA")</f>
        <v>DRE - MARABA</v>
      </c>
      <c r="F858" s="1">
        <f ca="1">IFERROR(__xludf.DUMMYFUNCTION("""COMPUTED_VALUE"""),3)</f>
        <v>3</v>
      </c>
      <c r="G858" s="1" t="str">
        <f ca="1">IFERROR(__xludf.DUMMYFUNCTION("""COMPUTED_VALUE"""),"DRE MARABA")</f>
        <v>DRE MARABA</v>
      </c>
      <c r="H858" s="1" t="str">
        <f ca="1">IFERROR(__xludf.DUMMYFUNCTION("""COMPUTED_VALUE"""),"04A URE - MARABA")</f>
        <v>04A URE - MARABA</v>
      </c>
      <c r="I858" s="1"/>
      <c r="J858" s="1" t="str">
        <f ca="1">IFERROR(__xludf.DUMMYFUNCTION("""COMPUTED_VALUE"""),"MARABA")</f>
        <v>MARABA</v>
      </c>
      <c r="K858" s="1">
        <f ca="1">IFERROR(__xludf.DUMMYFUNCTION("""COMPUTED_VALUE"""),15127664)</f>
        <v>15127664</v>
      </c>
      <c r="L858" s="2" t="str">
        <f ca="1">IFERROR(__xludf.DUMMYFUNCTION("""COMPUTED_VALUE"""),"001920911750000")</f>
        <v>001920911750000</v>
      </c>
      <c r="M858" s="2" t="str">
        <f ca="1">IFERROR(__xludf.DUMMYFUNCTION("""COMPUTED_VALUE"""),"1920911750000")</f>
        <v>1920911750000</v>
      </c>
      <c r="N858" s="1" t="str">
        <f ca="1">IFERROR(__xludf.DUMMYFUNCTION("""COMPUTED_VALUE"""),"EEEM PROF SALOME CARVALHO")</f>
        <v>EEEM PROF SALOME CARVALHO</v>
      </c>
      <c r="O858" s="1"/>
      <c r="P858" s="1"/>
      <c r="Q858" s="1" t="s">
        <v>822</v>
      </c>
    </row>
    <row r="859" spans="1:17" x14ac:dyDescent="0.25">
      <c r="A859" s="2" t="str">
        <f ca="1">IFERROR(__xludf.DUMMYFUNCTION("""COMPUTED_VALUE"""),"REG DE INTEGRA DO CARAJAS")</f>
        <v>REG DE INTEGRA DO CARAJAS</v>
      </c>
      <c r="B859" s="1" t="str">
        <f ca="1">IFERROR(__xludf.DUMMYFUNCTION("""COMPUTED_VALUE"""),"DRE MARABA")</f>
        <v>DRE MARABA</v>
      </c>
      <c r="C859" s="2" t="str">
        <f ca="1">IFERROR(__xludf.DUMMYFUNCTION("""COMPUTED_VALUE"""),"DRE - MARABA")</f>
        <v>DRE - MARABA</v>
      </c>
      <c r="D859" s="1"/>
      <c r="E859" s="2" t="str">
        <f ca="1">IFERROR(__xludf.DUMMYFUNCTION("""COMPUTED_VALUE"""),"DRE - MARABA")</f>
        <v>DRE - MARABA</v>
      </c>
      <c r="F859" s="1">
        <f ca="1">IFERROR(__xludf.DUMMYFUNCTION("""COMPUTED_VALUE"""),3)</f>
        <v>3</v>
      </c>
      <c r="G859" s="1" t="str">
        <f ca="1">IFERROR(__xludf.DUMMYFUNCTION("""COMPUTED_VALUE"""),"DRE MARABA")</f>
        <v>DRE MARABA</v>
      </c>
      <c r="H859" s="1" t="str">
        <f ca="1">IFERROR(__xludf.DUMMYFUNCTION("""COMPUTED_VALUE"""),"04A URE - MARABA")</f>
        <v>04A URE - MARABA</v>
      </c>
      <c r="I859" s="1"/>
      <c r="J859" s="1" t="str">
        <f ca="1">IFERROR(__xludf.DUMMYFUNCTION("""COMPUTED_VALUE"""),"MARABA")</f>
        <v>MARABA</v>
      </c>
      <c r="K859" s="1">
        <f ca="1">IFERROR(__xludf.DUMMYFUNCTION("""COMPUTED_VALUE"""),15547191)</f>
        <v>15547191</v>
      </c>
      <c r="L859" s="2" t="str">
        <f ca="1">IFERROR(__xludf.DUMMYFUNCTION("""COMPUTED_VALUE"""),"001920929480000")</f>
        <v>001920929480000</v>
      </c>
      <c r="M859" s="2" t="str">
        <f ca="1">IFERROR(__xludf.DUMMYFUNCTION("""COMPUTED_VALUE"""),"1920929480000")</f>
        <v>1920929480000</v>
      </c>
      <c r="N859" s="1" t="str">
        <f ca="1">IFERROR(__xludf.DUMMYFUNCTION("""COMPUTED_VALUE"""),"EEEM RIO TOCANTINS - CAIC")</f>
        <v>EEEM RIO TOCANTINS - CAIC</v>
      </c>
      <c r="O859" s="1"/>
      <c r="P859" s="1"/>
      <c r="Q859" s="1" t="s">
        <v>822</v>
      </c>
    </row>
    <row r="860" spans="1:17" x14ac:dyDescent="0.25">
      <c r="A860" s="2" t="str">
        <f ca="1">IFERROR(__xludf.DUMMYFUNCTION("""COMPUTED_VALUE"""),"REG DE INTEGRA DO CARAJAS")</f>
        <v>REG DE INTEGRA DO CARAJAS</v>
      </c>
      <c r="B860" s="1" t="str">
        <f ca="1">IFERROR(__xludf.DUMMYFUNCTION("""COMPUTED_VALUE"""),"DRE MARABA")</f>
        <v>DRE MARABA</v>
      </c>
      <c r="C860" s="2" t="str">
        <f ca="1">IFERROR(__xludf.DUMMYFUNCTION("""COMPUTED_VALUE"""),"DRE - MARABA")</f>
        <v>DRE - MARABA</v>
      </c>
      <c r="D860" s="1"/>
      <c r="E860" s="2" t="str">
        <f ca="1">IFERROR(__xludf.DUMMYFUNCTION("""COMPUTED_VALUE"""),"DRE - MARABA")</f>
        <v>DRE - MARABA</v>
      </c>
      <c r="F860" s="1">
        <f ca="1">IFERROR(__xludf.DUMMYFUNCTION("""COMPUTED_VALUE"""),3)</f>
        <v>3</v>
      </c>
      <c r="G860" s="1" t="str">
        <f ca="1">IFERROR(__xludf.DUMMYFUNCTION("""COMPUTED_VALUE"""),"DRE MARABA")</f>
        <v>DRE MARABA</v>
      </c>
      <c r="H860" s="1" t="str">
        <f ca="1">IFERROR(__xludf.DUMMYFUNCTION("""COMPUTED_VALUE"""),"04A URE - MARABA")</f>
        <v>04A URE - MARABA</v>
      </c>
      <c r="I860" s="1"/>
      <c r="J860" s="1" t="str">
        <f ca="1">IFERROR(__xludf.DUMMYFUNCTION("""COMPUTED_VALUE"""),"MARABA")</f>
        <v>MARABA</v>
      </c>
      <c r="K860" s="1">
        <f ca="1">IFERROR(__xludf.DUMMYFUNCTION("""COMPUTED_VALUE"""),15161455)</f>
        <v>15161455</v>
      </c>
      <c r="L860" s="2" t="str">
        <f ca="1">IFERROR(__xludf.DUMMYFUNCTION("""COMPUTED_VALUE"""),"001920937700000")</f>
        <v>001920937700000</v>
      </c>
      <c r="M860" s="2" t="str">
        <f ca="1">IFERROR(__xludf.DUMMYFUNCTION("""COMPUTED_VALUE"""),"1920937700000")</f>
        <v>1920937700000</v>
      </c>
      <c r="N860" s="1" t="str">
        <f ca="1">IFERROR(__xludf.DUMMYFUNCTION("""COMPUTED_VALUE"""),"EEEM SAO JOSE")</f>
        <v>EEEM SAO JOSE</v>
      </c>
      <c r="O860" s="1"/>
      <c r="P860" s="1"/>
      <c r="Q860" s="1" t="s">
        <v>822</v>
      </c>
    </row>
    <row r="861" spans="1:17" x14ac:dyDescent="0.25">
      <c r="A861" s="2" t="str">
        <f ca="1">IFERROR(__xludf.DUMMYFUNCTION("""COMPUTED_VALUE"""),"REG DE INTEGRA DO CARAJAS")</f>
        <v>REG DE INTEGRA DO CARAJAS</v>
      </c>
      <c r="B861" s="1" t="str">
        <f ca="1">IFERROR(__xludf.DUMMYFUNCTION("""COMPUTED_VALUE"""),"DRE MARABA")</f>
        <v>DRE MARABA</v>
      </c>
      <c r="C861" s="2" t="str">
        <f ca="1">IFERROR(__xludf.DUMMYFUNCTION("""COMPUTED_VALUE"""),"DRE - MARABA")</f>
        <v>DRE - MARABA</v>
      </c>
      <c r="D861" s="1"/>
      <c r="E861" s="2" t="str">
        <f ca="1">IFERROR(__xludf.DUMMYFUNCTION("""COMPUTED_VALUE"""),"DRE - MARABA")</f>
        <v>DRE - MARABA</v>
      </c>
      <c r="F861" s="1">
        <f ca="1">IFERROR(__xludf.DUMMYFUNCTION("""COMPUTED_VALUE"""),3)</f>
        <v>3</v>
      </c>
      <c r="G861" s="1" t="str">
        <f ca="1">IFERROR(__xludf.DUMMYFUNCTION("""COMPUTED_VALUE"""),"DRE MARABA")</f>
        <v>DRE MARABA</v>
      </c>
      <c r="H861" s="1" t="str">
        <f ca="1">IFERROR(__xludf.DUMMYFUNCTION("""COMPUTED_VALUE"""),"04A URE - MARABA")</f>
        <v>04A URE - MARABA</v>
      </c>
      <c r="I861" s="1"/>
      <c r="J861" s="1" t="str">
        <f ca="1">IFERROR(__xludf.DUMMYFUNCTION("""COMPUTED_VALUE"""),"MARABA")</f>
        <v>MARABA</v>
      </c>
      <c r="K861" s="1">
        <f ca="1">IFERROR(__xludf.DUMMYFUNCTION("""COMPUTED_VALUE"""),15147223)</f>
        <v>15147223</v>
      </c>
      <c r="L861" s="2" t="str">
        <f ca="1">IFERROR(__xludf.DUMMYFUNCTION("""COMPUTED_VALUE"""),"001920928920000")</f>
        <v>001920928920000</v>
      </c>
      <c r="M861" s="2" t="str">
        <f ca="1">IFERROR(__xludf.DUMMYFUNCTION("""COMPUTED_VALUE"""),"1920928920000")</f>
        <v>1920928920000</v>
      </c>
      <c r="N861" s="1" t="str">
        <f ca="1">IFERROR(__xludf.DUMMYFUNCTION("""COMPUTED_VALUE"""),"EEEM WALKISE DA SILVEIRA VIANNA")</f>
        <v>EEEM WALKISE DA SILVEIRA VIANNA</v>
      </c>
      <c r="O861" s="1"/>
      <c r="P861" s="1"/>
      <c r="Q861" s="1" t="s">
        <v>822</v>
      </c>
    </row>
    <row r="862" spans="1:17" x14ac:dyDescent="0.25">
      <c r="A862" s="2" t="str">
        <f ca="1">IFERROR(__xludf.DUMMYFUNCTION("""COMPUTED_VALUE"""),"REG DE INTEGRA DO CARAJAS")</f>
        <v>REG DE INTEGRA DO CARAJAS</v>
      </c>
      <c r="B862" s="1" t="str">
        <f ca="1">IFERROR(__xludf.DUMMYFUNCTION("""COMPUTED_VALUE"""),"DRE MARABA")</f>
        <v>DRE MARABA</v>
      </c>
      <c r="C862" s="2" t="str">
        <f ca="1">IFERROR(__xludf.DUMMYFUNCTION("""COMPUTED_VALUE"""),"DRE - MARABA")</f>
        <v>DRE - MARABA</v>
      </c>
      <c r="D862" s="1"/>
      <c r="E862" s="2" t="str">
        <f ca="1">IFERROR(__xludf.DUMMYFUNCTION("""COMPUTED_VALUE"""),"DRE - MARABA")</f>
        <v>DRE - MARABA</v>
      </c>
      <c r="F862" s="1"/>
      <c r="G862" s="1"/>
      <c r="H862" s="1" t="str">
        <f ca="1">IFERROR(__xludf.DUMMYFUNCTION("""COMPUTED_VALUE"""),"04A URE - MARABA")</f>
        <v>04A URE - MARABA</v>
      </c>
      <c r="I862" s="1"/>
      <c r="J862" s="1" t="str">
        <f ca="1">IFERROR(__xludf.DUMMYFUNCTION("""COMPUTED_VALUE"""),"MARABA")</f>
        <v>MARABA</v>
      </c>
      <c r="K862" s="1"/>
      <c r="L862" s="2" t="str">
        <f ca="1">IFERROR(__xludf.DUMMYFUNCTION("""COMPUTED_VALUE"""),"001920977000000")</f>
        <v>001920977000000</v>
      </c>
      <c r="M862" s="2" t="str">
        <f ca="1">IFERROR(__xludf.DUMMYFUNCTION("""COMPUTED_VALUE"""),"1920977000000")</f>
        <v>1920977000000</v>
      </c>
      <c r="N862" s="1" t="str">
        <f ca="1">IFERROR(__xludf.DUMMYFUNCTION("""COMPUTED_VALUE"""),"ESCOLA ESTADUAL RURAL DE MARABA")</f>
        <v>ESCOLA ESTADUAL RURAL DE MARABA</v>
      </c>
      <c r="O862" s="1"/>
      <c r="P862" s="1"/>
      <c r="Q862" s="1" t="s">
        <v>822</v>
      </c>
    </row>
    <row r="863" spans="1:17" x14ac:dyDescent="0.25">
      <c r="A863" s="2" t="str">
        <f ca="1">IFERROR(__xludf.DUMMYFUNCTION("""COMPUTED_VALUE"""),"REG DE INT DO LAGO DE TUCURUI")</f>
        <v>REG DE INT DO LAGO DE TUCURUI</v>
      </c>
      <c r="B863" s="1" t="str">
        <f ca="1">IFERROR(__xludf.DUMMYFUNCTION("""COMPUTED_VALUE"""),"DRE MARABA")</f>
        <v>DRE MARABA</v>
      </c>
      <c r="C863" s="2" t="str">
        <f ca="1">IFERROR(__xludf.DUMMYFUNCTION("""COMPUTED_VALUE"""),"DRE - MARABA")</f>
        <v>DRE - MARABA</v>
      </c>
      <c r="D863" s="1"/>
      <c r="E863" s="2" t="str">
        <f ca="1">IFERROR(__xludf.DUMMYFUNCTION("""COMPUTED_VALUE"""),"DRE - MARABA")</f>
        <v>DRE - MARABA</v>
      </c>
      <c r="F863" s="1">
        <f ca="1">IFERROR(__xludf.DUMMYFUNCTION("""COMPUTED_VALUE"""),3)</f>
        <v>3</v>
      </c>
      <c r="G863" s="1"/>
      <c r="H863" s="1" t="str">
        <f ca="1">IFERROR(__xludf.DUMMYFUNCTION("""COMPUTED_VALUE"""),"04A URE - MARABA")</f>
        <v>04A URE - MARABA</v>
      </c>
      <c r="I863" s="1"/>
      <c r="J863" s="1" t="str">
        <f ca="1">IFERROR(__xludf.DUMMYFUNCTION("""COMPUTED_VALUE"""),"NOVA IPIXUNA")</f>
        <v>NOVA IPIXUNA</v>
      </c>
      <c r="K863" s="1">
        <f ca="1">IFERROR(__xludf.DUMMYFUNCTION("""COMPUTED_VALUE"""),15177823)</f>
        <v>15177823</v>
      </c>
      <c r="L863" s="2" t="str">
        <f ca="1">IFERROR(__xludf.DUMMYFUNCTION("""COMPUTED_VALUE"""),"001920913060001")</f>
        <v>001920913060001</v>
      </c>
      <c r="M863" s="2" t="str">
        <f ca="1">IFERROR(__xludf.DUMMYFUNCTION("""COMPUTED_VALUE"""),"1920913060001")</f>
        <v>1920913060001</v>
      </c>
      <c r="N863" s="1" t="str">
        <f ca="1">IFERROR(__xludf.DUMMYFUNCTION("""COMPUTED_VALUE"""),"ANEXO RURAL MARIA IRANY RODRIGUES DA SILVA")</f>
        <v>ANEXO RURAL MARIA IRANY RODRIGUES DA SILVA</v>
      </c>
      <c r="O863" s="1"/>
      <c r="P863" s="1"/>
      <c r="Q863" s="1" t="s">
        <v>822</v>
      </c>
    </row>
    <row r="864" spans="1:17" x14ac:dyDescent="0.25">
      <c r="A864" s="2" t="str">
        <f ca="1">IFERROR(__xludf.DUMMYFUNCTION("""COMPUTED_VALUE"""),"REG DE INT DO LAGO DE TUCURUI")</f>
        <v>REG DE INT DO LAGO DE TUCURUI</v>
      </c>
      <c r="B864" s="1" t="str">
        <f ca="1">IFERROR(__xludf.DUMMYFUNCTION("""COMPUTED_VALUE"""),"DRE MARABA")</f>
        <v>DRE MARABA</v>
      </c>
      <c r="C864" s="2" t="str">
        <f ca="1">IFERROR(__xludf.DUMMYFUNCTION("""COMPUTED_VALUE"""),"DRE - MARABA")</f>
        <v>DRE - MARABA</v>
      </c>
      <c r="D864" s="1"/>
      <c r="E864" s="2" t="str">
        <f ca="1">IFERROR(__xludf.DUMMYFUNCTION("""COMPUTED_VALUE"""),"DRE - MARABA")</f>
        <v>DRE - MARABA</v>
      </c>
      <c r="F864" s="1">
        <f ca="1">IFERROR(__xludf.DUMMYFUNCTION("""COMPUTED_VALUE"""),3)</f>
        <v>3</v>
      </c>
      <c r="G864" s="1" t="str">
        <f ca="1">IFERROR(__xludf.DUMMYFUNCTION("""COMPUTED_VALUE"""),"DRE MARABA")</f>
        <v>DRE MARABA</v>
      </c>
      <c r="H864" s="1" t="str">
        <f ca="1">IFERROR(__xludf.DUMMYFUNCTION("""COMPUTED_VALUE"""),"04A URE - MARABA")</f>
        <v>04A URE - MARABA</v>
      </c>
      <c r="I864" s="1"/>
      <c r="J864" s="1" t="str">
        <f ca="1">IFERROR(__xludf.DUMMYFUNCTION("""COMPUTED_VALUE"""),"NOVA IPIXUNA")</f>
        <v>NOVA IPIXUNA</v>
      </c>
      <c r="K864" s="1">
        <f ca="1">IFERROR(__xludf.DUMMYFUNCTION("""COMPUTED_VALUE"""),15579581)</f>
        <v>15579581</v>
      </c>
      <c r="L864" s="2" t="str">
        <f ca="1">IFERROR(__xludf.DUMMYFUNCTION("""COMPUTED_VALUE"""),"001920913060000")</f>
        <v>001920913060000</v>
      </c>
      <c r="M864" s="2" t="str">
        <f ca="1">IFERROR(__xludf.DUMMYFUNCTION("""COMPUTED_VALUE"""),"1920913060000")</f>
        <v>1920913060000</v>
      </c>
      <c r="N864" s="1" t="str">
        <f ca="1">IFERROR(__xludf.DUMMYFUNCTION("""COMPUTED_VALUE"""),"EEEM MARIA IRANY RODRIGUES DA SILVA")</f>
        <v>EEEM MARIA IRANY RODRIGUES DA SILVA</v>
      </c>
      <c r="O864" s="1"/>
      <c r="P864" s="1"/>
      <c r="Q864" s="1" t="s">
        <v>822</v>
      </c>
    </row>
    <row r="865" spans="1:17" x14ac:dyDescent="0.25">
      <c r="A865" s="2" t="str">
        <f ca="1">IFERROR(__xludf.DUMMYFUNCTION("""COMPUTED_VALUE"""),"REG DE INT DO LAGO DE TUCURUI")</f>
        <v>REG DE INT DO LAGO DE TUCURUI</v>
      </c>
      <c r="B865" s="1" t="str">
        <f ca="1">IFERROR(__xludf.DUMMYFUNCTION("""COMPUTED_VALUE"""),"DRE MARABA")</f>
        <v>DRE MARABA</v>
      </c>
      <c r="C865" s="2" t="str">
        <f ca="1">IFERROR(__xludf.DUMMYFUNCTION("""COMPUTED_VALUE"""),"DRE - MARABA")</f>
        <v>DRE - MARABA</v>
      </c>
      <c r="D865" s="1"/>
      <c r="E865" s="2" t="str">
        <f ca="1">IFERROR(__xludf.DUMMYFUNCTION("""COMPUTED_VALUE"""),"DRE - MARABA")</f>
        <v>DRE - MARABA</v>
      </c>
      <c r="F865" s="1"/>
      <c r="G865" s="1"/>
      <c r="H865" s="1" t="str">
        <f ca="1">IFERROR(__xludf.DUMMYFUNCTION("""COMPUTED_VALUE"""),"04A URE - MARABA")</f>
        <v>04A URE - MARABA</v>
      </c>
      <c r="I865" s="1"/>
      <c r="J865" s="1" t="str">
        <f ca="1">IFERROR(__xludf.DUMMYFUNCTION("""COMPUTED_VALUE"""),"NOVA IPIXUNA")</f>
        <v>NOVA IPIXUNA</v>
      </c>
      <c r="K865" s="1"/>
      <c r="L865" s="2" t="str">
        <f ca="1">IFERROR(__xludf.DUMMYFUNCTION("""COMPUTED_VALUE"""),"001920978000000")</f>
        <v>001920978000000</v>
      </c>
      <c r="M865" s="2" t="str">
        <f ca="1">IFERROR(__xludf.DUMMYFUNCTION("""COMPUTED_VALUE"""),"1920978000000")</f>
        <v>1920978000000</v>
      </c>
      <c r="N865" s="1" t="str">
        <f ca="1">IFERROR(__xludf.DUMMYFUNCTION("""COMPUTED_VALUE"""),"ESCOLA ESTADUAL RURAL DE NOVA IPIXUNA")</f>
        <v>ESCOLA ESTADUAL RURAL DE NOVA IPIXUNA</v>
      </c>
      <c r="O865" s="1"/>
      <c r="P865" s="1"/>
      <c r="Q865" s="1" t="s">
        <v>822</v>
      </c>
    </row>
    <row r="866" spans="1:17" x14ac:dyDescent="0.25">
      <c r="A866" s="2" t="str">
        <f ca="1">IFERROR(__xludf.DUMMYFUNCTION("""COMPUTED_VALUE"""),"REG DE INTEGRA DO CARAJAS")</f>
        <v>REG DE INTEGRA DO CARAJAS</v>
      </c>
      <c r="B866" s="1" t="str">
        <f ca="1">IFERROR(__xludf.DUMMYFUNCTION("""COMPUTED_VALUE"""),"DRE MARABA")</f>
        <v>DRE MARABA</v>
      </c>
      <c r="C866" s="2" t="str">
        <f ca="1">IFERROR(__xludf.DUMMYFUNCTION("""COMPUTED_VALUE"""),"DRE - MARABA")</f>
        <v>DRE - MARABA</v>
      </c>
      <c r="D866" s="1"/>
      <c r="E866" s="2" t="str">
        <f ca="1">IFERROR(__xludf.DUMMYFUNCTION("""COMPUTED_VALUE"""),"DRE - MARABA")</f>
        <v>DRE - MARABA</v>
      </c>
      <c r="F866" s="1">
        <f ca="1">IFERROR(__xludf.DUMMYFUNCTION("""COMPUTED_VALUE"""),3)</f>
        <v>3</v>
      </c>
      <c r="G866" s="1"/>
      <c r="H866" s="1" t="str">
        <f ca="1">IFERROR(__xludf.DUMMYFUNCTION("""COMPUTED_VALUE"""),"04A URE - MARABA")</f>
        <v>04A URE - MARABA</v>
      </c>
      <c r="I866" s="1"/>
      <c r="J866" s="1" t="str">
        <f ca="1">IFERROR(__xludf.DUMMYFUNCTION("""COMPUTED_VALUE"""),"PALESTINA DO PARA")</f>
        <v>PALESTINA DO PARA</v>
      </c>
      <c r="K866" s="1">
        <f ca="1">IFERROR(__xludf.DUMMYFUNCTION("""COMPUTED_VALUE"""),15178323)</f>
        <v>15178323</v>
      </c>
      <c r="L866" s="2" t="str">
        <f ca="1">IFERROR(__xludf.DUMMYFUNCTION("""COMPUTED_VALUE"""),"001920936700001")</f>
        <v>001920936700001</v>
      </c>
      <c r="M866" s="2" t="str">
        <f ca="1">IFERROR(__xludf.DUMMYFUNCTION("""COMPUTED_VALUE"""),"1920936700001")</f>
        <v>1920936700001</v>
      </c>
      <c r="N866" s="1" t="str">
        <f ca="1">IFERROR(__xludf.DUMMYFUNCTION("""COMPUTED_VALUE"""),"ANEXO RURAL 21 DE ABRIL")</f>
        <v>ANEXO RURAL 21 DE ABRIL</v>
      </c>
      <c r="O866" s="1"/>
      <c r="P866" s="1"/>
      <c r="Q866" s="1" t="s">
        <v>822</v>
      </c>
    </row>
    <row r="867" spans="1:17" x14ac:dyDescent="0.25">
      <c r="A867" s="2" t="str">
        <f ca="1">IFERROR(__xludf.DUMMYFUNCTION("""COMPUTED_VALUE"""),"REG DE INTEGRA DO CARAJAS")</f>
        <v>REG DE INTEGRA DO CARAJAS</v>
      </c>
      <c r="B867" s="1" t="str">
        <f ca="1">IFERROR(__xludf.DUMMYFUNCTION("""COMPUTED_VALUE"""),"DRE MARABA")</f>
        <v>DRE MARABA</v>
      </c>
      <c r="C867" s="2" t="str">
        <f ca="1">IFERROR(__xludf.DUMMYFUNCTION("""COMPUTED_VALUE"""),"DRE - MARABA")</f>
        <v>DRE - MARABA</v>
      </c>
      <c r="D867" s="1"/>
      <c r="E867" s="2" t="str">
        <f ca="1">IFERROR(__xludf.DUMMYFUNCTION("""COMPUTED_VALUE"""),"DRE - MARABA")</f>
        <v>DRE - MARABA</v>
      </c>
      <c r="F867" s="1">
        <f ca="1">IFERROR(__xludf.DUMMYFUNCTION("""COMPUTED_VALUE"""),3)</f>
        <v>3</v>
      </c>
      <c r="G867" s="1" t="str">
        <f ca="1">IFERROR(__xludf.DUMMYFUNCTION("""COMPUTED_VALUE"""),"DRE MARABA")</f>
        <v>DRE MARABA</v>
      </c>
      <c r="H867" s="1" t="str">
        <f ca="1">IFERROR(__xludf.DUMMYFUNCTION("""COMPUTED_VALUE"""),"04A URE - MARABA")</f>
        <v>04A URE - MARABA</v>
      </c>
      <c r="I867" s="1"/>
      <c r="J867" s="1" t="str">
        <f ca="1">IFERROR(__xludf.DUMMYFUNCTION("""COMPUTED_VALUE"""),"PALESTINA DO PARA")</f>
        <v>PALESTINA DO PARA</v>
      </c>
      <c r="K867" s="1">
        <f ca="1">IFERROR(__xludf.DUMMYFUNCTION("""COMPUTED_VALUE"""),15129578)</f>
        <v>15129578</v>
      </c>
      <c r="L867" s="2" t="str">
        <f ca="1">IFERROR(__xludf.DUMMYFUNCTION("""COMPUTED_VALUE"""),"001920936700000")</f>
        <v>001920936700000</v>
      </c>
      <c r="M867" s="2" t="str">
        <f ca="1">IFERROR(__xludf.DUMMYFUNCTION("""COMPUTED_VALUE"""),"1920936700000")</f>
        <v>1920936700000</v>
      </c>
      <c r="N867" s="1" t="str">
        <f ca="1">IFERROR(__xludf.DUMMYFUNCTION("""COMPUTED_VALUE"""),"EEEM 21 DE ABRIL")</f>
        <v>EEEM 21 DE ABRIL</v>
      </c>
      <c r="O867" s="1"/>
      <c r="P867" s="1"/>
      <c r="Q867" s="1" t="s">
        <v>822</v>
      </c>
    </row>
    <row r="868" spans="1:17" x14ac:dyDescent="0.25">
      <c r="A868" s="2" t="str">
        <f ca="1">IFERROR(__xludf.DUMMYFUNCTION("""COMPUTED_VALUE"""),"REG DE INTEGRA DO CARAJAS")</f>
        <v>REG DE INTEGRA DO CARAJAS</v>
      </c>
      <c r="B868" s="1" t="str">
        <f ca="1">IFERROR(__xludf.DUMMYFUNCTION("""COMPUTED_VALUE"""),"DRE MARABA")</f>
        <v>DRE MARABA</v>
      </c>
      <c r="C868" s="2" t="str">
        <f ca="1">IFERROR(__xludf.DUMMYFUNCTION("""COMPUTED_VALUE"""),"DRE - MARABA")</f>
        <v>DRE - MARABA</v>
      </c>
      <c r="D868" s="1"/>
      <c r="E868" s="2" t="str">
        <f ca="1">IFERROR(__xludf.DUMMYFUNCTION("""COMPUTED_VALUE"""),"DRE - MARABA")</f>
        <v>DRE - MARABA</v>
      </c>
      <c r="F868" s="1"/>
      <c r="G868" s="1"/>
      <c r="H868" s="1" t="str">
        <f ca="1">IFERROR(__xludf.DUMMYFUNCTION("""COMPUTED_VALUE"""),"04A URE - MARABA")</f>
        <v>04A URE - MARABA</v>
      </c>
      <c r="I868" s="1"/>
      <c r="J868" s="1" t="str">
        <f ca="1">IFERROR(__xludf.DUMMYFUNCTION("""COMPUTED_VALUE"""),"PALESTINA DO PARA")</f>
        <v>PALESTINA DO PARA</v>
      </c>
      <c r="K868" s="1"/>
      <c r="L868" s="2" t="str">
        <f ca="1">IFERROR(__xludf.DUMMYFUNCTION("""COMPUTED_VALUE"""),"001920979000000")</f>
        <v>001920979000000</v>
      </c>
      <c r="M868" s="2" t="str">
        <f ca="1">IFERROR(__xludf.DUMMYFUNCTION("""COMPUTED_VALUE"""),"1920979000000")</f>
        <v>1920979000000</v>
      </c>
      <c r="N868" s="1" t="str">
        <f ca="1">IFERROR(__xludf.DUMMYFUNCTION("""COMPUTED_VALUE"""),"ESCOLA ESTADUAL RURAL DE PALESTINA DO PARA")</f>
        <v>ESCOLA ESTADUAL RURAL DE PALESTINA DO PARA</v>
      </c>
      <c r="O868" s="1"/>
      <c r="P868" s="1"/>
      <c r="Q868" s="1" t="s">
        <v>822</v>
      </c>
    </row>
    <row r="869" spans="1:17" x14ac:dyDescent="0.25">
      <c r="A869" s="2" t="str">
        <f ca="1">IFERROR(__xludf.DUMMYFUNCTION("""COMPUTED_VALUE"""),"REG DE INTEGRA DO CARAJAS")</f>
        <v>REG DE INTEGRA DO CARAJAS</v>
      </c>
      <c r="B869" s="1" t="str">
        <f ca="1">IFERROR(__xludf.DUMMYFUNCTION("""COMPUTED_VALUE"""),"DRE MARABA")</f>
        <v>DRE MARABA</v>
      </c>
      <c r="C869" s="2" t="str">
        <f ca="1">IFERROR(__xludf.DUMMYFUNCTION("""COMPUTED_VALUE"""),"DRE - MARABA")</f>
        <v>DRE - MARABA</v>
      </c>
      <c r="D869" s="1"/>
      <c r="E869" s="2" t="str">
        <f ca="1">IFERROR(__xludf.DUMMYFUNCTION("""COMPUTED_VALUE"""),"DRE - MARABA")</f>
        <v>DRE - MARABA</v>
      </c>
      <c r="F869" s="1">
        <f ca="1">IFERROR(__xludf.DUMMYFUNCTION("""COMPUTED_VALUE"""),3)</f>
        <v>3</v>
      </c>
      <c r="G869" s="1"/>
      <c r="H869" s="1" t="str">
        <f ca="1">IFERROR(__xludf.DUMMYFUNCTION("""COMPUTED_VALUE"""),"04A URE - MARABA")</f>
        <v>04A URE - MARABA</v>
      </c>
      <c r="I869" s="1"/>
      <c r="J869" s="1" t="str">
        <f ca="1">IFERROR(__xludf.DUMMYFUNCTION("""COMPUTED_VALUE"""),"PICARRA")</f>
        <v>PICARRA</v>
      </c>
      <c r="K869" s="1">
        <f ca="1">IFERROR(__xludf.DUMMYFUNCTION("""COMPUTED_VALUE"""),15178374)</f>
        <v>15178374</v>
      </c>
      <c r="L869" s="2" t="str">
        <f ca="1">IFERROR(__xludf.DUMMYFUNCTION("""COMPUTED_VALUE"""),"001920927970001")</f>
        <v>001920927970001</v>
      </c>
      <c r="M869" s="2" t="str">
        <f ca="1">IFERROR(__xludf.DUMMYFUNCTION("""COMPUTED_VALUE"""),"1920927970001")</f>
        <v>1920927970001</v>
      </c>
      <c r="N869" s="1" t="str">
        <f ca="1">IFERROR(__xludf.DUMMYFUNCTION("""COMPUTED_VALUE"""),"ANEXO RURAL  ALICE SILVEIRA LIMA")</f>
        <v>ANEXO RURAL  ALICE SILVEIRA LIMA</v>
      </c>
      <c r="O869" s="1"/>
      <c r="P869" s="1"/>
      <c r="Q869" s="1" t="s">
        <v>822</v>
      </c>
    </row>
    <row r="870" spans="1:17" x14ac:dyDescent="0.25">
      <c r="A870" s="2" t="str">
        <f ca="1">IFERROR(__xludf.DUMMYFUNCTION("""COMPUTED_VALUE"""),"REG DE INTEGRA DO CARAJAS")</f>
        <v>REG DE INTEGRA DO CARAJAS</v>
      </c>
      <c r="B870" s="1" t="str">
        <f ca="1">IFERROR(__xludf.DUMMYFUNCTION("""COMPUTED_VALUE"""),"DRE MARABA")</f>
        <v>DRE MARABA</v>
      </c>
      <c r="C870" s="2" t="str">
        <f ca="1">IFERROR(__xludf.DUMMYFUNCTION("""COMPUTED_VALUE"""),"DRE - MARABA")</f>
        <v>DRE - MARABA</v>
      </c>
      <c r="D870" s="1"/>
      <c r="E870" s="2" t="str">
        <f ca="1">IFERROR(__xludf.DUMMYFUNCTION("""COMPUTED_VALUE"""),"DRE - MARABA")</f>
        <v>DRE - MARABA</v>
      </c>
      <c r="F870" s="1">
        <f ca="1">IFERROR(__xludf.DUMMYFUNCTION("""COMPUTED_VALUE"""),3)</f>
        <v>3</v>
      </c>
      <c r="G870" s="1" t="str">
        <f ca="1">IFERROR(__xludf.DUMMYFUNCTION("""COMPUTED_VALUE"""),"DRE MARABA")</f>
        <v>DRE MARABA</v>
      </c>
      <c r="H870" s="1" t="str">
        <f ca="1">IFERROR(__xludf.DUMMYFUNCTION("""COMPUTED_VALUE"""),"04A URE - MARABA")</f>
        <v>04A URE - MARABA</v>
      </c>
      <c r="I870" s="1"/>
      <c r="J870" s="1" t="str">
        <f ca="1">IFERROR(__xludf.DUMMYFUNCTION("""COMPUTED_VALUE"""),"PICARRA")</f>
        <v>PICARRA</v>
      </c>
      <c r="K870" s="1">
        <f ca="1">IFERROR(__xludf.DUMMYFUNCTION("""COMPUTED_VALUE"""),15132420)</f>
        <v>15132420</v>
      </c>
      <c r="L870" s="2" t="str">
        <f ca="1">IFERROR(__xludf.DUMMYFUNCTION("""COMPUTED_VALUE"""),"001920927970000")</f>
        <v>001920927970000</v>
      </c>
      <c r="M870" s="2" t="str">
        <f ca="1">IFERROR(__xludf.DUMMYFUNCTION("""COMPUTED_VALUE"""),"1920927970000")</f>
        <v>1920927970000</v>
      </c>
      <c r="N870" s="1" t="str">
        <f ca="1">IFERROR(__xludf.DUMMYFUNCTION("""COMPUTED_VALUE"""),"EEEM ALICE SILVEIRA LIMA")</f>
        <v>EEEM ALICE SILVEIRA LIMA</v>
      </c>
      <c r="O870" s="1"/>
      <c r="P870" s="1"/>
      <c r="Q870" s="1" t="s">
        <v>822</v>
      </c>
    </row>
    <row r="871" spans="1:17" x14ac:dyDescent="0.25">
      <c r="A871" s="2" t="str">
        <f ca="1">IFERROR(__xludf.DUMMYFUNCTION("""COMPUTED_VALUE"""),"REG DE INTEGRA DO CARAJAS")</f>
        <v>REG DE INTEGRA DO CARAJAS</v>
      </c>
      <c r="B871" s="1" t="str">
        <f ca="1">IFERROR(__xludf.DUMMYFUNCTION("""COMPUTED_VALUE"""),"DRE MARABA")</f>
        <v>DRE MARABA</v>
      </c>
      <c r="C871" s="2" t="str">
        <f ca="1">IFERROR(__xludf.DUMMYFUNCTION("""COMPUTED_VALUE"""),"DRE - MARABA")</f>
        <v>DRE - MARABA</v>
      </c>
      <c r="D871" s="1"/>
      <c r="E871" s="2" t="str">
        <f ca="1">IFERROR(__xludf.DUMMYFUNCTION("""COMPUTED_VALUE"""),"DRE - MARABA")</f>
        <v>DRE - MARABA</v>
      </c>
      <c r="F871" s="1"/>
      <c r="G871" s="1"/>
      <c r="H871" s="1" t="str">
        <f ca="1">IFERROR(__xludf.DUMMYFUNCTION("""COMPUTED_VALUE"""),"04A URE - MARABA")</f>
        <v>04A URE - MARABA</v>
      </c>
      <c r="I871" s="1"/>
      <c r="J871" s="1" t="str">
        <f ca="1">IFERROR(__xludf.DUMMYFUNCTION("""COMPUTED_VALUE"""),"PICARRA")</f>
        <v>PICARRA</v>
      </c>
      <c r="K871" s="1"/>
      <c r="L871" s="2" t="str">
        <f ca="1">IFERROR(__xludf.DUMMYFUNCTION("""COMPUTED_VALUE"""),"001920980000000")</f>
        <v>001920980000000</v>
      </c>
      <c r="M871" s="2" t="str">
        <f ca="1">IFERROR(__xludf.DUMMYFUNCTION("""COMPUTED_VALUE"""),"1920980000000")</f>
        <v>1920980000000</v>
      </c>
      <c r="N871" s="1" t="str">
        <f ca="1">IFERROR(__xludf.DUMMYFUNCTION("""COMPUTED_VALUE"""),"ESCOLA ESTADUAL RURAL DE PICARRA")</f>
        <v>ESCOLA ESTADUAL RURAL DE PICARRA</v>
      </c>
      <c r="O871" s="1"/>
      <c r="P871" s="1"/>
      <c r="Q871" s="1" t="s">
        <v>822</v>
      </c>
    </row>
    <row r="872" spans="1:17" x14ac:dyDescent="0.25">
      <c r="A872" s="2" t="str">
        <f ca="1">IFERROR(__xludf.DUMMYFUNCTION("""COMPUTED_VALUE"""),"REG DE INTEGRA DO RIO CAPIM")</f>
        <v>REG DE INTEGRA DO RIO CAPIM</v>
      </c>
      <c r="B872" s="1" t="str">
        <f ca="1">IFERROR(__xludf.DUMMYFUNCTION("""COMPUTED_VALUE"""),"DRE MARABA")</f>
        <v>DRE MARABA</v>
      </c>
      <c r="C872" s="2" t="str">
        <f ca="1">IFERROR(__xludf.DUMMYFUNCTION("""COMPUTED_VALUE"""),"DRE - MARABA")</f>
        <v>DRE - MARABA</v>
      </c>
      <c r="D872" s="1"/>
      <c r="E872" s="2" t="str">
        <f ca="1">IFERROR(__xludf.DUMMYFUNCTION("""COMPUTED_VALUE"""),"DRE - MARABA")</f>
        <v>DRE - MARABA</v>
      </c>
      <c r="F872" s="1">
        <f ca="1">IFERROR(__xludf.DUMMYFUNCTION("""COMPUTED_VALUE"""),3)</f>
        <v>3</v>
      </c>
      <c r="G872" s="1" t="str">
        <f ca="1">IFERROR(__xludf.DUMMYFUNCTION("""COMPUTED_VALUE"""),"DRE MARABA")</f>
        <v>DRE MARABA</v>
      </c>
      <c r="H872" s="1" t="str">
        <f ca="1">IFERROR(__xludf.DUMMYFUNCTION("""COMPUTED_VALUE"""),"04A URE - MARABA")</f>
        <v>04A URE - MARABA</v>
      </c>
      <c r="I872" s="1"/>
      <c r="J872" s="1" t="str">
        <f ca="1">IFERROR(__xludf.DUMMYFUNCTION("""COMPUTED_VALUE"""),"RONDON DO PARA")</f>
        <v>RONDON DO PARA</v>
      </c>
      <c r="K872" s="1">
        <f ca="1">IFERROR(__xludf.DUMMYFUNCTION("""COMPUTED_VALUE"""),15119777)</f>
        <v>15119777</v>
      </c>
      <c r="L872" s="2" t="str">
        <f ca="1">IFERROR(__xludf.DUMMYFUNCTION("""COMPUTED_VALUE"""),"001920926960000")</f>
        <v>001920926960000</v>
      </c>
      <c r="M872" s="2" t="str">
        <f ca="1">IFERROR(__xludf.DUMMYFUNCTION("""COMPUTED_VALUE"""),"1920926960000")</f>
        <v>1920926960000</v>
      </c>
      <c r="N872" s="1" t="str">
        <f ca="1">IFERROR(__xludf.DUMMYFUNCTION("""COMPUTED_VALUE"""),"EEEM DR DIONISIO BENTES DE CARVALHO SEDE")</f>
        <v>EEEM DR DIONISIO BENTES DE CARVALHO SEDE</v>
      </c>
      <c r="O872" s="1"/>
      <c r="P872" s="1"/>
      <c r="Q872" s="1" t="s">
        <v>822</v>
      </c>
    </row>
    <row r="873" spans="1:17" x14ac:dyDescent="0.25">
      <c r="A873" s="2" t="str">
        <f ca="1">IFERROR(__xludf.DUMMYFUNCTION("""COMPUTED_VALUE"""),"REG DE INTEGRA DO CARAJAS")</f>
        <v>REG DE INTEGRA DO CARAJAS</v>
      </c>
      <c r="B873" s="1" t="str">
        <f ca="1">IFERROR(__xludf.DUMMYFUNCTION("""COMPUTED_VALUE"""),"DRE MARABA")</f>
        <v>DRE MARABA</v>
      </c>
      <c r="C873" s="2" t="str">
        <f ca="1">IFERROR(__xludf.DUMMYFUNCTION("""COMPUTED_VALUE"""),"DRE - MARABA")</f>
        <v>DRE - MARABA</v>
      </c>
      <c r="D873" s="1"/>
      <c r="E873" s="2" t="str">
        <f ca="1">IFERROR(__xludf.DUMMYFUNCTION("""COMPUTED_VALUE"""),"DRE - MARABA")</f>
        <v>DRE - MARABA</v>
      </c>
      <c r="F873" s="1">
        <f ca="1">IFERROR(__xludf.DUMMYFUNCTION("""COMPUTED_VALUE"""),3)</f>
        <v>3</v>
      </c>
      <c r="G873" s="1"/>
      <c r="H873" s="1" t="str">
        <f ca="1">IFERROR(__xludf.DUMMYFUNCTION("""COMPUTED_VALUE"""),"04A URE - MARABA")</f>
        <v>04A URE - MARABA</v>
      </c>
      <c r="I873" s="1"/>
      <c r="J873" s="1" t="str">
        <f ca="1">IFERROR(__xludf.DUMMYFUNCTION("""COMPUTED_VALUE"""),"SAO DOMINGOS DO ARAGUAIA")</f>
        <v>SAO DOMINGOS DO ARAGUAIA</v>
      </c>
      <c r="K873" s="1">
        <f ca="1">IFERROR(__xludf.DUMMYFUNCTION("""COMPUTED_VALUE"""),15177840)</f>
        <v>15177840</v>
      </c>
      <c r="L873" s="2" t="str">
        <f ca="1">IFERROR(__xludf.DUMMYFUNCTION("""COMPUTED_VALUE"""),"001920927680002")</f>
        <v>001920927680002</v>
      </c>
      <c r="M873" s="2" t="str">
        <f ca="1">IFERROR(__xludf.DUMMYFUNCTION("""COMPUTED_VALUE"""),"1920927680002")</f>
        <v>1920927680002</v>
      </c>
      <c r="N873" s="1" t="str">
        <f ca="1">IFERROR(__xludf.DUMMYFUNCTION("""COMPUTED_VALUE"""),"ANEXO RURAL  PROFA ELZA MARIA CORREA DANTAS")</f>
        <v>ANEXO RURAL  PROFA ELZA MARIA CORREA DANTAS</v>
      </c>
      <c r="O873" s="1"/>
      <c r="P873" s="1"/>
      <c r="Q873" s="1" t="s">
        <v>822</v>
      </c>
    </row>
    <row r="874" spans="1:17" x14ac:dyDescent="0.25">
      <c r="A874" s="2" t="str">
        <f ca="1">IFERROR(__xludf.DUMMYFUNCTION("""COMPUTED_VALUE"""),"REG DE INTEGRA DO CARAJAS")</f>
        <v>REG DE INTEGRA DO CARAJAS</v>
      </c>
      <c r="B874" s="1" t="str">
        <f ca="1">IFERROR(__xludf.DUMMYFUNCTION("""COMPUTED_VALUE"""),"DRE MARABA")</f>
        <v>DRE MARABA</v>
      </c>
      <c r="C874" s="2" t="str">
        <f ca="1">IFERROR(__xludf.DUMMYFUNCTION("""COMPUTED_VALUE"""),"DRE - MARABA")</f>
        <v>DRE - MARABA</v>
      </c>
      <c r="D874" s="1"/>
      <c r="E874" s="2" t="str">
        <f ca="1">IFERROR(__xludf.DUMMYFUNCTION("""COMPUTED_VALUE"""),"DRE - MARABA")</f>
        <v>DRE - MARABA</v>
      </c>
      <c r="F874" s="1">
        <f ca="1">IFERROR(__xludf.DUMMYFUNCTION("""COMPUTED_VALUE"""),3)</f>
        <v>3</v>
      </c>
      <c r="G874" s="1" t="str">
        <f ca="1">IFERROR(__xludf.DUMMYFUNCTION("""COMPUTED_VALUE"""),"DRE MARABA")</f>
        <v>DRE MARABA</v>
      </c>
      <c r="H874" s="1" t="str">
        <f ca="1">IFERROR(__xludf.DUMMYFUNCTION("""COMPUTED_VALUE"""),"04A URE - MARABA")</f>
        <v>04A URE - MARABA</v>
      </c>
      <c r="I874" s="1"/>
      <c r="J874" s="1" t="str">
        <f ca="1">IFERROR(__xludf.DUMMYFUNCTION("""COMPUTED_VALUE"""),"SAO DOMINGOS DO ARAGUAIA")</f>
        <v>SAO DOMINGOS DO ARAGUAIA</v>
      </c>
      <c r="K874" s="1">
        <f ca="1">IFERROR(__xludf.DUMMYFUNCTION("""COMPUTED_VALUE"""),15129799)</f>
        <v>15129799</v>
      </c>
      <c r="L874" s="2" t="str">
        <f ca="1">IFERROR(__xludf.DUMMYFUNCTION("""COMPUTED_VALUE"""),"001920927680000")</f>
        <v>001920927680000</v>
      </c>
      <c r="M874" s="2" t="str">
        <f ca="1">IFERROR(__xludf.DUMMYFUNCTION("""COMPUTED_VALUE"""),"1920927680000")</f>
        <v>1920927680000</v>
      </c>
      <c r="N874" s="1" t="str">
        <f ca="1">IFERROR(__xludf.DUMMYFUNCTION("""COMPUTED_VALUE"""),"EEEFM PROFA ELZA MARIA CORREA DANTAS")</f>
        <v>EEEFM PROFA ELZA MARIA CORREA DANTAS</v>
      </c>
      <c r="O874" s="1"/>
      <c r="P874" s="1"/>
      <c r="Q874" s="1" t="s">
        <v>822</v>
      </c>
    </row>
    <row r="875" spans="1:17" x14ac:dyDescent="0.25">
      <c r="A875" s="2" t="str">
        <f ca="1">IFERROR(__xludf.DUMMYFUNCTION("""COMPUTED_VALUE"""),"REG DE INTEGRA DO CARAJAS")</f>
        <v>REG DE INTEGRA DO CARAJAS</v>
      </c>
      <c r="B875" s="1" t="str">
        <f ca="1">IFERROR(__xludf.DUMMYFUNCTION("""COMPUTED_VALUE"""),"DRE MARABA")</f>
        <v>DRE MARABA</v>
      </c>
      <c r="C875" s="2" t="str">
        <f ca="1">IFERROR(__xludf.DUMMYFUNCTION("""COMPUTED_VALUE"""),"DRE - MARABA")</f>
        <v>DRE - MARABA</v>
      </c>
      <c r="D875" s="1"/>
      <c r="E875" s="2" t="str">
        <f ca="1">IFERROR(__xludf.DUMMYFUNCTION("""COMPUTED_VALUE"""),"DRE - MARABA")</f>
        <v>DRE - MARABA</v>
      </c>
      <c r="F875" s="1"/>
      <c r="G875" s="1"/>
      <c r="H875" s="1" t="str">
        <f ca="1">IFERROR(__xludf.DUMMYFUNCTION("""COMPUTED_VALUE"""),"04A URE - MARABA")</f>
        <v>04A URE - MARABA</v>
      </c>
      <c r="I875" s="1"/>
      <c r="J875" s="1" t="str">
        <f ca="1">IFERROR(__xludf.DUMMYFUNCTION("""COMPUTED_VALUE"""),"SAO DOMINGOS DO ARAGUAIA")</f>
        <v>SAO DOMINGOS DO ARAGUAIA</v>
      </c>
      <c r="K875" s="1"/>
      <c r="L875" s="2" t="str">
        <f ca="1">IFERROR(__xludf.DUMMYFUNCTION("""COMPUTED_VALUE"""),"001920981000000")</f>
        <v>001920981000000</v>
      </c>
      <c r="M875" s="2" t="str">
        <f ca="1">IFERROR(__xludf.DUMMYFUNCTION("""COMPUTED_VALUE"""),"1920981000000")</f>
        <v>1920981000000</v>
      </c>
      <c r="N875" s="1" t="str">
        <f ca="1">IFERROR(__xludf.DUMMYFUNCTION("""COMPUTED_VALUE"""),"ESCOLA ESTADUAL RURAL DE SAO DOMINGOS DO ARAGUAIA")</f>
        <v>ESCOLA ESTADUAL RURAL DE SAO DOMINGOS DO ARAGUAIA</v>
      </c>
      <c r="O875" s="1"/>
      <c r="P875" s="1"/>
      <c r="Q875" s="1" t="s">
        <v>822</v>
      </c>
    </row>
    <row r="876" spans="1:17" x14ac:dyDescent="0.25">
      <c r="A876" s="2" t="str">
        <f ca="1">IFERROR(__xludf.DUMMYFUNCTION("""COMPUTED_VALUE"""),"REG DE INTEGRA DO CARAJAS")</f>
        <v>REG DE INTEGRA DO CARAJAS</v>
      </c>
      <c r="B876" s="1" t="str">
        <f ca="1">IFERROR(__xludf.DUMMYFUNCTION("""COMPUTED_VALUE"""),"DRE MARABA")</f>
        <v>DRE MARABA</v>
      </c>
      <c r="C876" s="2" t="str">
        <f ca="1">IFERROR(__xludf.DUMMYFUNCTION("""COMPUTED_VALUE"""),"DRE - MARABA")</f>
        <v>DRE - MARABA</v>
      </c>
      <c r="D876" s="1"/>
      <c r="E876" s="2" t="str">
        <f ca="1">IFERROR(__xludf.DUMMYFUNCTION("""COMPUTED_VALUE"""),"DRE - MARABA")</f>
        <v>DRE - MARABA</v>
      </c>
      <c r="F876" s="1">
        <f ca="1">IFERROR(__xludf.DUMMYFUNCTION("""COMPUTED_VALUE"""),3)</f>
        <v>3</v>
      </c>
      <c r="G876" s="1"/>
      <c r="H876" s="1" t="str">
        <f ca="1">IFERROR(__xludf.DUMMYFUNCTION("""COMPUTED_VALUE"""),"04A URE - MARABA")</f>
        <v>04A URE - MARABA</v>
      </c>
      <c r="I876" s="1"/>
      <c r="J876" s="1" t="str">
        <f ca="1">IFERROR(__xludf.DUMMYFUNCTION("""COMPUTED_VALUE"""),"SAO GERALDO DO ARAGUAIA")</f>
        <v>SAO GERALDO DO ARAGUAIA</v>
      </c>
      <c r="K876" s="1">
        <f ca="1">IFERROR(__xludf.DUMMYFUNCTION("""COMPUTED_VALUE"""),15177866)</f>
        <v>15177866</v>
      </c>
      <c r="L876" s="2" t="str">
        <f ca="1">IFERROR(__xludf.DUMMYFUNCTION("""COMPUTED_VALUE"""),"001920912870002")</f>
        <v>001920912870002</v>
      </c>
      <c r="M876" s="2" t="str">
        <f ca="1">IFERROR(__xludf.DUMMYFUNCTION("""COMPUTED_VALUE"""),"1920912870002")</f>
        <v>1920912870002</v>
      </c>
      <c r="N876" s="1" t="str">
        <f ca="1">IFERROR(__xludf.DUMMYFUNCTION("""COMPUTED_VALUE"""),"ANEXO RURAL MACARIO DANTAS")</f>
        <v>ANEXO RURAL MACARIO DANTAS</v>
      </c>
      <c r="O876" s="1"/>
      <c r="P876" s="1"/>
      <c r="Q876" s="1" t="s">
        <v>822</v>
      </c>
    </row>
    <row r="877" spans="1:17" x14ac:dyDescent="0.25">
      <c r="A877" s="2" t="str">
        <f ca="1">IFERROR(__xludf.DUMMYFUNCTION("""COMPUTED_VALUE"""),"REG DE INTEGRA DO CARAJAS")</f>
        <v>REG DE INTEGRA DO CARAJAS</v>
      </c>
      <c r="B877" s="1" t="str">
        <f ca="1">IFERROR(__xludf.DUMMYFUNCTION("""COMPUTED_VALUE"""),"DRE MARABA")</f>
        <v>DRE MARABA</v>
      </c>
      <c r="C877" s="2" t="str">
        <f ca="1">IFERROR(__xludf.DUMMYFUNCTION("""COMPUTED_VALUE"""),"DRE - MARABA")</f>
        <v>DRE - MARABA</v>
      </c>
      <c r="D877" s="1"/>
      <c r="E877" s="2" t="str">
        <f ca="1">IFERROR(__xludf.DUMMYFUNCTION("""COMPUTED_VALUE"""),"DRE - MARABA")</f>
        <v>DRE - MARABA</v>
      </c>
      <c r="F877" s="1">
        <f ca="1">IFERROR(__xludf.DUMMYFUNCTION("""COMPUTED_VALUE"""),3)</f>
        <v>3</v>
      </c>
      <c r="G877" s="1" t="str">
        <f ca="1">IFERROR(__xludf.DUMMYFUNCTION("""COMPUTED_VALUE"""),"DRE MARABA")</f>
        <v>DRE MARABA</v>
      </c>
      <c r="H877" s="1" t="str">
        <f ca="1">IFERROR(__xludf.DUMMYFUNCTION("""COMPUTED_VALUE"""),"04A URE - MARABA")</f>
        <v>04A URE - MARABA</v>
      </c>
      <c r="I877" s="1"/>
      <c r="J877" s="1" t="str">
        <f ca="1">IFERROR(__xludf.DUMMYFUNCTION("""COMPUTED_VALUE"""),"SAO GERALDO DO ARAGUAIA")</f>
        <v>SAO GERALDO DO ARAGUAIA</v>
      </c>
      <c r="K877" s="1">
        <f ca="1">IFERROR(__xludf.DUMMYFUNCTION("""COMPUTED_VALUE"""),15138763)</f>
        <v>15138763</v>
      </c>
      <c r="L877" s="2" t="str">
        <f ca="1">IFERROR(__xludf.DUMMYFUNCTION("""COMPUTED_VALUE"""),"001920937520000")</f>
        <v>001920937520000</v>
      </c>
      <c r="M877" s="2" t="str">
        <f ca="1">IFERROR(__xludf.DUMMYFUNCTION("""COMPUTED_VALUE"""),"1920937520000")</f>
        <v>1920937520000</v>
      </c>
      <c r="N877" s="1" t="str">
        <f ca="1">IFERROR(__xludf.DUMMYFUNCTION("""COMPUTED_VALUE"""),"EEEM LENILSON LUIZ MIRANDA")</f>
        <v>EEEM LENILSON LUIZ MIRANDA</v>
      </c>
      <c r="O877" s="1"/>
      <c r="P877" s="1"/>
      <c r="Q877" s="1" t="s">
        <v>822</v>
      </c>
    </row>
    <row r="878" spans="1:17" x14ac:dyDescent="0.25">
      <c r="A878" s="2" t="str">
        <f ca="1">IFERROR(__xludf.DUMMYFUNCTION("""COMPUTED_VALUE"""),"REG DE INTEGRA DO CARAJAS")</f>
        <v>REG DE INTEGRA DO CARAJAS</v>
      </c>
      <c r="B878" s="1" t="str">
        <f ca="1">IFERROR(__xludf.DUMMYFUNCTION("""COMPUTED_VALUE"""),"DRE MARABA")</f>
        <v>DRE MARABA</v>
      </c>
      <c r="C878" s="2" t="str">
        <f ca="1">IFERROR(__xludf.DUMMYFUNCTION("""COMPUTED_VALUE"""),"DRE - MARABA")</f>
        <v>DRE - MARABA</v>
      </c>
      <c r="D878" s="1"/>
      <c r="E878" s="2" t="str">
        <f ca="1">IFERROR(__xludf.DUMMYFUNCTION("""COMPUTED_VALUE"""),"DRE - MARABA")</f>
        <v>DRE - MARABA</v>
      </c>
      <c r="F878" s="1">
        <f ca="1">IFERROR(__xludf.DUMMYFUNCTION("""COMPUTED_VALUE"""),3)</f>
        <v>3</v>
      </c>
      <c r="G878" s="1" t="str">
        <f ca="1">IFERROR(__xludf.DUMMYFUNCTION("""COMPUTED_VALUE"""),"DRE MARABA")</f>
        <v>DRE MARABA</v>
      </c>
      <c r="H878" s="1" t="str">
        <f ca="1">IFERROR(__xludf.DUMMYFUNCTION("""COMPUTED_VALUE"""),"04A URE - MARABA")</f>
        <v>04A URE - MARABA</v>
      </c>
      <c r="I878" s="1"/>
      <c r="J878" s="1" t="str">
        <f ca="1">IFERROR(__xludf.DUMMYFUNCTION("""COMPUTED_VALUE"""),"SAO GERALDO DO ARAGUAIA")</f>
        <v>SAO GERALDO DO ARAGUAIA</v>
      </c>
      <c r="K878" s="1">
        <f ca="1">IFERROR(__xludf.DUMMYFUNCTION("""COMPUTED_VALUE"""),15169375)</f>
        <v>15169375</v>
      </c>
      <c r="L878" s="2" t="str">
        <f ca="1">IFERROR(__xludf.DUMMYFUNCTION("""COMPUTED_VALUE"""),"001920912870001")</f>
        <v>001920912870001</v>
      </c>
      <c r="M878" s="2" t="str">
        <f ca="1">IFERROR(__xludf.DUMMYFUNCTION("""COMPUTED_VALUE"""),"1920912870001")</f>
        <v>1920912870001</v>
      </c>
      <c r="N878" s="1" t="str">
        <f ca="1">IFERROR(__xludf.DUMMYFUNCTION("""COMPUTED_VALUE"""),"EEEM MACARIO DANTAS - ANEXO")</f>
        <v>EEEM MACARIO DANTAS - ANEXO</v>
      </c>
      <c r="O878" s="1"/>
      <c r="P878" s="1"/>
      <c r="Q878" s="1" t="s">
        <v>822</v>
      </c>
    </row>
    <row r="879" spans="1:17" x14ac:dyDescent="0.25">
      <c r="A879" s="2" t="str">
        <f ca="1">IFERROR(__xludf.DUMMYFUNCTION("""COMPUTED_VALUE"""),"REG DE INTEGRA DO CARAJAS")</f>
        <v>REG DE INTEGRA DO CARAJAS</v>
      </c>
      <c r="B879" s="1" t="str">
        <f ca="1">IFERROR(__xludf.DUMMYFUNCTION("""COMPUTED_VALUE"""),"DRE MARABA")</f>
        <v>DRE MARABA</v>
      </c>
      <c r="C879" s="2" t="str">
        <f ca="1">IFERROR(__xludf.DUMMYFUNCTION("""COMPUTED_VALUE"""),"DRE - MARABA")</f>
        <v>DRE - MARABA</v>
      </c>
      <c r="D879" s="1"/>
      <c r="E879" s="2" t="str">
        <f ca="1">IFERROR(__xludf.DUMMYFUNCTION("""COMPUTED_VALUE"""),"DRE - MARABA")</f>
        <v>DRE - MARABA</v>
      </c>
      <c r="F879" s="1">
        <f ca="1">IFERROR(__xludf.DUMMYFUNCTION("""COMPUTED_VALUE"""),3)</f>
        <v>3</v>
      </c>
      <c r="G879" s="1" t="str">
        <f ca="1">IFERROR(__xludf.DUMMYFUNCTION("""COMPUTED_VALUE"""),"DRE MARABA")</f>
        <v>DRE MARABA</v>
      </c>
      <c r="H879" s="1" t="str">
        <f ca="1">IFERROR(__xludf.DUMMYFUNCTION("""COMPUTED_VALUE"""),"04A URE - MARABA")</f>
        <v>04A URE - MARABA</v>
      </c>
      <c r="I879" s="1"/>
      <c r="J879" s="1" t="str">
        <f ca="1">IFERROR(__xludf.DUMMYFUNCTION("""COMPUTED_VALUE"""),"SAO GERALDO DO ARAGUAIA")</f>
        <v>SAO GERALDO DO ARAGUAIA</v>
      </c>
      <c r="K879" s="1">
        <f ca="1">IFERROR(__xludf.DUMMYFUNCTION("""COMPUTED_VALUE"""),15132412)</f>
        <v>15132412</v>
      </c>
      <c r="L879" s="2" t="str">
        <f ca="1">IFERROR(__xludf.DUMMYFUNCTION("""COMPUTED_VALUE"""),"001920912870000")</f>
        <v>001920912870000</v>
      </c>
      <c r="M879" s="2" t="str">
        <f ca="1">IFERROR(__xludf.DUMMYFUNCTION("""COMPUTED_VALUE"""),"1920912870000")</f>
        <v>1920912870000</v>
      </c>
      <c r="N879" s="1" t="str">
        <f ca="1">IFERROR(__xludf.DUMMYFUNCTION("""COMPUTED_VALUE"""),"EEEM MACARIO DANTAS SEDE")</f>
        <v>EEEM MACARIO DANTAS SEDE</v>
      </c>
      <c r="O879" s="1"/>
      <c r="P879" s="1"/>
      <c r="Q879" s="1" t="s">
        <v>822</v>
      </c>
    </row>
    <row r="880" spans="1:17" x14ac:dyDescent="0.25">
      <c r="A880" s="2" t="str">
        <f ca="1">IFERROR(__xludf.DUMMYFUNCTION("""COMPUTED_VALUE"""),"REG DE INTEGRA DO CARAJAS")</f>
        <v>REG DE INTEGRA DO CARAJAS</v>
      </c>
      <c r="B880" s="1" t="str">
        <f ca="1">IFERROR(__xludf.DUMMYFUNCTION("""COMPUTED_VALUE"""),"DRE MARABA")</f>
        <v>DRE MARABA</v>
      </c>
      <c r="C880" s="2" t="str">
        <f ca="1">IFERROR(__xludf.DUMMYFUNCTION("""COMPUTED_VALUE"""),"DRE - MARABA")</f>
        <v>DRE - MARABA</v>
      </c>
      <c r="D880" s="1"/>
      <c r="E880" s="2" t="str">
        <f ca="1">IFERROR(__xludf.DUMMYFUNCTION("""COMPUTED_VALUE"""),"DRE - MARABA")</f>
        <v>DRE - MARABA</v>
      </c>
      <c r="F880" s="1">
        <f ca="1">IFERROR(__xludf.DUMMYFUNCTION("""COMPUTED_VALUE"""),3)</f>
        <v>3</v>
      </c>
      <c r="G880" s="1" t="str">
        <f ca="1">IFERROR(__xludf.DUMMYFUNCTION("""COMPUTED_VALUE"""),"DRE MARABA")</f>
        <v>DRE MARABA</v>
      </c>
      <c r="H880" s="1" t="str">
        <f ca="1">IFERROR(__xludf.DUMMYFUNCTION("""COMPUTED_VALUE"""),"04A URE - MARABA")</f>
        <v>04A URE - MARABA</v>
      </c>
      <c r="I880" s="1"/>
      <c r="J880" s="1" t="str">
        <f ca="1">IFERROR(__xludf.DUMMYFUNCTION("""COMPUTED_VALUE"""),"SAO GERALDO DO ARAGUAIA")</f>
        <v>SAO GERALDO DO ARAGUAIA</v>
      </c>
      <c r="K880" s="1">
        <f ca="1">IFERROR(__xludf.DUMMYFUNCTION("""COMPUTED_VALUE"""),15215008)</f>
        <v>15215008</v>
      </c>
      <c r="L880" s="2" t="str">
        <f ca="1">IFERROR(__xludf.DUMMYFUNCTION("""COMPUTED_VALUE"""),"001920937430000")</f>
        <v>001920937430000</v>
      </c>
      <c r="M880" s="2" t="str">
        <f ca="1">IFERROR(__xludf.DUMMYFUNCTION("""COMPUTED_VALUE"""),"1920937430000")</f>
        <v>1920937430000</v>
      </c>
      <c r="N880" s="1" t="str">
        <f ca="1">IFERROR(__xludf.DUMMYFUNCTION("""COMPUTED_VALUE"""),"EEEM NOVO PARAISO")</f>
        <v>EEEM NOVO PARAISO</v>
      </c>
      <c r="O880" s="1"/>
      <c r="P880" s="1"/>
      <c r="Q880" s="1" t="s">
        <v>822</v>
      </c>
    </row>
    <row r="881" spans="1:17" x14ac:dyDescent="0.25">
      <c r="A881" s="2" t="str">
        <f ca="1">IFERROR(__xludf.DUMMYFUNCTION("""COMPUTED_VALUE"""),"REG DE INTEGRA DO CARAJAS")</f>
        <v>REG DE INTEGRA DO CARAJAS</v>
      </c>
      <c r="B881" s="1" t="str">
        <f ca="1">IFERROR(__xludf.DUMMYFUNCTION("""COMPUTED_VALUE"""),"DRE MARABA")</f>
        <v>DRE MARABA</v>
      </c>
      <c r="C881" s="2" t="str">
        <f ca="1">IFERROR(__xludf.DUMMYFUNCTION("""COMPUTED_VALUE"""),"DRE - MARABA")</f>
        <v>DRE - MARABA</v>
      </c>
      <c r="D881" s="1"/>
      <c r="E881" s="2" t="str">
        <f ca="1">IFERROR(__xludf.DUMMYFUNCTION("""COMPUTED_VALUE"""),"DRE - MARABA")</f>
        <v>DRE - MARABA</v>
      </c>
      <c r="F881" s="1"/>
      <c r="G881" s="1"/>
      <c r="H881" s="1" t="str">
        <f ca="1">IFERROR(__xludf.DUMMYFUNCTION("""COMPUTED_VALUE"""),"04A URE - MARABA")</f>
        <v>04A URE - MARABA</v>
      </c>
      <c r="I881" s="1"/>
      <c r="J881" s="1" t="str">
        <f ca="1">IFERROR(__xludf.DUMMYFUNCTION("""COMPUTED_VALUE"""),"SAO GERALDO DO ARAGUAIA")</f>
        <v>SAO GERALDO DO ARAGUAIA</v>
      </c>
      <c r="K881" s="1"/>
      <c r="L881" s="2" t="str">
        <f ca="1">IFERROR(__xludf.DUMMYFUNCTION("""COMPUTED_VALUE"""),"001920982000000")</f>
        <v>001920982000000</v>
      </c>
      <c r="M881" s="2" t="str">
        <f ca="1">IFERROR(__xludf.DUMMYFUNCTION("""COMPUTED_VALUE"""),"1920982000000")</f>
        <v>1920982000000</v>
      </c>
      <c r="N881" s="1" t="str">
        <f ca="1">IFERROR(__xludf.DUMMYFUNCTION("""COMPUTED_VALUE"""),"ESCOLA ESTADUAL RURAL DE SAO GERALDO DO ARAGUAIA")</f>
        <v>ESCOLA ESTADUAL RURAL DE SAO GERALDO DO ARAGUAIA</v>
      </c>
      <c r="O881" s="1"/>
      <c r="P881" s="1"/>
      <c r="Q881" s="1" t="s">
        <v>822</v>
      </c>
    </row>
    <row r="882" spans="1:17" x14ac:dyDescent="0.25">
      <c r="A882" s="2" t="str">
        <f ca="1">IFERROR(__xludf.DUMMYFUNCTION("""COMPUTED_VALUE"""),"REG DE INTEGRA DO CARAJAS")</f>
        <v>REG DE INTEGRA DO CARAJAS</v>
      </c>
      <c r="B882" s="1" t="str">
        <f ca="1">IFERROR(__xludf.DUMMYFUNCTION("""COMPUTED_VALUE"""),"DRE MARABA")</f>
        <v>DRE MARABA</v>
      </c>
      <c r="C882" s="2" t="str">
        <f ca="1">IFERROR(__xludf.DUMMYFUNCTION("""COMPUTED_VALUE"""),"DRE - MARABA")</f>
        <v>DRE - MARABA</v>
      </c>
      <c r="D882" s="1"/>
      <c r="E882" s="2" t="str">
        <f ca="1">IFERROR(__xludf.DUMMYFUNCTION("""COMPUTED_VALUE"""),"DRE - MARABA")</f>
        <v>DRE - MARABA</v>
      </c>
      <c r="F882" s="1">
        <f ca="1">IFERROR(__xludf.DUMMYFUNCTION("""COMPUTED_VALUE"""),3)</f>
        <v>3</v>
      </c>
      <c r="G882" s="1"/>
      <c r="H882" s="1" t="str">
        <f ca="1">IFERROR(__xludf.DUMMYFUNCTION("""COMPUTED_VALUE"""),"04A URE - MARABA")</f>
        <v>04A URE - MARABA</v>
      </c>
      <c r="I882" s="1"/>
      <c r="J882" s="1" t="str">
        <f ca="1">IFERROR(__xludf.DUMMYFUNCTION("""COMPUTED_VALUE"""),"SAO JOAO DO ARAGUAIA")</f>
        <v>SAO JOAO DO ARAGUAIA</v>
      </c>
      <c r="K882" s="1">
        <f ca="1">IFERROR(__xludf.DUMMYFUNCTION("""COMPUTED_VALUE"""),15177882)</f>
        <v>15177882</v>
      </c>
      <c r="L882" s="2" t="str">
        <f ca="1">IFERROR(__xludf.DUMMYFUNCTION("""COMPUTED_VALUE"""),"001920912300001")</f>
        <v>001920912300001</v>
      </c>
      <c r="M882" s="2" t="str">
        <f ca="1">IFERROR(__xludf.DUMMYFUNCTION("""COMPUTED_VALUE"""),"1920912300001")</f>
        <v>1920912300001</v>
      </c>
      <c r="N882" s="1" t="str">
        <f ca="1">IFERROR(__xludf.DUMMYFUNCTION("""COMPUTED_VALUE"""),"ANEXO RURAL DR ABEL FIGUEREDO")</f>
        <v>ANEXO RURAL DR ABEL FIGUEREDO</v>
      </c>
      <c r="O882" s="1"/>
      <c r="P882" s="1"/>
      <c r="Q882" s="1" t="s">
        <v>822</v>
      </c>
    </row>
    <row r="883" spans="1:17" x14ac:dyDescent="0.25">
      <c r="A883" s="2" t="str">
        <f ca="1">IFERROR(__xludf.DUMMYFUNCTION("""COMPUTED_VALUE"""),"REG DE INTEGRA DO CARAJAS")</f>
        <v>REG DE INTEGRA DO CARAJAS</v>
      </c>
      <c r="B883" s="1" t="str">
        <f ca="1">IFERROR(__xludf.DUMMYFUNCTION("""COMPUTED_VALUE"""),"DRE MARABA")</f>
        <v>DRE MARABA</v>
      </c>
      <c r="C883" s="2" t="str">
        <f ca="1">IFERROR(__xludf.DUMMYFUNCTION("""COMPUTED_VALUE"""),"DRE - MARABA")</f>
        <v>DRE - MARABA</v>
      </c>
      <c r="D883" s="1"/>
      <c r="E883" s="2" t="str">
        <f ca="1">IFERROR(__xludf.DUMMYFUNCTION("""COMPUTED_VALUE"""),"DRE - MARABA")</f>
        <v>DRE - MARABA</v>
      </c>
      <c r="F883" s="1">
        <f ca="1">IFERROR(__xludf.DUMMYFUNCTION("""COMPUTED_VALUE"""),3)</f>
        <v>3</v>
      </c>
      <c r="G883" s="1" t="str">
        <f ca="1">IFERROR(__xludf.DUMMYFUNCTION("""COMPUTED_VALUE"""),"DRE MARABA")</f>
        <v>DRE MARABA</v>
      </c>
      <c r="H883" s="1" t="str">
        <f ca="1">IFERROR(__xludf.DUMMYFUNCTION("""COMPUTED_VALUE"""),"04A URE - MARABA")</f>
        <v>04A URE - MARABA</v>
      </c>
      <c r="I883" s="1"/>
      <c r="J883" s="1" t="str">
        <f ca="1">IFERROR(__xludf.DUMMYFUNCTION("""COMPUTED_VALUE"""),"SAO JOAO DO ARAGUAIA")</f>
        <v>SAO JOAO DO ARAGUAIA</v>
      </c>
      <c r="K883" s="1">
        <f ca="1">IFERROR(__xludf.DUMMYFUNCTION("""COMPUTED_VALUE"""),15550087)</f>
        <v>15550087</v>
      </c>
      <c r="L883" s="2" t="str">
        <f ca="1">IFERROR(__xludf.DUMMYFUNCTION("""COMPUTED_VALUE"""),"001920912300000")</f>
        <v>001920912300000</v>
      </c>
      <c r="M883" s="2" t="str">
        <f ca="1">IFERROR(__xludf.DUMMYFUNCTION("""COMPUTED_VALUE"""),"1920912300000")</f>
        <v>1920912300000</v>
      </c>
      <c r="N883" s="1" t="str">
        <f ca="1">IFERROR(__xludf.DUMMYFUNCTION("""COMPUTED_VALUE"""),"EEEM DR ABEL FIGUEREDO")</f>
        <v>EEEM DR ABEL FIGUEREDO</v>
      </c>
      <c r="O883" s="1"/>
      <c r="P883" s="1"/>
      <c r="Q883" s="1" t="s">
        <v>822</v>
      </c>
    </row>
    <row r="884" spans="1:17" x14ac:dyDescent="0.25">
      <c r="A884" s="2" t="str">
        <f ca="1">IFERROR(__xludf.DUMMYFUNCTION("""COMPUTED_VALUE"""),"REG DE INTEGRA DO CARAJAS")</f>
        <v>REG DE INTEGRA DO CARAJAS</v>
      </c>
      <c r="B884" s="1" t="str">
        <f ca="1">IFERROR(__xludf.DUMMYFUNCTION("""COMPUTED_VALUE"""),"DRE MARABA")</f>
        <v>DRE MARABA</v>
      </c>
      <c r="C884" s="2" t="str">
        <f ca="1">IFERROR(__xludf.DUMMYFUNCTION("""COMPUTED_VALUE"""),"DRE - MARABA")</f>
        <v>DRE - MARABA</v>
      </c>
      <c r="D884" s="1"/>
      <c r="E884" s="2" t="str">
        <f ca="1">IFERROR(__xludf.DUMMYFUNCTION("""COMPUTED_VALUE"""),"DRE - MARABA")</f>
        <v>DRE - MARABA</v>
      </c>
      <c r="F884" s="1"/>
      <c r="G884" s="1"/>
      <c r="H884" s="1" t="str">
        <f ca="1">IFERROR(__xludf.DUMMYFUNCTION("""COMPUTED_VALUE"""),"04A URE - MARABA")</f>
        <v>04A URE - MARABA</v>
      </c>
      <c r="I884" s="1"/>
      <c r="J884" s="1" t="str">
        <f ca="1">IFERROR(__xludf.DUMMYFUNCTION("""COMPUTED_VALUE"""),"SAO JOAO DO ARAGUAIA")</f>
        <v>SAO JOAO DO ARAGUAIA</v>
      </c>
      <c r="K884" s="1"/>
      <c r="L884" s="2" t="str">
        <f ca="1">IFERROR(__xludf.DUMMYFUNCTION("""COMPUTED_VALUE"""),"001920983000000")</f>
        <v>001920983000000</v>
      </c>
      <c r="M884" s="2" t="str">
        <f ca="1">IFERROR(__xludf.DUMMYFUNCTION("""COMPUTED_VALUE"""),"1920983000000")</f>
        <v>1920983000000</v>
      </c>
      <c r="N884" s="1" t="str">
        <f ca="1">IFERROR(__xludf.DUMMYFUNCTION("""COMPUTED_VALUE"""),"ESCOLA ESTADUAL RURAL DE SAO JOAO DO ARAGUAIA")</f>
        <v>ESCOLA ESTADUAL RURAL DE SAO JOAO DO ARAGUAIA</v>
      </c>
      <c r="O884" s="1"/>
      <c r="P884" s="1"/>
      <c r="Q884" s="1" t="s">
        <v>822</v>
      </c>
    </row>
    <row r="885" spans="1:17" x14ac:dyDescent="0.25">
      <c r="A885" s="2" t="str">
        <f ca="1">IFERROR(__xludf.DUMMYFUNCTION("""COMPUTED_VALUE"""),"REG DE INTEGRA DO GUAMA")</f>
        <v>REG DE INTEGRA DO GUAMA</v>
      </c>
      <c r="B885" s="1" t="str">
        <f ca="1">IFERROR(__xludf.DUMMYFUNCTION("""COMPUTED_VALUE"""),"DRE MARACANA")</f>
        <v>DRE MARACANA</v>
      </c>
      <c r="C885" s="2" t="str">
        <f ca="1">IFERROR(__xludf.DUMMYFUNCTION("""COMPUTED_VALUE"""),"DRE - MARACANA")</f>
        <v>DRE - MARACANA</v>
      </c>
      <c r="D885" s="1"/>
      <c r="E885" s="2" t="str">
        <f ca="1">IFERROR(__xludf.DUMMYFUNCTION("""COMPUTED_VALUE"""),"DRE - MARACANA")</f>
        <v>DRE - MARACANA</v>
      </c>
      <c r="F885" s="1">
        <f ca="1">IFERROR(__xludf.DUMMYFUNCTION("""COMPUTED_VALUE"""),2)</f>
        <v>2</v>
      </c>
      <c r="G885" s="1" t="str">
        <f ca="1">IFERROR(__xludf.DUMMYFUNCTION("""COMPUTED_VALUE"""),"DRE MARACANA")</f>
        <v>DRE MARACANA</v>
      </c>
      <c r="H885" s="1" t="str">
        <f ca="1">IFERROR(__xludf.DUMMYFUNCTION("""COMPUTED_VALUE"""),"09A URE - MARACANA")</f>
        <v>09A URE - MARACANA</v>
      </c>
      <c r="I885" s="1"/>
      <c r="J885" s="1" t="str">
        <f ca="1">IFERROR(__xludf.DUMMYFUNCTION("""COMPUTED_VALUE"""),"IGARAPE-ACU")</f>
        <v>IGARAPE-ACU</v>
      </c>
      <c r="K885" s="1">
        <f ca="1">IFERROR(__xludf.DUMMYFUNCTION("""COMPUTED_VALUE"""),15060640)</f>
        <v>15060640</v>
      </c>
      <c r="L885" s="2" t="str">
        <f ca="1">IFERROR(__xludf.DUMMYFUNCTION("""COMPUTED_VALUE"""),"001920919100000")</f>
        <v>001920919100000</v>
      </c>
      <c r="M885" s="2" t="str">
        <f ca="1">IFERROR(__xludf.DUMMYFUNCTION("""COMPUTED_VALUE"""),"1920919100000")</f>
        <v>1920919100000</v>
      </c>
      <c r="N885" s="1" t="str">
        <f ca="1">IFERROR(__xludf.DUMMYFUNCTION("""COMPUTED_VALUE"""),"EEEF ANTONIO ALVES RAMOS")</f>
        <v>EEEF ANTONIO ALVES RAMOS</v>
      </c>
      <c r="O885" s="1"/>
      <c r="P885" s="1"/>
      <c r="Q885" s="1" t="s">
        <v>902</v>
      </c>
    </row>
    <row r="886" spans="1:17" x14ac:dyDescent="0.25">
      <c r="A886" s="2" t="str">
        <f ca="1">IFERROR(__xludf.DUMMYFUNCTION("""COMPUTED_VALUE"""),"REG DE INTEGRA DO GUAMA")</f>
        <v>REG DE INTEGRA DO GUAMA</v>
      </c>
      <c r="B886" s="1" t="str">
        <f ca="1">IFERROR(__xludf.DUMMYFUNCTION("""COMPUTED_VALUE"""),"DRE MARACANA")</f>
        <v>DRE MARACANA</v>
      </c>
      <c r="C886" s="2" t="str">
        <f ca="1">IFERROR(__xludf.DUMMYFUNCTION("""COMPUTED_VALUE"""),"DRE - MARACANA")</f>
        <v>DRE - MARACANA</v>
      </c>
      <c r="D886" s="1"/>
      <c r="E886" s="2" t="str">
        <f ca="1">IFERROR(__xludf.DUMMYFUNCTION("""COMPUTED_VALUE"""),"DRE - MARACANA")</f>
        <v>DRE - MARACANA</v>
      </c>
      <c r="F886" s="1">
        <f ca="1">IFERROR(__xludf.DUMMYFUNCTION("""COMPUTED_VALUE"""),2)</f>
        <v>2</v>
      </c>
      <c r="G886" s="1" t="str">
        <f ca="1">IFERROR(__xludf.DUMMYFUNCTION("""COMPUTED_VALUE"""),"DRE MARACANA")</f>
        <v>DRE MARACANA</v>
      </c>
      <c r="H886" s="1" t="str">
        <f ca="1">IFERROR(__xludf.DUMMYFUNCTION("""COMPUTED_VALUE"""),"09A URE - MARACANA")</f>
        <v>09A URE - MARACANA</v>
      </c>
      <c r="I886" s="1"/>
      <c r="J886" s="1" t="str">
        <f ca="1">IFERROR(__xludf.DUMMYFUNCTION("""COMPUTED_VALUE"""),"IGARAPE-ACU")</f>
        <v>IGARAPE-ACU</v>
      </c>
      <c r="K886" s="1">
        <f ca="1">IFERROR(__xludf.DUMMYFUNCTION("""COMPUTED_VALUE"""),15060667)</f>
        <v>15060667</v>
      </c>
      <c r="L886" s="2" t="str">
        <f ca="1">IFERROR(__xludf.DUMMYFUNCTION("""COMPUTED_VALUE"""),"001920919140000")</f>
        <v>001920919140000</v>
      </c>
      <c r="M886" s="2" t="str">
        <f ca="1">IFERROR(__xludf.DUMMYFUNCTION("""COMPUTED_VALUE"""),"1920919140000")</f>
        <v>1920919140000</v>
      </c>
      <c r="N886" s="1" t="str">
        <f ca="1">IFERROR(__xludf.DUMMYFUNCTION("""COMPUTED_VALUE"""),"EEEF DO CURI")</f>
        <v>EEEF DO CURI</v>
      </c>
      <c r="O886" s="1"/>
      <c r="P886" s="1"/>
      <c r="Q886" s="1" t="s">
        <v>902</v>
      </c>
    </row>
    <row r="887" spans="1:17" x14ac:dyDescent="0.25">
      <c r="A887" s="2" t="str">
        <f ca="1">IFERROR(__xludf.DUMMYFUNCTION("""COMPUTED_VALUE"""),"REG DE INTEGRA DO GUAMA")</f>
        <v>REG DE INTEGRA DO GUAMA</v>
      </c>
      <c r="B887" s="1" t="str">
        <f ca="1">IFERROR(__xludf.DUMMYFUNCTION("""COMPUTED_VALUE"""),"DRE MARACANA")</f>
        <v>DRE MARACANA</v>
      </c>
      <c r="C887" s="2" t="str">
        <f ca="1">IFERROR(__xludf.DUMMYFUNCTION("""COMPUTED_VALUE"""),"DRE - MARACANA")</f>
        <v>DRE - MARACANA</v>
      </c>
      <c r="D887" s="1"/>
      <c r="E887" s="2" t="str">
        <f ca="1">IFERROR(__xludf.DUMMYFUNCTION("""COMPUTED_VALUE"""),"DRE - MARACANA")</f>
        <v>DRE - MARACANA</v>
      </c>
      <c r="F887" s="1">
        <f ca="1">IFERROR(__xludf.DUMMYFUNCTION("""COMPUTED_VALUE"""),2)</f>
        <v>2</v>
      </c>
      <c r="G887" s="1" t="str">
        <f ca="1">IFERROR(__xludf.DUMMYFUNCTION("""COMPUTED_VALUE"""),"DRE MARACANA")</f>
        <v>DRE MARACANA</v>
      </c>
      <c r="H887" s="1" t="str">
        <f ca="1">IFERROR(__xludf.DUMMYFUNCTION("""COMPUTED_VALUE"""),"09A URE - MARACANA")</f>
        <v>09A URE - MARACANA</v>
      </c>
      <c r="I887" s="1"/>
      <c r="J887" s="1" t="str">
        <f ca="1">IFERROR(__xludf.DUMMYFUNCTION("""COMPUTED_VALUE"""),"IGARAPE-ACU")</f>
        <v>IGARAPE-ACU</v>
      </c>
      <c r="K887" s="1">
        <f ca="1">IFERROR(__xludf.DUMMYFUNCTION("""COMPUTED_VALUE"""),15060675)</f>
        <v>15060675</v>
      </c>
      <c r="L887" s="2" t="str">
        <f ca="1">IFERROR(__xludf.DUMMYFUNCTION("""COMPUTED_VALUE"""),"001920919040000")</f>
        <v>001920919040000</v>
      </c>
      <c r="M887" s="2" t="str">
        <f ca="1">IFERROR(__xludf.DUMMYFUNCTION("""COMPUTED_VALUE"""),"1920919040000")</f>
        <v>1920919040000</v>
      </c>
      <c r="N887" s="1" t="str">
        <f ca="1">IFERROR(__xludf.DUMMYFUNCTION("""COMPUTED_VALUE"""),"EEEF DR ANGELO CESARINO")</f>
        <v>EEEF DR ANGELO CESARINO</v>
      </c>
      <c r="O887" s="1"/>
      <c r="P887" s="1"/>
      <c r="Q887" s="1" t="s">
        <v>902</v>
      </c>
    </row>
    <row r="888" spans="1:17" x14ac:dyDescent="0.25">
      <c r="A888" s="2" t="str">
        <f ca="1">IFERROR(__xludf.DUMMYFUNCTION("""COMPUTED_VALUE"""),"REG DE INTEGRA DO GUAMA")</f>
        <v>REG DE INTEGRA DO GUAMA</v>
      </c>
      <c r="B888" s="1" t="str">
        <f ca="1">IFERROR(__xludf.DUMMYFUNCTION("""COMPUTED_VALUE"""),"DRE MARACANA")</f>
        <v>DRE MARACANA</v>
      </c>
      <c r="C888" s="2" t="str">
        <f ca="1">IFERROR(__xludf.DUMMYFUNCTION("""COMPUTED_VALUE"""),"DRE - MARACANA")</f>
        <v>DRE - MARACANA</v>
      </c>
      <c r="D888" s="1"/>
      <c r="E888" s="2" t="str">
        <f ca="1">IFERROR(__xludf.DUMMYFUNCTION("""COMPUTED_VALUE"""),"DRE - MARACANA")</f>
        <v>DRE - MARACANA</v>
      </c>
      <c r="F888" s="1">
        <f ca="1">IFERROR(__xludf.DUMMYFUNCTION("""COMPUTED_VALUE"""),2)</f>
        <v>2</v>
      </c>
      <c r="G888" s="1" t="str">
        <f ca="1">IFERROR(__xludf.DUMMYFUNCTION("""COMPUTED_VALUE"""),"DRE MARACANA")</f>
        <v>DRE MARACANA</v>
      </c>
      <c r="H888" s="1" t="str">
        <f ca="1">IFERROR(__xludf.DUMMYFUNCTION("""COMPUTED_VALUE"""),"09A URE - MARACANA")</f>
        <v>09A URE - MARACANA</v>
      </c>
      <c r="I888" s="1"/>
      <c r="J888" s="1" t="str">
        <f ca="1">IFERROR(__xludf.DUMMYFUNCTION("""COMPUTED_VALUE"""),"IGARAPE-ACU")</f>
        <v>IGARAPE-ACU</v>
      </c>
      <c r="K888" s="1">
        <f ca="1">IFERROR(__xludf.DUMMYFUNCTION("""COMPUTED_VALUE"""),15060608)</f>
        <v>15060608</v>
      </c>
      <c r="L888" s="2" t="str">
        <f ca="1">IFERROR(__xludf.DUMMYFUNCTION("""COMPUTED_VALUE"""),"001920901450000")</f>
        <v>001920901450000</v>
      </c>
      <c r="M888" s="2" t="str">
        <f ca="1">IFERROR(__xludf.DUMMYFUNCTION("""COMPUTED_VALUE"""),"1920901450000")</f>
        <v>1920901450000</v>
      </c>
      <c r="N888" s="1" t="str">
        <f ca="1">IFERROR(__xludf.DUMMYFUNCTION("""COMPUTED_VALUE"""),"EEEF JOSE ELIAS EMIN")</f>
        <v>EEEF JOSE ELIAS EMIN</v>
      </c>
      <c r="O888" s="1"/>
      <c r="P888" s="1"/>
      <c r="Q888" s="1" t="s">
        <v>902</v>
      </c>
    </row>
    <row r="889" spans="1:17" x14ac:dyDescent="0.25">
      <c r="A889" s="2" t="str">
        <f ca="1">IFERROR(__xludf.DUMMYFUNCTION("""COMPUTED_VALUE"""),"REG DE INTEGRA DO GUAMA")</f>
        <v>REG DE INTEGRA DO GUAMA</v>
      </c>
      <c r="B889" s="1" t="str">
        <f ca="1">IFERROR(__xludf.DUMMYFUNCTION("""COMPUTED_VALUE"""),"DRE MARACANA")</f>
        <v>DRE MARACANA</v>
      </c>
      <c r="C889" s="2" t="str">
        <f ca="1">IFERROR(__xludf.DUMMYFUNCTION("""COMPUTED_VALUE"""),"DRE - MARACANA")</f>
        <v>DRE - MARACANA</v>
      </c>
      <c r="D889" s="1"/>
      <c r="E889" s="2" t="str">
        <f ca="1">IFERROR(__xludf.DUMMYFUNCTION("""COMPUTED_VALUE"""),"DRE - MARACANA")</f>
        <v>DRE - MARACANA</v>
      </c>
      <c r="F889" s="1">
        <f ca="1">IFERROR(__xludf.DUMMYFUNCTION("""COMPUTED_VALUE"""),2)</f>
        <v>2</v>
      </c>
      <c r="G889" s="1" t="str">
        <f ca="1">IFERROR(__xludf.DUMMYFUNCTION("""COMPUTED_VALUE"""),"DRE MARACANA")</f>
        <v>DRE MARACANA</v>
      </c>
      <c r="H889" s="1" t="str">
        <f ca="1">IFERROR(__xludf.DUMMYFUNCTION("""COMPUTED_VALUE"""),"09A URE - MARACANA")</f>
        <v>09A URE - MARACANA</v>
      </c>
      <c r="I889" s="1"/>
      <c r="J889" s="1" t="str">
        <f ca="1">IFERROR(__xludf.DUMMYFUNCTION("""COMPUTED_VALUE"""),"IGARAPE-ACU")</f>
        <v>IGARAPE-ACU</v>
      </c>
      <c r="K889" s="1">
        <f ca="1">IFERROR(__xludf.DUMMYFUNCTION("""COMPUTED_VALUE"""),15060705)</f>
        <v>15060705</v>
      </c>
      <c r="L889" s="2" t="str">
        <f ca="1">IFERROR(__xludf.DUMMYFUNCTION("""COMPUTED_VALUE"""),"001920919080000")</f>
        <v>001920919080000</v>
      </c>
      <c r="M889" s="2" t="str">
        <f ca="1">IFERROR(__xludf.DUMMYFUNCTION("""COMPUTED_VALUE"""),"1920919080000")</f>
        <v>1920919080000</v>
      </c>
      <c r="N889" s="1" t="str">
        <f ca="1">IFERROR(__xludf.DUMMYFUNCTION("""COMPUTED_VALUE"""),"EEEF MACARIO FELIPE ANTONIO")</f>
        <v>EEEF MACARIO FELIPE ANTONIO</v>
      </c>
      <c r="O889" s="1"/>
      <c r="P889" s="1"/>
      <c r="Q889" s="1" t="s">
        <v>902</v>
      </c>
    </row>
    <row r="890" spans="1:17" x14ac:dyDescent="0.25">
      <c r="A890" s="2" t="str">
        <f ca="1">IFERROR(__xludf.DUMMYFUNCTION("""COMPUTED_VALUE"""),"REG DE INTEGRA DO GUAMA")</f>
        <v>REG DE INTEGRA DO GUAMA</v>
      </c>
      <c r="B890" s="1" t="str">
        <f ca="1">IFERROR(__xludf.DUMMYFUNCTION("""COMPUTED_VALUE"""),"DRE MARACANA")</f>
        <v>DRE MARACANA</v>
      </c>
      <c r="C890" s="2" t="str">
        <f ca="1">IFERROR(__xludf.DUMMYFUNCTION("""COMPUTED_VALUE"""),"DRE - MARACANA")</f>
        <v>DRE - MARACANA</v>
      </c>
      <c r="D890" s="1"/>
      <c r="E890" s="2" t="str">
        <f ca="1">IFERROR(__xludf.DUMMYFUNCTION("""COMPUTED_VALUE"""),"DRE - MARACANA")</f>
        <v>DRE - MARACANA</v>
      </c>
      <c r="F890" s="1">
        <f ca="1">IFERROR(__xludf.DUMMYFUNCTION("""COMPUTED_VALUE"""),2)</f>
        <v>2</v>
      </c>
      <c r="G890" s="1" t="str">
        <f ca="1">IFERROR(__xludf.DUMMYFUNCTION("""COMPUTED_VALUE"""),"DRE MARACANA")</f>
        <v>DRE MARACANA</v>
      </c>
      <c r="H890" s="1" t="str">
        <f ca="1">IFERROR(__xludf.DUMMYFUNCTION("""COMPUTED_VALUE"""),"09A URE - MARACANA")</f>
        <v>09A URE - MARACANA</v>
      </c>
      <c r="I890" s="1"/>
      <c r="J890" s="1" t="str">
        <f ca="1">IFERROR(__xludf.DUMMYFUNCTION("""COMPUTED_VALUE"""),"IGARAPE-ACU")</f>
        <v>IGARAPE-ACU</v>
      </c>
      <c r="K890" s="1">
        <f ca="1">IFERROR(__xludf.DUMMYFUNCTION("""COMPUTED_VALUE"""),15060683)</f>
        <v>15060683</v>
      </c>
      <c r="L890" s="2" t="str">
        <f ca="1">IFERROR(__xludf.DUMMYFUNCTION("""COMPUTED_VALUE"""),"001920919170000")</f>
        <v>001920919170000</v>
      </c>
      <c r="M890" s="2" t="str">
        <f ca="1">IFERROR(__xludf.DUMMYFUNCTION("""COMPUTED_VALUE"""),"1920919170000")</f>
        <v>1920919170000</v>
      </c>
      <c r="N890" s="1" t="str">
        <f ca="1">IFERROR(__xludf.DUMMYFUNCTION("""COMPUTED_VALUE"""),"EEEF. JOAO PAULO II")</f>
        <v>EEEF. JOAO PAULO II</v>
      </c>
      <c r="O890" s="1"/>
      <c r="P890" s="1"/>
      <c r="Q890" s="1" t="s">
        <v>902</v>
      </c>
    </row>
    <row r="891" spans="1:17" x14ac:dyDescent="0.25">
      <c r="A891" s="2" t="str">
        <f ca="1">IFERROR(__xludf.DUMMYFUNCTION("""COMPUTED_VALUE"""),"REG DE INTEGRA DO GUAMA")</f>
        <v>REG DE INTEGRA DO GUAMA</v>
      </c>
      <c r="B891" s="1" t="str">
        <f ca="1">IFERROR(__xludf.DUMMYFUNCTION("""COMPUTED_VALUE"""),"DRE MARACANA")</f>
        <v>DRE MARACANA</v>
      </c>
      <c r="C891" s="2" t="str">
        <f ca="1">IFERROR(__xludf.DUMMYFUNCTION("""COMPUTED_VALUE"""),"DRE - MARACANA")</f>
        <v>DRE - MARACANA</v>
      </c>
      <c r="D891" s="1"/>
      <c r="E891" s="2" t="str">
        <f ca="1">IFERROR(__xludf.DUMMYFUNCTION("""COMPUTED_VALUE"""),"DRE - MARACANA")</f>
        <v>DRE - MARACANA</v>
      </c>
      <c r="F891" s="1">
        <f ca="1">IFERROR(__xludf.DUMMYFUNCTION("""COMPUTED_VALUE"""),2)</f>
        <v>2</v>
      </c>
      <c r="G891" s="1" t="str">
        <f ca="1">IFERROR(__xludf.DUMMYFUNCTION("""COMPUTED_VALUE"""),"DRE MARACANA")</f>
        <v>DRE MARACANA</v>
      </c>
      <c r="H891" s="1" t="str">
        <f ca="1">IFERROR(__xludf.DUMMYFUNCTION("""COMPUTED_VALUE"""),"09A URE - MARACANA")</f>
        <v>09A URE - MARACANA</v>
      </c>
      <c r="I891" s="1"/>
      <c r="J891" s="1" t="str">
        <f ca="1">IFERROR(__xludf.DUMMYFUNCTION("""COMPUTED_VALUE"""),"IGARAPE-ACU")</f>
        <v>IGARAPE-ACU</v>
      </c>
      <c r="K891" s="1">
        <f ca="1">IFERROR(__xludf.DUMMYFUNCTION("""COMPUTED_VALUE"""),15060659)</f>
        <v>15060659</v>
      </c>
      <c r="L891" s="2" t="str">
        <f ca="1">IFERROR(__xludf.DUMMYFUNCTION("""COMPUTED_VALUE"""),"001920919090000")</f>
        <v>001920919090000</v>
      </c>
      <c r="M891" s="2" t="str">
        <f ca="1">IFERROR(__xludf.DUMMYFUNCTION("""COMPUTED_VALUE"""),"1920919090000")</f>
        <v>1920919090000</v>
      </c>
      <c r="N891" s="1" t="str">
        <f ca="1">IFERROR(__xludf.DUMMYFUNCTION("""COMPUTED_VALUE"""),"EEEFM CONEGO CALADO")</f>
        <v>EEEFM CONEGO CALADO</v>
      </c>
      <c r="O891" s="1"/>
      <c r="P891" s="1"/>
      <c r="Q891" s="1" t="s">
        <v>902</v>
      </c>
    </row>
    <row r="892" spans="1:17" x14ac:dyDescent="0.25">
      <c r="A892" s="2" t="str">
        <f ca="1">IFERROR(__xludf.DUMMYFUNCTION("""COMPUTED_VALUE"""),"REG DE INTEGRA DO GUAMA")</f>
        <v>REG DE INTEGRA DO GUAMA</v>
      </c>
      <c r="B892" s="1" t="str">
        <f ca="1">IFERROR(__xludf.DUMMYFUNCTION("""COMPUTED_VALUE"""),"DRE MARACANA")</f>
        <v>DRE MARACANA</v>
      </c>
      <c r="C892" s="2" t="str">
        <f ca="1">IFERROR(__xludf.DUMMYFUNCTION("""COMPUTED_VALUE"""),"DRE - MARACANA")</f>
        <v>DRE - MARACANA</v>
      </c>
      <c r="D892" s="1"/>
      <c r="E892" s="2" t="str">
        <f ca="1">IFERROR(__xludf.DUMMYFUNCTION("""COMPUTED_VALUE"""),"DRE - MARACANA")</f>
        <v>DRE - MARACANA</v>
      </c>
      <c r="F892" s="1">
        <f ca="1">IFERROR(__xludf.DUMMYFUNCTION("""COMPUTED_VALUE"""),2)</f>
        <v>2</v>
      </c>
      <c r="G892" s="1" t="str">
        <f ca="1">IFERROR(__xludf.DUMMYFUNCTION("""COMPUTED_VALUE"""),"DRE MARACANA")</f>
        <v>DRE MARACANA</v>
      </c>
      <c r="H892" s="1" t="str">
        <f ca="1">IFERROR(__xludf.DUMMYFUNCTION("""COMPUTED_VALUE"""),"09A URE - MARACANA")</f>
        <v>09A URE - MARACANA</v>
      </c>
      <c r="I892" s="1"/>
      <c r="J892" s="1" t="str">
        <f ca="1">IFERROR(__xludf.DUMMYFUNCTION("""COMPUTED_VALUE"""),"IGARAPE-ACU")</f>
        <v>IGARAPE-ACU</v>
      </c>
      <c r="K892" s="1">
        <f ca="1">IFERROR(__xludf.DUMMYFUNCTION("""COMPUTED_VALUE"""),15061159)</f>
        <v>15061159</v>
      </c>
      <c r="L892" s="2" t="str">
        <f ca="1">IFERROR(__xludf.DUMMYFUNCTION("""COMPUTED_VALUE"""),"001920919050000")</f>
        <v>001920919050000</v>
      </c>
      <c r="M892" s="2" t="str">
        <f ca="1">IFERROR(__xludf.DUMMYFUNCTION("""COMPUTED_VALUE"""),"1920919050000")</f>
        <v>1920919050000</v>
      </c>
      <c r="N892" s="1" t="str">
        <f ca="1">IFERROR(__xludf.DUMMYFUNCTION("""COMPUTED_VALUE"""),"EEEFM JOAO BATISTA DE MOURA CARVALHO")</f>
        <v>EEEFM JOAO BATISTA DE MOURA CARVALHO</v>
      </c>
      <c r="O892" s="1"/>
      <c r="P892" s="1"/>
      <c r="Q892" s="1" t="s">
        <v>902</v>
      </c>
    </row>
    <row r="893" spans="1:17" x14ac:dyDescent="0.25">
      <c r="A893" s="2" t="str">
        <f ca="1">IFERROR(__xludf.DUMMYFUNCTION("""COMPUTED_VALUE"""),"REG DE INTEGRA DO GUAMA")</f>
        <v>REG DE INTEGRA DO GUAMA</v>
      </c>
      <c r="B893" s="1" t="str">
        <f ca="1">IFERROR(__xludf.DUMMYFUNCTION("""COMPUTED_VALUE"""),"DRE MARACANA")</f>
        <v>DRE MARACANA</v>
      </c>
      <c r="C893" s="2" t="str">
        <f ca="1">IFERROR(__xludf.DUMMYFUNCTION("""COMPUTED_VALUE"""),"DRE - MARACANA")</f>
        <v>DRE - MARACANA</v>
      </c>
      <c r="D893" s="1"/>
      <c r="E893" s="2" t="str">
        <f ca="1">IFERROR(__xludf.DUMMYFUNCTION("""COMPUTED_VALUE"""),"DRE - MARACANA")</f>
        <v>DRE - MARACANA</v>
      </c>
      <c r="F893" s="1">
        <f ca="1">IFERROR(__xludf.DUMMYFUNCTION("""COMPUTED_VALUE"""),2)</f>
        <v>2</v>
      </c>
      <c r="G893" s="1" t="str">
        <f ca="1">IFERROR(__xludf.DUMMYFUNCTION("""COMPUTED_VALUE"""),"DRE MARACANA")</f>
        <v>DRE MARACANA</v>
      </c>
      <c r="H893" s="1" t="str">
        <f ca="1">IFERROR(__xludf.DUMMYFUNCTION("""COMPUTED_VALUE"""),"09A URE - MARACANA")</f>
        <v>09A URE - MARACANA</v>
      </c>
      <c r="I893" s="1"/>
      <c r="J893" s="1" t="str">
        <f ca="1">IFERROR(__xludf.DUMMYFUNCTION("""COMPUTED_VALUE"""),"IGARAPE-ACU")</f>
        <v>IGARAPE-ACU</v>
      </c>
      <c r="K893" s="1">
        <f ca="1">IFERROR(__xludf.DUMMYFUNCTION("""COMPUTED_VALUE"""),15060730)</f>
        <v>15060730</v>
      </c>
      <c r="L893" s="2" t="str">
        <f ca="1">IFERROR(__xludf.DUMMYFUNCTION("""COMPUTED_VALUE"""),"001920924480000")</f>
        <v>001920924480000</v>
      </c>
      <c r="M893" s="2" t="str">
        <f ca="1">IFERROR(__xludf.DUMMYFUNCTION("""COMPUTED_VALUE"""),"1920924480000")</f>
        <v>1920924480000</v>
      </c>
      <c r="N893" s="1" t="str">
        <f ca="1">IFERROR(__xludf.DUMMYFUNCTION("""COMPUTED_VALUE"""),"EEEFM NILO DE OLIVEIRA")</f>
        <v>EEEFM NILO DE OLIVEIRA</v>
      </c>
      <c r="O893" s="1"/>
      <c r="P893" s="1"/>
      <c r="Q893" s="1" t="s">
        <v>902</v>
      </c>
    </row>
    <row r="894" spans="1:17" x14ac:dyDescent="0.25">
      <c r="A894" s="2" t="str">
        <f ca="1">IFERROR(__xludf.DUMMYFUNCTION("""COMPUTED_VALUE"""),"REG DE INTEGRA DO GUAMA")</f>
        <v>REG DE INTEGRA DO GUAMA</v>
      </c>
      <c r="B894" s="1" t="str">
        <f ca="1">IFERROR(__xludf.DUMMYFUNCTION("""COMPUTED_VALUE"""),"DRE MARACANA")</f>
        <v>DRE MARACANA</v>
      </c>
      <c r="C894" s="2" t="str">
        <f ca="1">IFERROR(__xludf.DUMMYFUNCTION("""COMPUTED_VALUE"""),"DRE - MARACANA")</f>
        <v>DRE - MARACANA</v>
      </c>
      <c r="D894" s="1"/>
      <c r="E894" s="2" t="str">
        <f ca="1">IFERROR(__xludf.DUMMYFUNCTION("""COMPUTED_VALUE"""),"DRE - MARACANA")</f>
        <v>DRE - MARACANA</v>
      </c>
      <c r="F894" s="1">
        <f ca="1">IFERROR(__xludf.DUMMYFUNCTION("""COMPUTED_VALUE"""),2)</f>
        <v>2</v>
      </c>
      <c r="G894" s="1" t="str">
        <f ca="1">IFERROR(__xludf.DUMMYFUNCTION("""COMPUTED_VALUE"""),"DRE MARACANA")</f>
        <v>DRE MARACANA</v>
      </c>
      <c r="H894" s="1" t="str">
        <f ca="1">IFERROR(__xludf.DUMMYFUNCTION("""COMPUTED_VALUE"""),"09A URE - MARACANA")</f>
        <v>09A URE - MARACANA</v>
      </c>
      <c r="I894" s="1"/>
      <c r="J894" s="1" t="str">
        <f ca="1">IFERROR(__xludf.DUMMYFUNCTION("""COMPUTED_VALUE"""),"IGARAPE-ACU")</f>
        <v>IGARAPE-ACU</v>
      </c>
      <c r="K894" s="1">
        <f ca="1">IFERROR(__xludf.DUMMYFUNCTION("""COMPUTED_VALUE"""),15060721)</f>
        <v>15060721</v>
      </c>
      <c r="L894" s="2" t="str">
        <f ca="1">IFERROR(__xludf.DUMMYFUNCTION("""COMPUTED_VALUE"""),"001920927330000")</f>
        <v>001920927330000</v>
      </c>
      <c r="M894" s="2" t="str">
        <f ca="1">IFERROR(__xludf.DUMMYFUNCTION("""COMPUTED_VALUE"""),"1920927330000")</f>
        <v>1920927330000</v>
      </c>
      <c r="N894" s="1" t="str">
        <f ca="1">IFERROR(__xludf.DUMMYFUNCTION("""COMPUTED_VALUE"""),"EEEM FREI DANIEL DE SAMARATE")</f>
        <v>EEEM FREI DANIEL DE SAMARATE</v>
      </c>
      <c r="O894" s="1"/>
      <c r="P894" s="1"/>
      <c r="Q894" s="1" t="s">
        <v>902</v>
      </c>
    </row>
    <row r="895" spans="1:17" x14ac:dyDescent="0.25">
      <c r="A895" s="2" t="str">
        <f ca="1">IFERROR(__xludf.DUMMYFUNCTION("""COMPUTED_VALUE"""),"REG DE INTEGRA DO GUAMA")</f>
        <v>REG DE INTEGRA DO GUAMA</v>
      </c>
      <c r="B895" s="1" t="str">
        <f ca="1">IFERROR(__xludf.DUMMYFUNCTION("""COMPUTED_VALUE"""),"DRE MARACANA")</f>
        <v>DRE MARACANA</v>
      </c>
      <c r="C895" s="2" t="str">
        <f ca="1">IFERROR(__xludf.DUMMYFUNCTION("""COMPUTED_VALUE"""),"DRE - MARACANA")</f>
        <v>DRE - MARACANA</v>
      </c>
      <c r="D895" s="1"/>
      <c r="E895" s="2" t="str">
        <f ca="1">IFERROR(__xludf.DUMMYFUNCTION("""COMPUTED_VALUE"""),"DRE - MARACANA")</f>
        <v>DRE - MARACANA</v>
      </c>
      <c r="F895" s="1">
        <f ca="1">IFERROR(__xludf.DUMMYFUNCTION("""COMPUTED_VALUE"""),2)</f>
        <v>2</v>
      </c>
      <c r="G895" s="1" t="str">
        <f ca="1">IFERROR(__xludf.DUMMYFUNCTION("""COMPUTED_VALUE"""),"DRE MARACANA")</f>
        <v>DRE MARACANA</v>
      </c>
      <c r="H895" s="1" t="str">
        <f ca="1">IFERROR(__xludf.DUMMYFUNCTION("""COMPUTED_VALUE"""),"09A URE - MARACANA")</f>
        <v>09A URE - MARACANA</v>
      </c>
      <c r="I895" s="1"/>
      <c r="J895" s="1" t="str">
        <f ca="1">IFERROR(__xludf.DUMMYFUNCTION("""COMPUTED_VALUE"""),"IGARAPE-ACU")</f>
        <v>IGARAPE-ACU</v>
      </c>
      <c r="K895" s="1">
        <f ca="1">IFERROR(__xludf.DUMMYFUNCTION("""COMPUTED_VALUE"""),15156303)</f>
        <v>15156303</v>
      </c>
      <c r="L895" s="2" t="str">
        <f ca="1">IFERROR(__xludf.DUMMYFUNCTION("""COMPUTED_VALUE"""),"001920937490000")</f>
        <v>001920937490000</v>
      </c>
      <c r="M895" s="2" t="str">
        <f ca="1">IFERROR(__xludf.DUMMYFUNCTION("""COMPUTED_VALUE"""),"1920937490000")</f>
        <v>1920937490000</v>
      </c>
      <c r="N895" s="1" t="str">
        <f ca="1">IFERROR(__xludf.DUMMYFUNCTION("""COMPUTED_VALUE"""),"EEEM PROF MARIA IONE HENRIQUE")</f>
        <v>EEEM PROF MARIA IONE HENRIQUE</v>
      </c>
      <c r="O895" s="1"/>
      <c r="P895" s="1"/>
      <c r="Q895" s="1" t="s">
        <v>902</v>
      </c>
    </row>
    <row r="896" spans="1:17" x14ac:dyDescent="0.25">
      <c r="A896" s="2" t="str">
        <f ca="1">IFERROR(__xludf.DUMMYFUNCTION("""COMPUTED_VALUE"""),"REG DE INTEGRA DO GUAMA")</f>
        <v>REG DE INTEGRA DO GUAMA</v>
      </c>
      <c r="B896" s="1" t="str">
        <f ca="1">IFERROR(__xludf.DUMMYFUNCTION("""COMPUTED_VALUE"""),"DRE MARACANA")</f>
        <v>DRE MARACANA</v>
      </c>
      <c r="C896" s="2" t="str">
        <f ca="1">IFERROR(__xludf.DUMMYFUNCTION("""COMPUTED_VALUE"""),"DRE - MARACANA")</f>
        <v>DRE - MARACANA</v>
      </c>
      <c r="D896" s="1"/>
      <c r="E896" s="2" t="str">
        <f ca="1">IFERROR(__xludf.DUMMYFUNCTION("""COMPUTED_VALUE"""),"DRE - MARACANA")</f>
        <v>DRE - MARACANA</v>
      </c>
      <c r="F896" s="1">
        <f ca="1">IFERROR(__xludf.DUMMYFUNCTION("""COMPUTED_VALUE"""),2)</f>
        <v>2</v>
      </c>
      <c r="G896" s="1" t="str">
        <f ca="1">IFERROR(__xludf.DUMMYFUNCTION("""COMPUTED_VALUE"""),"DRE MARACANA")</f>
        <v>DRE MARACANA</v>
      </c>
      <c r="H896" s="1" t="str">
        <f ca="1">IFERROR(__xludf.DUMMYFUNCTION("""COMPUTED_VALUE"""),"09A URE - MARACANA")</f>
        <v>09A URE - MARACANA</v>
      </c>
      <c r="I896" s="1"/>
      <c r="J896" s="1" t="str">
        <f ca="1">IFERROR(__xludf.DUMMYFUNCTION("""COMPUTED_VALUE"""),"MAGALHAES BARATA")</f>
        <v>MAGALHAES BARATA</v>
      </c>
      <c r="K896" s="1">
        <f ca="1">IFERROR(__xludf.DUMMYFUNCTION("""COMPUTED_VALUE"""),15049957)</f>
        <v>15049957</v>
      </c>
      <c r="L896" s="2" t="str">
        <f ca="1">IFERROR(__xludf.DUMMYFUNCTION("""COMPUTED_VALUE"""),"001920918940000")</f>
        <v>001920918940000</v>
      </c>
      <c r="M896" s="2" t="str">
        <f ca="1">IFERROR(__xludf.DUMMYFUNCTION("""COMPUTED_VALUE"""),"1920918940000")</f>
        <v>1920918940000</v>
      </c>
      <c r="N896" s="1" t="str">
        <f ca="1">IFERROR(__xludf.DUMMYFUNCTION("""COMPUTED_VALUE"""),"EEEF LAMEIRA BITTENCOURT")</f>
        <v>EEEF LAMEIRA BITTENCOURT</v>
      </c>
      <c r="O896" s="1"/>
      <c r="P896" s="1"/>
      <c r="Q896" s="1" t="s">
        <v>902</v>
      </c>
    </row>
    <row r="897" spans="1:17" x14ac:dyDescent="0.25">
      <c r="A897" s="2" t="str">
        <f ca="1">IFERROR(__xludf.DUMMYFUNCTION("""COMPUTED_VALUE"""),"REG DE INTEGRA DO GUAMA")</f>
        <v>REG DE INTEGRA DO GUAMA</v>
      </c>
      <c r="B897" s="1" t="str">
        <f ca="1">IFERROR(__xludf.DUMMYFUNCTION("""COMPUTED_VALUE"""),"DRE MARACANA")</f>
        <v>DRE MARACANA</v>
      </c>
      <c r="C897" s="2" t="str">
        <f ca="1">IFERROR(__xludf.DUMMYFUNCTION("""COMPUTED_VALUE"""),"DRE - MARACANA")</f>
        <v>DRE - MARACANA</v>
      </c>
      <c r="D897" s="1"/>
      <c r="E897" s="2" t="str">
        <f ca="1">IFERROR(__xludf.DUMMYFUNCTION("""COMPUTED_VALUE"""),"DRE - MARACANA")</f>
        <v>DRE - MARACANA</v>
      </c>
      <c r="F897" s="1">
        <f ca="1">IFERROR(__xludf.DUMMYFUNCTION("""COMPUTED_VALUE"""),2)</f>
        <v>2</v>
      </c>
      <c r="G897" s="1" t="str">
        <f ca="1">IFERROR(__xludf.DUMMYFUNCTION("""COMPUTED_VALUE"""),"DRE MARACANA")</f>
        <v>DRE MARACANA</v>
      </c>
      <c r="H897" s="1" t="str">
        <f ca="1">IFERROR(__xludf.DUMMYFUNCTION("""COMPUTED_VALUE"""),"09A URE - MARACANA")</f>
        <v>09A URE - MARACANA</v>
      </c>
      <c r="I897" s="1"/>
      <c r="J897" s="1" t="str">
        <f ca="1">IFERROR(__xludf.DUMMYFUNCTION("""COMPUTED_VALUE"""),"MAGALHAES BARATA")</f>
        <v>MAGALHAES BARATA</v>
      </c>
      <c r="K897" s="1">
        <f ca="1">IFERROR(__xludf.DUMMYFUNCTION("""COMPUTED_VALUE"""),15049736)</f>
        <v>15049736</v>
      </c>
      <c r="L897" s="2" t="str">
        <f ca="1">IFERROR(__xludf.DUMMYFUNCTION("""COMPUTED_VALUE"""),"001920918950000")</f>
        <v>001920918950000</v>
      </c>
      <c r="M897" s="2" t="str">
        <f ca="1">IFERROR(__xludf.DUMMYFUNCTION("""COMPUTED_VALUE"""),"1920918950000")</f>
        <v>1920918950000</v>
      </c>
      <c r="N897" s="1" t="str">
        <f ca="1">IFERROR(__xludf.DUMMYFUNCTION("""COMPUTED_VALUE"""),"EEEF MANOEL SABINO DA SILVA")</f>
        <v>EEEF MANOEL SABINO DA SILVA</v>
      </c>
      <c r="O897" s="1"/>
      <c r="P897" s="1"/>
      <c r="Q897" s="1" t="s">
        <v>902</v>
      </c>
    </row>
    <row r="898" spans="1:17" x14ac:dyDescent="0.25">
      <c r="A898" s="2" t="str">
        <f ca="1">IFERROR(__xludf.DUMMYFUNCTION("""COMPUTED_VALUE"""),"REG DE INTEGRA DO GUAMA")</f>
        <v>REG DE INTEGRA DO GUAMA</v>
      </c>
      <c r="B898" s="1" t="str">
        <f ca="1">IFERROR(__xludf.DUMMYFUNCTION("""COMPUTED_VALUE"""),"DRE MARACANA")</f>
        <v>DRE MARACANA</v>
      </c>
      <c r="C898" s="2" t="str">
        <f ca="1">IFERROR(__xludf.DUMMYFUNCTION("""COMPUTED_VALUE"""),"DRE - MARACANA")</f>
        <v>DRE - MARACANA</v>
      </c>
      <c r="D898" s="1"/>
      <c r="E898" s="2" t="str">
        <f ca="1">IFERROR(__xludf.DUMMYFUNCTION("""COMPUTED_VALUE"""),"DRE - MARACANA")</f>
        <v>DRE - MARACANA</v>
      </c>
      <c r="F898" s="1">
        <f ca="1">IFERROR(__xludf.DUMMYFUNCTION("""COMPUTED_VALUE"""),2)</f>
        <v>2</v>
      </c>
      <c r="G898" s="1" t="str">
        <f ca="1">IFERROR(__xludf.DUMMYFUNCTION("""COMPUTED_VALUE"""),"DRE MARACANA")</f>
        <v>DRE MARACANA</v>
      </c>
      <c r="H898" s="1" t="str">
        <f ca="1">IFERROR(__xludf.DUMMYFUNCTION("""COMPUTED_VALUE"""),"09A URE - MARACANA")</f>
        <v>09A URE - MARACANA</v>
      </c>
      <c r="I898" s="1"/>
      <c r="J898" s="1" t="str">
        <f ca="1">IFERROR(__xludf.DUMMYFUNCTION("""COMPUTED_VALUE"""),"MAGALHAES BARATA")</f>
        <v>MAGALHAES BARATA</v>
      </c>
      <c r="K898" s="1">
        <f ca="1">IFERROR(__xludf.DUMMYFUNCTION("""COMPUTED_VALUE"""),15049809)</f>
        <v>15049809</v>
      </c>
      <c r="L898" s="2" t="str">
        <f ca="1">IFERROR(__xludf.DUMMYFUNCTION("""COMPUTED_VALUE"""),"001920918930000")</f>
        <v>001920918930000</v>
      </c>
      <c r="M898" s="2" t="str">
        <f ca="1">IFERROR(__xludf.DUMMYFUNCTION("""COMPUTED_VALUE"""),"1920918930000")</f>
        <v>1920918930000</v>
      </c>
      <c r="N898" s="1" t="str">
        <f ca="1">IFERROR(__xludf.DUMMYFUNCTION("""COMPUTED_VALUE"""),"EEEF PROF MANOEL JOAQUIM MONTEIRO SEDE")</f>
        <v>EEEF PROF MANOEL JOAQUIM MONTEIRO SEDE</v>
      </c>
      <c r="O898" s="1"/>
      <c r="P898" s="1"/>
      <c r="Q898" s="1" t="s">
        <v>902</v>
      </c>
    </row>
    <row r="899" spans="1:17" x14ac:dyDescent="0.25">
      <c r="A899" s="2" t="str">
        <f ca="1">IFERROR(__xludf.DUMMYFUNCTION("""COMPUTED_VALUE"""),"REG DE INTEGRA DO GUAMA")</f>
        <v>REG DE INTEGRA DO GUAMA</v>
      </c>
      <c r="B899" s="1" t="str">
        <f ca="1">IFERROR(__xludf.DUMMYFUNCTION("""COMPUTED_VALUE"""),"DRE MARACANA")</f>
        <v>DRE MARACANA</v>
      </c>
      <c r="C899" s="2" t="str">
        <f ca="1">IFERROR(__xludf.DUMMYFUNCTION("""COMPUTED_VALUE"""),"DRE - MARACANA")</f>
        <v>DRE - MARACANA</v>
      </c>
      <c r="D899" s="1"/>
      <c r="E899" s="2" t="str">
        <f ca="1">IFERROR(__xludf.DUMMYFUNCTION("""COMPUTED_VALUE"""),"DRE - MARACANA")</f>
        <v>DRE - MARACANA</v>
      </c>
      <c r="F899" s="1">
        <f ca="1">IFERROR(__xludf.DUMMYFUNCTION("""COMPUTED_VALUE"""),2)</f>
        <v>2</v>
      </c>
      <c r="G899" s="1" t="str">
        <f ca="1">IFERROR(__xludf.DUMMYFUNCTION("""COMPUTED_VALUE"""),"DRE MARACANA")</f>
        <v>DRE MARACANA</v>
      </c>
      <c r="H899" s="1" t="str">
        <f ca="1">IFERROR(__xludf.DUMMYFUNCTION("""COMPUTED_VALUE"""),"09A URE - MARACANA")</f>
        <v>09A URE - MARACANA</v>
      </c>
      <c r="I899" s="1"/>
      <c r="J899" s="1" t="str">
        <f ca="1">IFERROR(__xludf.DUMMYFUNCTION("""COMPUTED_VALUE"""),"MARACANA")</f>
        <v>MARACANA</v>
      </c>
      <c r="K899" s="1"/>
      <c r="L899" s="2" t="str">
        <f ca="1">IFERROR(__xludf.DUMMYFUNCTION("""COMPUTED_VALUE"""),"001920900090000")</f>
        <v>001920900090000</v>
      </c>
      <c r="M899" s="2" t="str">
        <f ca="1">IFERROR(__xludf.DUMMYFUNCTION("""COMPUTED_VALUE"""),"1920900090000")</f>
        <v>1920900090000</v>
      </c>
      <c r="N899" s="1" t="str">
        <f ca="1">IFERROR(__xludf.DUMMYFUNCTION("""COMPUTED_VALUE"""),"9 URE")</f>
        <v>9 URE</v>
      </c>
      <c r="O899" s="1"/>
      <c r="P899" s="1"/>
      <c r="Q899" s="1" t="s">
        <v>902</v>
      </c>
    </row>
    <row r="900" spans="1:17" x14ac:dyDescent="0.25">
      <c r="A900" s="2" t="str">
        <f ca="1">IFERROR(__xludf.DUMMYFUNCTION("""COMPUTED_VALUE"""),"REG DE INTEGRA DO GUAMA")</f>
        <v>REG DE INTEGRA DO GUAMA</v>
      </c>
      <c r="B900" s="1" t="str">
        <f ca="1">IFERROR(__xludf.DUMMYFUNCTION("""COMPUTED_VALUE"""),"DRE MARACANA")</f>
        <v>DRE MARACANA</v>
      </c>
      <c r="C900" s="2" t="str">
        <f ca="1">IFERROR(__xludf.DUMMYFUNCTION("""COMPUTED_VALUE"""),"DRE - MARACANA")</f>
        <v>DRE - MARACANA</v>
      </c>
      <c r="D900" s="1"/>
      <c r="E900" s="2" t="str">
        <f ca="1">IFERROR(__xludf.DUMMYFUNCTION("""COMPUTED_VALUE"""),"DRE - MARACANA")</f>
        <v>DRE - MARACANA</v>
      </c>
      <c r="F900" s="1">
        <f ca="1">IFERROR(__xludf.DUMMYFUNCTION("""COMPUTED_VALUE"""),2)</f>
        <v>2</v>
      </c>
      <c r="G900" s="1"/>
      <c r="H900" s="1" t="str">
        <f ca="1">IFERROR(__xludf.DUMMYFUNCTION("""COMPUTED_VALUE"""),"09A URE - MARACANA")</f>
        <v>09A URE - MARACANA</v>
      </c>
      <c r="I900" s="1"/>
      <c r="J900" s="1" t="str">
        <f ca="1">IFERROR(__xludf.DUMMYFUNCTION("""COMPUTED_VALUE"""),"MARACANA")</f>
        <v>MARACANA</v>
      </c>
      <c r="K900" s="1">
        <f ca="1">IFERROR(__xludf.DUMMYFUNCTION("""COMPUTED_VALUE"""),15177351)</f>
        <v>15177351</v>
      </c>
      <c r="L900" s="2" t="str">
        <f ca="1">IFERROR(__xludf.DUMMYFUNCTION("""COMPUTED_VALUE"""),"001920918610001")</f>
        <v>001920918610001</v>
      </c>
      <c r="M900" s="2" t="str">
        <f ca="1">IFERROR(__xludf.DUMMYFUNCTION("""COMPUTED_VALUE"""),"1920918610001")</f>
        <v>1920918610001</v>
      </c>
      <c r="N900" s="1" t="str">
        <f ca="1">IFERROR(__xludf.DUMMYFUNCTION("""COMPUTED_VALUE"""),"ANEXO RURAL PRESID KENNEDY")</f>
        <v>ANEXO RURAL PRESID KENNEDY</v>
      </c>
      <c r="O900" s="1"/>
      <c r="P900" s="1"/>
      <c r="Q900" s="1" t="s">
        <v>902</v>
      </c>
    </row>
    <row r="901" spans="1:17" x14ac:dyDescent="0.25">
      <c r="A901" s="2" t="str">
        <f ca="1">IFERROR(__xludf.DUMMYFUNCTION("""COMPUTED_VALUE"""),"REG DE INTEGRA DO GUAMA")</f>
        <v>REG DE INTEGRA DO GUAMA</v>
      </c>
      <c r="B901" s="1" t="str">
        <f ca="1">IFERROR(__xludf.DUMMYFUNCTION("""COMPUTED_VALUE"""),"DRE MARACANA")</f>
        <v>DRE MARACANA</v>
      </c>
      <c r="C901" s="2" t="str">
        <f ca="1">IFERROR(__xludf.DUMMYFUNCTION("""COMPUTED_VALUE"""),"DRE - MARACANA")</f>
        <v>DRE - MARACANA</v>
      </c>
      <c r="D901" s="1"/>
      <c r="E901" s="2" t="str">
        <f ca="1">IFERROR(__xludf.DUMMYFUNCTION("""COMPUTED_VALUE"""),"DRE - MARACANA")</f>
        <v>DRE - MARACANA</v>
      </c>
      <c r="F901" s="1">
        <f ca="1">IFERROR(__xludf.DUMMYFUNCTION("""COMPUTED_VALUE"""),2)</f>
        <v>2</v>
      </c>
      <c r="G901" s="1" t="str">
        <f ca="1">IFERROR(__xludf.DUMMYFUNCTION("""COMPUTED_VALUE"""),"DRE MARACANA")</f>
        <v>DRE MARACANA</v>
      </c>
      <c r="H901" s="1" t="str">
        <f ca="1">IFERROR(__xludf.DUMMYFUNCTION("""COMPUTED_VALUE"""),"09A URE - MARACANA")</f>
        <v>09A URE - MARACANA</v>
      </c>
      <c r="I901" s="1"/>
      <c r="J901" s="1" t="str">
        <f ca="1">IFERROR(__xludf.DUMMYFUNCTION("""COMPUTED_VALUE"""),"MARACANA")</f>
        <v>MARACANA</v>
      </c>
      <c r="K901" s="1">
        <f ca="1">IFERROR(__xludf.DUMMYFUNCTION("""COMPUTED_VALUE"""),15165949)</f>
        <v>15165949</v>
      </c>
      <c r="L901" s="2" t="str">
        <f ca="1">IFERROR(__xludf.DUMMYFUNCTION("""COMPUTED_VALUE"""),"001920937890000")</f>
        <v>001920937890000</v>
      </c>
      <c r="M901" s="2" t="str">
        <f ca="1">IFERROR(__xludf.DUMMYFUNCTION("""COMPUTED_VALUE"""),"1920937890000")</f>
        <v>1920937890000</v>
      </c>
      <c r="N901" s="1" t="str">
        <f ca="1">IFERROR(__xludf.DUMMYFUNCTION("""COMPUTED_VALUE"""),"EEEM IZIDORIO FRANCISCO DE SOUZA")</f>
        <v>EEEM IZIDORIO FRANCISCO DE SOUZA</v>
      </c>
      <c r="O901" s="1"/>
      <c r="P901" s="1"/>
      <c r="Q901" s="1" t="s">
        <v>902</v>
      </c>
    </row>
    <row r="902" spans="1:17" x14ac:dyDescent="0.25">
      <c r="A902" s="2" t="str">
        <f ca="1">IFERROR(__xludf.DUMMYFUNCTION("""COMPUTED_VALUE"""),"REG DE INTEGRA DO GUAMA")</f>
        <v>REG DE INTEGRA DO GUAMA</v>
      </c>
      <c r="B902" s="1" t="str">
        <f ca="1">IFERROR(__xludf.DUMMYFUNCTION("""COMPUTED_VALUE"""),"DRE MARACANA")</f>
        <v>DRE MARACANA</v>
      </c>
      <c r="C902" s="2" t="str">
        <f ca="1">IFERROR(__xludf.DUMMYFUNCTION("""COMPUTED_VALUE"""),"DRE - MARACANA")</f>
        <v>DRE - MARACANA</v>
      </c>
      <c r="D902" s="1"/>
      <c r="E902" s="2" t="str">
        <f ca="1">IFERROR(__xludf.DUMMYFUNCTION("""COMPUTED_VALUE"""),"DRE - MARACANA")</f>
        <v>DRE - MARACANA</v>
      </c>
      <c r="F902" s="1">
        <f ca="1">IFERROR(__xludf.DUMMYFUNCTION("""COMPUTED_VALUE"""),2)</f>
        <v>2</v>
      </c>
      <c r="G902" s="1" t="str">
        <f ca="1">IFERROR(__xludf.DUMMYFUNCTION("""COMPUTED_VALUE"""),"DRE MARACANA")</f>
        <v>DRE MARACANA</v>
      </c>
      <c r="H902" s="1" t="str">
        <f ca="1">IFERROR(__xludf.DUMMYFUNCTION("""COMPUTED_VALUE"""),"09A URE - MARACANA")</f>
        <v>09A URE - MARACANA</v>
      </c>
      <c r="I902" s="1"/>
      <c r="J902" s="1" t="str">
        <f ca="1">IFERROR(__xludf.DUMMYFUNCTION("""COMPUTED_VALUE"""),"MARACANA")</f>
        <v>MARACANA</v>
      </c>
      <c r="K902" s="1">
        <f ca="1">IFERROR(__xludf.DUMMYFUNCTION("""COMPUTED_VALUE"""),15050149)</f>
        <v>15050149</v>
      </c>
      <c r="L902" s="2" t="str">
        <f ca="1">IFERROR(__xludf.DUMMYFUNCTION("""COMPUTED_VALUE"""),"001920918610000")</f>
        <v>001920918610000</v>
      </c>
      <c r="M902" s="2" t="str">
        <f ca="1">IFERROR(__xludf.DUMMYFUNCTION("""COMPUTED_VALUE"""),"1920918610000")</f>
        <v>1920918610000</v>
      </c>
      <c r="N902" s="1" t="str">
        <f ca="1">IFERROR(__xludf.DUMMYFUNCTION("""COMPUTED_VALUE"""),"EEEM PRESID KENNEDY")</f>
        <v>EEEM PRESID KENNEDY</v>
      </c>
      <c r="O902" s="1"/>
      <c r="P902" s="1"/>
      <c r="Q902" s="1" t="s">
        <v>902</v>
      </c>
    </row>
    <row r="903" spans="1:17" x14ac:dyDescent="0.25">
      <c r="A903" s="2" t="str">
        <f ca="1">IFERROR(__xludf.DUMMYFUNCTION("""COMPUTED_VALUE"""),"REG DE INTEGRA DO GUAMA")</f>
        <v>REG DE INTEGRA DO GUAMA</v>
      </c>
      <c r="B903" s="1" t="str">
        <f ca="1">IFERROR(__xludf.DUMMYFUNCTION("""COMPUTED_VALUE"""),"DRE MARACANA")</f>
        <v>DRE MARACANA</v>
      </c>
      <c r="C903" s="2" t="str">
        <f ca="1">IFERROR(__xludf.DUMMYFUNCTION("""COMPUTED_VALUE"""),"DRE - MARACANA")</f>
        <v>DRE - MARACANA</v>
      </c>
      <c r="D903" s="1"/>
      <c r="E903" s="2" t="str">
        <f ca="1">IFERROR(__xludf.DUMMYFUNCTION("""COMPUTED_VALUE"""),"DRE - MARACANA")</f>
        <v>DRE - MARACANA</v>
      </c>
      <c r="F903" s="1"/>
      <c r="G903" s="1"/>
      <c r="H903" s="1" t="str">
        <f ca="1">IFERROR(__xludf.DUMMYFUNCTION("""COMPUTED_VALUE"""),"09A URE - MARACANA")</f>
        <v>09A URE - MARACANA</v>
      </c>
      <c r="I903" s="1"/>
      <c r="J903" s="1" t="str">
        <f ca="1">IFERROR(__xludf.DUMMYFUNCTION("""COMPUTED_VALUE"""),"MARACANA")</f>
        <v>MARACANA</v>
      </c>
      <c r="K903" s="1"/>
      <c r="L903" s="2" t="str">
        <f ca="1">IFERROR(__xludf.DUMMYFUNCTION("""COMPUTED_VALUE"""),"001921002000000")</f>
        <v>001921002000000</v>
      </c>
      <c r="M903" s="2" t="str">
        <f ca="1">IFERROR(__xludf.DUMMYFUNCTION("""COMPUTED_VALUE"""),"1921002000000")</f>
        <v>1921002000000</v>
      </c>
      <c r="N903" s="1" t="str">
        <f ca="1">IFERROR(__xludf.DUMMYFUNCTION("""COMPUTED_VALUE"""),"ESCOLA ESTADUAL RURAL DE MARACANA")</f>
        <v>ESCOLA ESTADUAL RURAL DE MARACANA</v>
      </c>
      <c r="O903" s="1"/>
      <c r="P903" s="1"/>
      <c r="Q903" s="1" t="s">
        <v>902</v>
      </c>
    </row>
    <row r="904" spans="1:17" x14ac:dyDescent="0.25">
      <c r="A904" s="2" t="str">
        <f ca="1">IFERROR(__xludf.DUMMYFUNCTION("""COMPUTED_VALUE"""),"REG DE INTEGRA DO BAIXO AMAZON")</f>
        <v>REG DE INTEGRA DO BAIXO AMAZON</v>
      </c>
      <c r="B904" s="1" t="str">
        <f ca="1">IFERROR(__xludf.DUMMYFUNCTION("""COMPUTED_VALUE"""),"DRE MONTE ALEGRE")</f>
        <v>DRE MONTE ALEGRE</v>
      </c>
      <c r="C904" s="2" t="str">
        <f ca="1">IFERROR(__xludf.DUMMYFUNCTION("""COMPUTED_VALUE"""),"DRE - MONTE ALEGRE")</f>
        <v>DRE - MONTE ALEGRE</v>
      </c>
      <c r="D904" s="1"/>
      <c r="E904" s="2" t="str">
        <f ca="1">IFERROR(__xludf.DUMMYFUNCTION("""COMPUTED_VALUE"""),"DRE - MONTE ALEGRE")</f>
        <v>DRE - MONTE ALEGRE</v>
      </c>
      <c r="F904" s="1">
        <f ca="1">IFERROR(__xludf.DUMMYFUNCTION("""COMPUTED_VALUE"""),3)</f>
        <v>3</v>
      </c>
      <c r="G904" s="1"/>
      <c r="H904" s="1" t="str">
        <f ca="1">IFERROR(__xludf.DUMMYFUNCTION("""COMPUTED_VALUE"""),"06A URE - MONTE ALEGRE")</f>
        <v>06A URE - MONTE ALEGRE</v>
      </c>
      <c r="I904" s="1"/>
      <c r="J904" s="1" t="str">
        <f ca="1">IFERROR(__xludf.DUMMYFUNCTION("""COMPUTED_VALUE"""),"ALENQUER")</f>
        <v>ALENQUER</v>
      </c>
      <c r="K904" s="1">
        <f ca="1">IFERROR(__xludf.DUMMYFUNCTION("""COMPUTED_VALUE"""),15177785)</f>
        <v>15177785</v>
      </c>
      <c r="L904" s="2" t="str">
        <f ca="1">IFERROR(__xludf.DUMMYFUNCTION("""COMPUTED_VALUE"""),"001920904730001")</f>
        <v>001920904730001</v>
      </c>
      <c r="M904" s="2" t="str">
        <f ca="1">IFERROR(__xludf.DUMMYFUNCTION("""COMPUTED_VALUE"""),"1920904730001")</f>
        <v>1920904730001</v>
      </c>
      <c r="N904" s="1" t="str">
        <f ca="1">IFERROR(__xludf.DUMMYFUNCTION("""COMPUTED_VALUE"""),"ANEXO RURAL  SANTO ANTONIO SEDE")</f>
        <v>ANEXO RURAL  SANTO ANTONIO SEDE</v>
      </c>
      <c r="O904" s="1"/>
      <c r="P904" s="1"/>
      <c r="Q904" s="1" t="s">
        <v>922</v>
      </c>
    </row>
    <row r="905" spans="1:17" x14ac:dyDescent="0.25">
      <c r="A905" s="2" t="str">
        <f ca="1">IFERROR(__xludf.DUMMYFUNCTION("""COMPUTED_VALUE"""),"REG DE INTEGRA DO BAIXO AMAZON")</f>
        <v>REG DE INTEGRA DO BAIXO AMAZON</v>
      </c>
      <c r="B905" s="1" t="str">
        <f ca="1">IFERROR(__xludf.DUMMYFUNCTION("""COMPUTED_VALUE"""),"DRE MONTE ALEGRE")</f>
        <v>DRE MONTE ALEGRE</v>
      </c>
      <c r="C905" s="2" t="str">
        <f ca="1">IFERROR(__xludf.DUMMYFUNCTION("""COMPUTED_VALUE"""),"DRE - MONTE ALEGRE")</f>
        <v>DRE - MONTE ALEGRE</v>
      </c>
      <c r="D905" s="1"/>
      <c r="E905" s="2" t="str">
        <f ca="1">IFERROR(__xludf.DUMMYFUNCTION("""COMPUTED_VALUE"""),"DRE - MONTE ALEGRE")</f>
        <v>DRE - MONTE ALEGRE</v>
      </c>
      <c r="F905" s="1">
        <f ca="1">IFERROR(__xludf.DUMMYFUNCTION("""COMPUTED_VALUE"""),3)</f>
        <v>3</v>
      </c>
      <c r="G905" s="1" t="str">
        <f ca="1">IFERROR(__xludf.DUMMYFUNCTION("""COMPUTED_VALUE"""),"DRE MONTE ALEGRE")</f>
        <v>DRE MONTE ALEGRE</v>
      </c>
      <c r="H905" s="1" t="str">
        <f ca="1">IFERROR(__xludf.DUMMYFUNCTION("""COMPUTED_VALUE"""),"06A URE - MONTE ALEGRE")</f>
        <v>06A URE - MONTE ALEGRE</v>
      </c>
      <c r="I905" s="1"/>
      <c r="J905" s="1" t="str">
        <f ca="1">IFERROR(__xludf.DUMMYFUNCTION("""COMPUTED_VALUE"""),"ALENQUER")</f>
        <v>ALENQUER</v>
      </c>
      <c r="K905" s="1">
        <f ca="1">IFERROR(__xludf.DUMMYFUNCTION("""COMPUTED_VALUE"""),15005143)</f>
        <v>15005143</v>
      </c>
      <c r="L905" s="2" t="str">
        <f ca="1">IFERROR(__xludf.DUMMYFUNCTION("""COMPUTED_VALUE"""),"001920904770000")</f>
        <v>001920904770000</v>
      </c>
      <c r="M905" s="2" t="str">
        <f ca="1">IFERROR(__xludf.DUMMYFUNCTION("""COMPUTED_VALUE"""),"1920904770000")</f>
        <v>1920904770000</v>
      </c>
      <c r="N905" s="1" t="str">
        <f ca="1">IFERROR(__xludf.DUMMYFUNCTION("""COMPUTED_VALUE"""),"EEEF DR JOSE JORGE HAGE")</f>
        <v>EEEF DR JOSE JORGE HAGE</v>
      </c>
      <c r="O905" s="1"/>
      <c r="P905" s="1"/>
      <c r="Q905" s="1" t="s">
        <v>922</v>
      </c>
    </row>
    <row r="906" spans="1:17" x14ac:dyDescent="0.25">
      <c r="A906" s="2" t="str">
        <f ca="1">IFERROR(__xludf.DUMMYFUNCTION("""COMPUTED_VALUE"""),"REG DE INTEGRA DO BAIXO AMAZON")</f>
        <v>REG DE INTEGRA DO BAIXO AMAZON</v>
      </c>
      <c r="B906" s="1" t="str">
        <f ca="1">IFERROR(__xludf.DUMMYFUNCTION("""COMPUTED_VALUE"""),"DRE MONTE ALEGRE")</f>
        <v>DRE MONTE ALEGRE</v>
      </c>
      <c r="C906" s="2" t="str">
        <f ca="1">IFERROR(__xludf.DUMMYFUNCTION("""COMPUTED_VALUE"""),"DRE - MONTE ALEGRE")</f>
        <v>DRE - MONTE ALEGRE</v>
      </c>
      <c r="D906" s="1"/>
      <c r="E906" s="2" t="str">
        <f ca="1">IFERROR(__xludf.DUMMYFUNCTION("""COMPUTED_VALUE"""),"DRE - MONTE ALEGRE")</f>
        <v>DRE - MONTE ALEGRE</v>
      </c>
      <c r="F906" s="1">
        <f ca="1">IFERROR(__xludf.DUMMYFUNCTION("""COMPUTED_VALUE"""),3)</f>
        <v>3</v>
      </c>
      <c r="G906" s="1" t="str">
        <f ca="1">IFERROR(__xludf.DUMMYFUNCTION("""COMPUTED_VALUE"""),"DRE MONTE ALEGRE")</f>
        <v>DRE MONTE ALEGRE</v>
      </c>
      <c r="H906" s="1" t="str">
        <f ca="1">IFERROR(__xludf.DUMMYFUNCTION("""COMPUTED_VALUE"""),"06A URE - MONTE ALEGRE")</f>
        <v>06A URE - MONTE ALEGRE</v>
      </c>
      <c r="I906" s="1"/>
      <c r="J906" s="1" t="str">
        <f ca="1">IFERROR(__xludf.DUMMYFUNCTION("""COMPUTED_VALUE"""),"ALENQUER")</f>
        <v>ALENQUER</v>
      </c>
      <c r="K906" s="1">
        <f ca="1">IFERROR(__xludf.DUMMYFUNCTION("""COMPUTED_VALUE"""),15005151)</f>
        <v>15005151</v>
      </c>
      <c r="L906" s="2" t="str">
        <f ca="1">IFERROR(__xludf.DUMMYFUNCTION("""COMPUTED_VALUE"""),"001920904740000")</f>
        <v>001920904740000</v>
      </c>
      <c r="M906" s="2" t="str">
        <f ca="1">IFERROR(__xludf.DUMMYFUNCTION("""COMPUTED_VALUE"""),"1920904740000")</f>
        <v>1920904740000</v>
      </c>
      <c r="N906" s="1" t="str">
        <f ca="1">IFERROR(__xludf.DUMMYFUNCTION("""COMPUTED_VALUE"""),"EEEF FULGENCIO SIMOES")</f>
        <v>EEEF FULGENCIO SIMOES</v>
      </c>
      <c r="O906" s="1"/>
      <c r="P906" s="1"/>
      <c r="Q906" s="1" t="s">
        <v>922</v>
      </c>
    </row>
    <row r="907" spans="1:17" x14ac:dyDescent="0.25">
      <c r="A907" s="2" t="str">
        <f ca="1">IFERROR(__xludf.DUMMYFUNCTION("""COMPUTED_VALUE"""),"REG DE INTEGRA DO BAIXO AMAZON")</f>
        <v>REG DE INTEGRA DO BAIXO AMAZON</v>
      </c>
      <c r="B907" s="1" t="str">
        <f ca="1">IFERROR(__xludf.DUMMYFUNCTION("""COMPUTED_VALUE"""),"DRE MONTE ALEGRE")</f>
        <v>DRE MONTE ALEGRE</v>
      </c>
      <c r="C907" s="2" t="str">
        <f ca="1">IFERROR(__xludf.DUMMYFUNCTION("""COMPUTED_VALUE"""),"DRE - MONTE ALEGRE")</f>
        <v>DRE - MONTE ALEGRE</v>
      </c>
      <c r="D907" s="1"/>
      <c r="E907" s="2" t="str">
        <f ca="1">IFERROR(__xludf.DUMMYFUNCTION("""COMPUTED_VALUE"""),"DRE - MONTE ALEGRE")</f>
        <v>DRE - MONTE ALEGRE</v>
      </c>
      <c r="F907" s="1">
        <f ca="1">IFERROR(__xludf.DUMMYFUNCTION("""COMPUTED_VALUE"""),3)</f>
        <v>3</v>
      </c>
      <c r="G907" s="1" t="str">
        <f ca="1">IFERROR(__xludf.DUMMYFUNCTION("""COMPUTED_VALUE"""),"DRE MONTE ALEGRE")</f>
        <v>DRE MONTE ALEGRE</v>
      </c>
      <c r="H907" s="1" t="str">
        <f ca="1">IFERROR(__xludf.DUMMYFUNCTION("""COMPUTED_VALUE"""),"06A URE - MONTE ALEGRE")</f>
        <v>06A URE - MONTE ALEGRE</v>
      </c>
      <c r="I907" s="1"/>
      <c r="J907" s="1" t="str">
        <f ca="1">IFERROR(__xludf.DUMMYFUNCTION("""COMPUTED_VALUE"""),"ALENQUER")</f>
        <v>ALENQUER</v>
      </c>
      <c r="K907" s="1">
        <f ca="1">IFERROR(__xludf.DUMMYFUNCTION("""COMPUTED_VALUE"""),15005160)</f>
        <v>15005160</v>
      </c>
      <c r="L907" s="2" t="str">
        <f ca="1">IFERROR(__xludf.DUMMYFUNCTION("""COMPUTED_VALUE"""),"001920904750000")</f>
        <v>001920904750000</v>
      </c>
      <c r="M907" s="2" t="str">
        <f ca="1">IFERROR(__xludf.DUMMYFUNCTION("""COMPUTED_VALUE"""),"1920904750000")</f>
        <v>1920904750000</v>
      </c>
      <c r="N907" s="1" t="str">
        <f ca="1">IFERROR(__xludf.DUMMYFUNCTION("""COMPUTED_VALUE"""),"EEEF PROFA MARIA VALMONT")</f>
        <v>EEEF PROFA MARIA VALMONT</v>
      </c>
      <c r="O907" s="1"/>
      <c r="P907" s="1"/>
      <c r="Q907" s="1" t="s">
        <v>922</v>
      </c>
    </row>
    <row r="908" spans="1:17" x14ac:dyDescent="0.25">
      <c r="A908" s="2" t="str">
        <f ca="1">IFERROR(__xludf.DUMMYFUNCTION("""COMPUTED_VALUE"""),"REG DE INTEGRA DO BAIXO AMAZON")</f>
        <v>REG DE INTEGRA DO BAIXO AMAZON</v>
      </c>
      <c r="B908" s="1" t="str">
        <f ca="1">IFERROR(__xludf.DUMMYFUNCTION("""COMPUTED_VALUE"""),"DRE MONTE ALEGRE")</f>
        <v>DRE MONTE ALEGRE</v>
      </c>
      <c r="C908" s="2" t="str">
        <f ca="1">IFERROR(__xludf.DUMMYFUNCTION("""COMPUTED_VALUE"""),"DRE - MONTE ALEGRE")</f>
        <v>DRE - MONTE ALEGRE</v>
      </c>
      <c r="D908" s="1"/>
      <c r="E908" s="2" t="str">
        <f ca="1">IFERROR(__xludf.DUMMYFUNCTION("""COMPUTED_VALUE"""),"DRE - MONTE ALEGRE")</f>
        <v>DRE - MONTE ALEGRE</v>
      </c>
      <c r="F908" s="1">
        <f ca="1">IFERROR(__xludf.DUMMYFUNCTION("""COMPUTED_VALUE"""),3)</f>
        <v>3</v>
      </c>
      <c r="G908" s="1" t="str">
        <f ca="1">IFERROR(__xludf.DUMMYFUNCTION("""COMPUTED_VALUE"""),"DRE MONTE ALEGRE")</f>
        <v>DRE MONTE ALEGRE</v>
      </c>
      <c r="H908" s="1" t="str">
        <f ca="1">IFERROR(__xludf.DUMMYFUNCTION("""COMPUTED_VALUE"""),"06A URE - MONTE ALEGRE")</f>
        <v>06A URE - MONTE ALEGRE</v>
      </c>
      <c r="I908" s="1"/>
      <c r="J908" s="1" t="str">
        <f ca="1">IFERROR(__xludf.DUMMYFUNCTION("""COMPUTED_VALUE"""),"ALENQUER")</f>
        <v>ALENQUER</v>
      </c>
      <c r="K908" s="1">
        <f ca="1">IFERROR(__xludf.DUMMYFUNCTION("""COMPUTED_VALUE"""),15005100)</f>
        <v>15005100</v>
      </c>
      <c r="L908" s="2" t="str">
        <f ca="1">IFERROR(__xludf.DUMMYFUNCTION("""COMPUTED_VALUE"""),"001920904730000")</f>
        <v>001920904730000</v>
      </c>
      <c r="M908" s="2" t="str">
        <f ca="1">IFERROR(__xludf.DUMMYFUNCTION("""COMPUTED_VALUE"""),"1920904730000")</f>
        <v>1920904730000</v>
      </c>
      <c r="N908" s="1" t="str">
        <f ca="1">IFERROR(__xludf.DUMMYFUNCTION("""COMPUTED_VALUE"""),"EEEFM SANTO ANTONIO")</f>
        <v>EEEFM SANTO ANTONIO</v>
      </c>
      <c r="O908" s="1"/>
      <c r="P908" s="1"/>
      <c r="Q908" s="1" t="s">
        <v>922</v>
      </c>
    </row>
    <row r="909" spans="1:17" x14ac:dyDescent="0.25">
      <c r="A909" s="2" t="str">
        <f ca="1">IFERROR(__xludf.DUMMYFUNCTION("""COMPUTED_VALUE"""),"REG DE INTEGRA DO BAIXO AMAZON")</f>
        <v>REG DE INTEGRA DO BAIXO AMAZON</v>
      </c>
      <c r="B909" s="1" t="str">
        <f ca="1">IFERROR(__xludf.DUMMYFUNCTION("""COMPUTED_VALUE"""),"DRE MONTE ALEGRE")</f>
        <v>DRE MONTE ALEGRE</v>
      </c>
      <c r="C909" s="2" t="str">
        <f ca="1">IFERROR(__xludf.DUMMYFUNCTION("""COMPUTED_VALUE"""),"DRE - MONTE ALEGRE")</f>
        <v>DRE - MONTE ALEGRE</v>
      </c>
      <c r="D909" s="1"/>
      <c r="E909" s="2" t="str">
        <f ca="1">IFERROR(__xludf.DUMMYFUNCTION("""COMPUTED_VALUE"""),"DRE - MONTE ALEGRE")</f>
        <v>DRE - MONTE ALEGRE</v>
      </c>
      <c r="F909" s="1">
        <f ca="1">IFERROR(__xludf.DUMMYFUNCTION("""COMPUTED_VALUE"""),3)</f>
        <v>3</v>
      </c>
      <c r="G909" s="1" t="str">
        <f ca="1">IFERROR(__xludf.DUMMYFUNCTION("""COMPUTED_VALUE"""),"DRE MONTE ALEGRE")</f>
        <v>DRE MONTE ALEGRE</v>
      </c>
      <c r="H909" s="1" t="str">
        <f ca="1">IFERROR(__xludf.DUMMYFUNCTION("""COMPUTED_VALUE"""),"06A URE - MONTE ALEGRE")</f>
        <v>06A URE - MONTE ALEGRE</v>
      </c>
      <c r="I909" s="1"/>
      <c r="J909" s="1" t="str">
        <f ca="1">IFERROR(__xludf.DUMMYFUNCTION("""COMPUTED_VALUE"""),"ALENQUER")</f>
        <v>ALENQUER</v>
      </c>
      <c r="K909" s="1">
        <f ca="1">IFERROR(__xludf.DUMMYFUNCTION("""COMPUTED_VALUE"""),15005186)</f>
        <v>15005186</v>
      </c>
      <c r="L909" s="2" t="str">
        <f ca="1">IFERROR(__xludf.DUMMYFUNCTION("""COMPUTED_VALUE"""),"001920904780000")</f>
        <v>001920904780000</v>
      </c>
      <c r="M909" s="2" t="str">
        <f ca="1">IFERROR(__xludf.DUMMYFUNCTION("""COMPUTED_VALUE"""),"1920904780000")</f>
        <v>1920904780000</v>
      </c>
      <c r="N909" s="1" t="str">
        <f ca="1">IFERROR(__xludf.DUMMYFUNCTION("""COMPUTED_VALUE"""),"EEEM AMADEU BURLAMAQUI SIMOES")</f>
        <v>EEEM AMADEU BURLAMAQUI SIMOES</v>
      </c>
      <c r="O909" s="1"/>
      <c r="P909" s="1"/>
      <c r="Q909" s="1" t="s">
        <v>922</v>
      </c>
    </row>
    <row r="910" spans="1:17" x14ac:dyDescent="0.25">
      <c r="A910" s="2" t="str">
        <f ca="1">IFERROR(__xludf.DUMMYFUNCTION("""COMPUTED_VALUE"""),"REG DE INTEGRA DO BAIXO AMAZON")</f>
        <v>REG DE INTEGRA DO BAIXO AMAZON</v>
      </c>
      <c r="B910" s="1" t="str">
        <f ca="1">IFERROR(__xludf.DUMMYFUNCTION("""COMPUTED_VALUE"""),"DRE MONTE ALEGRE")</f>
        <v>DRE MONTE ALEGRE</v>
      </c>
      <c r="C910" s="2" t="str">
        <f ca="1">IFERROR(__xludf.DUMMYFUNCTION("""COMPUTED_VALUE"""),"DRE - MONTE ALEGRE")</f>
        <v>DRE - MONTE ALEGRE</v>
      </c>
      <c r="D910" s="1"/>
      <c r="E910" s="2" t="str">
        <f ca="1">IFERROR(__xludf.DUMMYFUNCTION("""COMPUTED_VALUE"""),"DRE - MONTE ALEGRE")</f>
        <v>DRE - MONTE ALEGRE</v>
      </c>
      <c r="F910" s="1">
        <f ca="1">IFERROR(__xludf.DUMMYFUNCTION("""COMPUTED_VALUE"""),3)</f>
        <v>3</v>
      </c>
      <c r="G910" s="1" t="str">
        <f ca="1">IFERROR(__xludf.DUMMYFUNCTION("""COMPUTED_VALUE"""),"DRE MONTE ALEGRE")</f>
        <v>DRE MONTE ALEGRE</v>
      </c>
      <c r="H910" s="1" t="str">
        <f ca="1">IFERROR(__xludf.DUMMYFUNCTION("""COMPUTED_VALUE"""),"06A URE - MONTE ALEGRE")</f>
        <v>06A URE - MONTE ALEGRE</v>
      </c>
      <c r="I910" s="1"/>
      <c r="J910" s="1" t="str">
        <f ca="1">IFERROR(__xludf.DUMMYFUNCTION("""COMPUTED_VALUE"""),"ALENQUER")</f>
        <v>ALENQUER</v>
      </c>
      <c r="K910" s="1">
        <f ca="1">IFERROR(__xludf.DUMMYFUNCTION("""COMPUTED_VALUE"""),15587282)</f>
        <v>15587282</v>
      </c>
      <c r="L910" s="2" t="str">
        <f ca="1">IFERROR(__xludf.DUMMYFUNCTION("""COMPUTED_VALUE"""),"001920937080000")</f>
        <v>001920937080000</v>
      </c>
      <c r="M910" s="2" t="str">
        <f ca="1">IFERROR(__xludf.DUMMYFUNCTION("""COMPUTED_VALUE"""),"1920937080000")</f>
        <v>1920937080000</v>
      </c>
      <c r="N910" s="1" t="str">
        <f ca="1">IFERROR(__xludf.DUMMYFUNCTION("""COMPUTED_VALUE"""),"EEEM PROFA BEATRIZ DO VALE")</f>
        <v>EEEM PROFA BEATRIZ DO VALE</v>
      </c>
      <c r="O910" s="1"/>
      <c r="P910" s="1"/>
      <c r="Q910" s="1" t="s">
        <v>922</v>
      </c>
    </row>
    <row r="911" spans="1:17" x14ac:dyDescent="0.25">
      <c r="A911" s="2" t="str">
        <f ca="1">IFERROR(__xludf.DUMMYFUNCTION("""COMPUTED_VALUE"""),"REG DE INTEGRA DO BAIXO AMAZON")</f>
        <v>REG DE INTEGRA DO BAIXO AMAZON</v>
      </c>
      <c r="B911" s="1" t="str">
        <f ca="1">IFERROR(__xludf.DUMMYFUNCTION("""COMPUTED_VALUE"""),"DRE MONTE ALEGRE")</f>
        <v>DRE MONTE ALEGRE</v>
      </c>
      <c r="C911" s="2" t="str">
        <f ca="1">IFERROR(__xludf.DUMMYFUNCTION("""COMPUTED_VALUE"""),"DRE - MONTE ALEGRE")</f>
        <v>DRE - MONTE ALEGRE</v>
      </c>
      <c r="D911" s="1"/>
      <c r="E911" s="2" t="str">
        <f ca="1">IFERROR(__xludf.DUMMYFUNCTION("""COMPUTED_VALUE"""),"DRE - MONTE ALEGRE")</f>
        <v>DRE - MONTE ALEGRE</v>
      </c>
      <c r="F911" s="1"/>
      <c r="G911" s="1"/>
      <c r="H911" s="1" t="str">
        <f ca="1">IFERROR(__xludf.DUMMYFUNCTION("""COMPUTED_VALUE"""),"06A URE - MONTE ALEGRE")</f>
        <v>06A URE - MONTE ALEGRE</v>
      </c>
      <c r="I911" s="1"/>
      <c r="J911" s="1" t="str">
        <f ca="1">IFERROR(__xludf.DUMMYFUNCTION("""COMPUTED_VALUE"""),"ALENQUER")</f>
        <v>ALENQUER</v>
      </c>
      <c r="K911" s="1"/>
      <c r="L911" s="2" t="str">
        <f ca="1">IFERROR(__xludf.DUMMYFUNCTION("""COMPUTED_VALUE"""),"001920988000000")</f>
        <v>001920988000000</v>
      </c>
      <c r="M911" s="2" t="str">
        <f ca="1">IFERROR(__xludf.DUMMYFUNCTION("""COMPUTED_VALUE"""),"1920988000000")</f>
        <v>1920988000000</v>
      </c>
      <c r="N911" s="1" t="str">
        <f ca="1">IFERROR(__xludf.DUMMYFUNCTION("""COMPUTED_VALUE"""),"ESCOLA ESTADUAL RURAL DE ALENQUER")</f>
        <v>ESCOLA ESTADUAL RURAL DE ALENQUER</v>
      </c>
      <c r="O911" s="1"/>
      <c r="P911" s="1"/>
      <c r="Q911" s="1" t="s">
        <v>922</v>
      </c>
    </row>
    <row r="912" spans="1:17" x14ac:dyDescent="0.25">
      <c r="A912" s="2" t="str">
        <f ca="1">IFERROR(__xludf.DUMMYFUNCTION("""COMPUTED_VALUE"""),"REG DE INTEGRA DO BAIXO AMAZON")</f>
        <v>REG DE INTEGRA DO BAIXO AMAZON</v>
      </c>
      <c r="B912" s="1" t="str">
        <f ca="1">IFERROR(__xludf.DUMMYFUNCTION("""COMPUTED_VALUE"""),"DRE MONTE ALEGRE")</f>
        <v>DRE MONTE ALEGRE</v>
      </c>
      <c r="C912" s="2" t="str">
        <f ca="1">IFERROR(__xludf.DUMMYFUNCTION("""COMPUTED_VALUE"""),"DRE - MONTE ALEGRE")</f>
        <v>DRE - MONTE ALEGRE</v>
      </c>
      <c r="D912" s="1"/>
      <c r="E912" s="2" t="str">
        <f ca="1">IFERROR(__xludf.DUMMYFUNCTION("""COMPUTED_VALUE"""),"DRE - MONTE ALEGRE")</f>
        <v>DRE - MONTE ALEGRE</v>
      </c>
      <c r="F912" s="1">
        <f ca="1">IFERROR(__xludf.DUMMYFUNCTION("""COMPUTED_VALUE"""),3)</f>
        <v>3</v>
      </c>
      <c r="G912" s="1"/>
      <c r="H912" s="1" t="str">
        <f ca="1">IFERROR(__xludf.DUMMYFUNCTION("""COMPUTED_VALUE"""),"06A URE - MONTE ALEGRE")</f>
        <v>06A URE - MONTE ALEGRE</v>
      </c>
      <c r="I912" s="1"/>
      <c r="J912" s="1" t="str">
        <f ca="1">IFERROR(__xludf.DUMMYFUNCTION("""COMPUTED_VALUE"""),"ALMEIRIM")</f>
        <v>ALMEIRIM</v>
      </c>
      <c r="K912" s="1">
        <f ca="1">IFERROR(__xludf.DUMMYFUNCTION("""COMPUTED_VALUE"""),15177793)</f>
        <v>15177793</v>
      </c>
      <c r="L912" s="2" t="str">
        <f ca="1">IFERROR(__xludf.DUMMYFUNCTION("""COMPUTED_VALUE"""),"001920923840001")</f>
        <v>001920923840001</v>
      </c>
      <c r="M912" s="2" t="str">
        <f ca="1">IFERROR(__xludf.DUMMYFUNCTION("""COMPUTED_VALUE"""),"1920923840001")</f>
        <v>1920923840001</v>
      </c>
      <c r="N912" s="1" t="str">
        <f ca="1">IFERROR(__xludf.DUMMYFUNCTION("""COMPUTED_VALUE"""),"ANEXO RURAL  FREI CONSTANCIO")</f>
        <v>ANEXO RURAL  FREI CONSTANCIO</v>
      </c>
      <c r="O912" s="1"/>
      <c r="P912" s="1"/>
      <c r="Q912" s="1" t="s">
        <v>922</v>
      </c>
    </row>
    <row r="913" spans="1:17" x14ac:dyDescent="0.25">
      <c r="A913" s="2" t="str">
        <f ca="1">IFERROR(__xludf.DUMMYFUNCTION("""COMPUTED_VALUE"""),"REG DE INTEGRA DO BAIXO AMAZON")</f>
        <v>REG DE INTEGRA DO BAIXO AMAZON</v>
      </c>
      <c r="B913" s="1" t="str">
        <f ca="1">IFERROR(__xludf.DUMMYFUNCTION("""COMPUTED_VALUE"""),"DRE MONTE ALEGRE")</f>
        <v>DRE MONTE ALEGRE</v>
      </c>
      <c r="C913" s="2" t="str">
        <f ca="1">IFERROR(__xludf.DUMMYFUNCTION("""COMPUTED_VALUE"""),"DRE - MONTE ALEGRE")</f>
        <v>DRE - MONTE ALEGRE</v>
      </c>
      <c r="D913" s="1"/>
      <c r="E913" s="2" t="str">
        <f ca="1">IFERROR(__xludf.DUMMYFUNCTION("""COMPUTED_VALUE"""),"DRE - MONTE ALEGRE")</f>
        <v>DRE - MONTE ALEGRE</v>
      </c>
      <c r="F913" s="1">
        <f ca="1">IFERROR(__xludf.DUMMYFUNCTION("""COMPUTED_VALUE"""),3)</f>
        <v>3</v>
      </c>
      <c r="G913" s="1" t="str">
        <f ca="1">IFERROR(__xludf.DUMMYFUNCTION("""COMPUTED_VALUE"""),"DRE MONTE ALEGRE")</f>
        <v>DRE MONTE ALEGRE</v>
      </c>
      <c r="H913" s="1" t="str">
        <f ca="1">IFERROR(__xludf.DUMMYFUNCTION("""COMPUTED_VALUE"""),"06A URE - MONTE ALEGRE")</f>
        <v>06A URE - MONTE ALEGRE</v>
      </c>
      <c r="I913" s="1"/>
      <c r="J913" s="1" t="str">
        <f ca="1">IFERROR(__xludf.DUMMYFUNCTION("""COMPUTED_VALUE"""),"ALMEIRIM")</f>
        <v>ALMEIRIM</v>
      </c>
      <c r="K913" s="1">
        <f ca="1">IFERROR(__xludf.DUMMYFUNCTION("""COMPUTED_VALUE"""),15016722)</f>
        <v>15016722</v>
      </c>
      <c r="L913" s="2" t="str">
        <f ca="1">IFERROR(__xludf.DUMMYFUNCTION("""COMPUTED_VALUE"""),"001920923840000")</f>
        <v>001920923840000</v>
      </c>
      <c r="M913" s="2" t="str">
        <f ca="1">IFERROR(__xludf.DUMMYFUNCTION("""COMPUTED_VALUE"""),"1920923840000")</f>
        <v>1920923840000</v>
      </c>
      <c r="N913" s="1" t="str">
        <f ca="1">IFERROR(__xludf.DUMMYFUNCTION("""COMPUTED_VALUE"""),"EEEM FREI CONSTANCIO")</f>
        <v>EEEM FREI CONSTANCIO</v>
      </c>
      <c r="O913" s="1"/>
      <c r="P913" s="1"/>
      <c r="Q913" s="1" t="s">
        <v>922</v>
      </c>
    </row>
    <row r="914" spans="1:17" x14ac:dyDescent="0.25">
      <c r="A914" s="2" t="str">
        <f ca="1">IFERROR(__xludf.DUMMYFUNCTION("""COMPUTED_VALUE"""),"REG DE INTEGRA DO BAIXO AMAZON")</f>
        <v>REG DE INTEGRA DO BAIXO AMAZON</v>
      </c>
      <c r="B914" s="1" t="str">
        <f ca="1">IFERROR(__xludf.DUMMYFUNCTION("""COMPUTED_VALUE"""),"DRE MONTE ALEGRE")</f>
        <v>DRE MONTE ALEGRE</v>
      </c>
      <c r="C914" s="2" t="str">
        <f ca="1">IFERROR(__xludf.DUMMYFUNCTION("""COMPUTED_VALUE"""),"DRE - MONTE ALEGRE")</f>
        <v>DRE - MONTE ALEGRE</v>
      </c>
      <c r="D914" s="1"/>
      <c r="E914" s="2" t="str">
        <f ca="1">IFERROR(__xludf.DUMMYFUNCTION("""COMPUTED_VALUE"""),"DRE - MONTE ALEGRE")</f>
        <v>DRE - MONTE ALEGRE</v>
      </c>
      <c r="F914" s="1">
        <f ca="1">IFERROR(__xludf.DUMMYFUNCTION("""COMPUTED_VALUE"""),3)</f>
        <v>3</v>
      </c>
      <c r="G914" s="1" t="str">
        <f ca="1">IFERROR(__xludf.DUMMYFUNCTION("""COMPUTED_VALUE"""),"DRE MONTE ALEGRE")</f>
        <v>DRE MONTE ALEGRE</v>
      </c>
      <c r="H914" s="1" t="str">
        <f ca="1">IFERROR(__xludf.DUMMYFUNCTION("""COMPUTED_VALUE"""),"06A URE - MONTE ALEGRE")</f>
        <v>06A URE - MONTE ALEGRE</v>
      </c>
      <c r="I914" s="1"/>
      <c r="J914" s="1" t="str">
        <f ca="1">IFERROR(__xludf.DUMMYFUNCTION("""COMPUTED_VALUE"""),"ALMEIRIM")</f>
        <v>ALMEIRIM</v>
      </c>
      <c r="K914" s="1">
        <f ca="1">IFERROR(__xludf.DUMMYFUNCTION("""COMPUTED_VALUE"""),15017621)</f>
        <v>15017621</v>
      </c>
      <c r="L914" s="2" t="str">
        <f ca="1">IFERROR(__xludf.DUMMYFUNCTION("""COMPUTED_VALUE"""),"001920923830000")</f>
        <v>001920923830000</v>
      </c>
      <c r="M914" s="2" t="str">
        <f ca="1">IFERROR(__xludf.DUMMYFUNCTION("""COMPUTED_VALUE"""),"1920923830000")</f>
        <v>1920923830000</v>
      </c>
      <c r="N914" s="1" t="str">
        <f ca="1">IFERROR(__xludf.DUMMYFUNCTION("""COMPUTED_VALUE"""),"EEEM PROF JOSE AGOSTINHO GUERRA")</f>
        <v>EEEM PROF JOSE AGOSTINHO GUERRA</v>
      </c>
      <c r="O914" s="1"/>
      <c r="P914" s="1"/>
      <c r="Q914" s="1" t="s">
        <v>922</v>
      </c>
    </row>
    <row r="915" spans="1:17" x14ac:dyDescent="0.25">
      <c r="A915" s="2" t="str">
        <f ca="1">IFERROR(__xludf.DUMMYFUNCTION("""COMPUTED_VALUE"""),"REG DE INTEGRA DO BAIXO AMAZON")</f>
        <v>REG DE INTEGRA DO BAIXO AMAZON</v>
      </c>
      <c r="B915" s="1" t="str">
        <f ca="1">IFERROR(__xludf.DUMMYFUNCTION("""COMPUTED_VALUE"""),"DRE MONTE ALEGRE")</f>
        <v>DRE MONTE ALEGRE</v>
      </c>
      <c r="C915" s="2" t="str">
        <f ca="1">IFERROR(__xludf.DUMMYFUNCTION("""COMPUTED_VALUE"""),"DRE - MONTE ALEGRE")</f>
        <v>DRE - MONTE ALEGRE</v>
      </c>
      <c r="D915" s="1"/>
      <c r="E915" s="2" t="str">
        <f ca="1">IFERROR(__xludf.DUMMYFUNCTION("""COMPUTED_VALUE"""),"DRE - MONTE ALEGRE")</f>
        <v>DRE - MONTE ALEGRE</v>
      </c>
      <c r="F915" s="1"/>
      <c r="G915" s="1"/>
      <c r="H915" s="1" t="str">
        <f ca="1">IFERROR(__xludf.DUMMYFUNCTION("""COMPUTED_VALUE"""),"06A URE - MONTE ALEGRE")</f>
        <v>06A URE - MONTE ALEGRE</v>
      </c>
      <c r="I915" s="1"/>
      <c r="J915" s="1" t="str">
        <f ca="1">IFERROR(__xludf.DUMMYFUNCTION("""COMPUTED_VALUE"""),"ALMEIRIM")</f>
        <v>ALMEIRIM</v>
      </c>
      <c r="K915" s="1"/>
      <c r="L915" s="2" t="str">
        <f ca="1">IFERROR(__xludf.DUMMYFUNCTION("""COMPUTED_VALUE"""),"001920989000000")</f>
        <v>001920989000000</v>
      </c>
      <c r="M915" s="2" t="str">
        <f ca="1">IFERROR(__xludf.DUMMYFUNCTION("""COMPUTED_VALUE"""),"1920989000000")</f>
        <v>1920989000000</v>
      </c>
      <c r="N915" s="1" t="str">
        <f ca="1">IFERROR(__xludf.DUMMYFUNCTION("""COMPUTED_VALUE"""),"ESCOLA ESTADUAL RURAL DE ALMEIRIM")</f>
        <v>ESCOLA ESTADUAL RURAL DE ALMEIRIM</v>
      </c>
      <c r="O915" s="1"/>
      <c r="P915" s="1"/>
      <c r="Q915" s="1" t="s">
        <v>922</v>
      </c>
    </row>
    <row r="916" spans="1:17" x14ac:dyDescent="0.25">
      <c r="A916" s="2" t="str">
        <f ca="1">IFERROR(__xludf.DUMMYFUNCTION("""COMPUTED_VALUE"""),"REG DE INTEGRA DO BAIXO AMAZON")</f>
        <v>REG DE INTEGRA DO BAIXO AMAZON</v>
      </c>
      <c r="B916" s="1" t="str">
        <f ca="1">IFERROR(__xludf.DUMMYFUNCTION("""COMPUTED_VALUE"""),"DRE MONTE ALEGRE")</f>
        <v>DRE MONTE ALEGRE</v>
      </c>
      <c r="C916" s="2" t="str">
        <f ca="1">IFERROR(__xludf.DUMMYFUNCTION("""COMPUTED_VALUE"""),"DRE - MONTE ALEGRE")</f>
        <v>DRE - MONTE ALEGRE</v>
      </c>
      <c r="D916" s="1"/>
      <c r="E916" s="2" t="str">
        <f ca="1">IFERROR(__xludf.DUMMYFUNCTION("""COMPUTED_VALUE"""),"DRE - MONTE ALEGRE")</f>
        <v>DRE - MONTE ALEGRE</v>
      </c>
      <c r="F916" s="1">
        <f ca="1">IFERROR(__xludf.DUMMYFUNCTION("""COMPUTED_VALUE"""),3)</f>
        <v>3</v>
      </c>
      <c r="G916" s="1" t="str">
        <f ca="1">IFERROR(__xludf.DUMMYFUNCTION("""COMPUTED_VALUE"""),"DRE MONTE ALEGRE")</f>
        <v>DRE MONTE ALEGRE</v>
      </c>
      <c r="H916" s="1" t="str">
        <f ca="1">IFERROR(__xludf.DUMMYFUNCTION("""COMPUTED_VALUE"""),"06A URE - MONTE ALEGRE")</f>
        <v>06A URE - MONTE ALEGRE</v>
      </c>
      <c r="I916" s="1"/>
      <c r="J916" s="1" t="str">
        <f ca="1">IFERROR(__xludf.DUMMYFUNCTION("""COMPUTED_VALUE"""),"MONTE ALEGRE")</f>
        <v>MONTE ALEGRE</v>
      </c>
      <c r="K916" s="1"/>
      <c r="L916" s="2" t="str">
        <f ca="1">IFERROR(__xludf.DUMMYFUNCTION("""COMPUTED_VALUE"""),"001920900060000")</f>
        <v>001920900060000</v>
      </c>
      <c r="M916" s="2" t="str">
        <f ca="1">IFERROR(__xludf.DUMMYFUNCTION("""COMPUTED_VALUE"""),"1920900060000")</f>
        <v>1920900060000</v>
      </c>
      <c r="N916" s="1" t="str">
        <f ca="1">IFERROR(__xludf.DUMMYFUNCTION("""COMPUTED_VALUE"""),"6 URE")</f>
        <v>6 URE</v>
      </c>
      <c r="O916" s="1"/>
      <c r="P916" s="1"/>
      <c r="Q916" s="1" t="s">
        <v>922</v>
      </c>
    </row>
    <row r="917" spans="1:17" x14ac:dyDescent="0.25">
      <c r="A917" s="2" t="str">
        <f ca="1">IFERROR(__xludf.DUMMYFUNCTION("""COMPUTED_VALUE"""),"REG DE INTEGRA DO BAIXO AMAZON")</f>
        <v>REG DE INTEGRA DO BAIXO AMAZON</v>
      </c>
      <c r="B917" s="1" t="str">
        <f ca="1">IFERROR(__xludf.DUMMYFUNCTION("""COMPUTED_VALUE"""),"DRE MONTE ALEGRE")</f>
        <v>DRE MONTE ALEGRE</v>
      </c>
      <c r="C917" s="2" t="str">
        <f ca="1">IFERROR(__xludf.DUMMYFUNCTION("""COMPUTED_VALUE"""),"DRE - MONTE ALEGRE")</f>
        <v>DRE - MONTE ALEGRE</v>
      </c>
      <c r="D917" s="1"/>
      <c r="E917" s="2" t="str">
        <f ca="1">IFERROR(__xludf.DUMMYFUNCTION("""COMPUTED_VALUE"""),"DRE - MONTE ALEGRE")</f>
        <v>DRE - MONTE ALEGRE</v>
      </c>
      <c r="F917" s="1">
        <f ca="1">IFERROR(__xludf.DUMMYFUNCTION("""COMPUTED_VALUE"""),3)</f>
        <v>3</v>
      </c>
      <c r="G917" s="1"/>
      <c r="H917" s="1" t="str">
        <f ca="1">IFERROR(__xludf.DUMMYFUNCTION("""COMPUTED_VALUE"""),"06A URE - MONTE ALEGRE")</f>
        <v>06A URE - MONTE ALEGRE</v>
      </c>
      <c r="I917" s="1"/>
      <c r="J917" s="1" t="str">
        <f ca="1">IFERROR(__xludf.DUMMYFUNCTION("""COMPUTED_VALUE"""),"MONTE ALEGRE")</f>
        <v>MONTE ALEGRE</v>
      </c>
      <c r="K917" s="1">
        <f ca="1">IFERROR(__xludf.DUMMYFUNCTION("""COMPUTED_VALUE"""),15177807)</f>
        <v>15177807</v>
      </c>
      <c r="L917" s="2" t="str">
        <f ca="1">IFERROR(__xludf.DUMMYFUNCTION("""COMPUTED_VALUE"""),"001920904960005")</f>
        <v>001920904960005</v>
      </c>
      <c r="M917" s="2" t="str">
        <f ca="1">IFERROR(__xludf.DUMMYFUNCTION("""COMPUTED_VALUE"""),"1920904960005")</f>
        <v>1920904960005</v>
      </c>
      <c r="N917" s="1" t="str">
        <f ca="1">IFERROR(__xludf.DUMMYFUNCTION("""COMPUTED_VALUE"""),"ANEXO RURAL MURUMURU")</f>
        <v>ANEXO RURAL MURUMURU</v>
      </c>
      <c r="O917" s="1"/>
      <c r="P917" s="1"/>
      <c r="Q917" s="1" t="s">
        <v>922</v>
      </c>
    </row>
    <row r="918" spans="1:17" x14ac:dyDescent="0.25">
      <c r="A918" s="2" t="str">
        <f ca="1">IFERROR(__xludf.DUMMYFUNCTION("""COMPUTED_VALUE"""),"REG DE INTEGRA DO BAIXO AMAZON")</f>
        <v>REG DE INTEGRA DO BAIXO AMAZON</v>
      </c>
      <c r="B918" s="1" t="str">
        <f ca="1">IFERROR(__xludf.DUMMYFUNCTION("""COMPUTED_VALUE"""),"DRE MONTE ALEGRE")</f>
        <v>DRE MONTE ALEGRE</v>
      </c>
      <c r="C918" s="2" t="str">
        <f ca="1">IFERROR(__xludf.DUMMYFUNCTION("""COMPUTED_VALUE"""),"DRE - MONTE ALEGRE")</f>
        <v>DRE - MONTE ALEGRE</v>
      </c>
      <c r="D918" s="1"/>
      <c r="E918" s="2" t="str">
        <f ca="1">IFERROR(__xludf.DUMMYFUNCTION("""COMPUTED_VALUE"""),"DRE - MONTE ALEGRE")</f>
        <v>DRE - MONTE ALEGRE</v>
      </c>
      <c r="F918" s="1">
        <f ca="1">IFERROR(__xludf.DUMMYFUNCTION("""COMPUTED_VALUE"""),3)</f>
        <v>3</v>
      </c>
      <c r="G918" s="1" t="str">
        <f ca="1">IFERROR(__xludf.DUMMYFUNCTION("""COMPUTED_VALUE"""),"DRE MONTE ALEGRE")</f>
        <v>DRE MONTE ALEGRE</v>
      </c>
      <c r="H918" s="1" t="str">
        <f ca="1">IFERROR(__xludf.DUMMYFUNCTION("""COMPUTED_VALUE"""),"06A URE - MONTE ALEGRE")</f>
        <v>06A URE - MONTE ALEGRE</v>
      </c>
      <c r="I918" s="1"/>
      <c r="J918" s="1" t="str">
        <f ca="1">IFERROR(__xludf.DUMMYFUNCTION("""COMPUTED_VALUE"""),"MONTE ALEGRE")</f>
        <v>MONTE ALEGRE</v>
      </c>
      <c r="K918" s="1">
        <f ca="1">IFERROR(__xludf.DUMMYFUNCTION("""COMPUTED_VALUE"""),15572099)</f>
        <v>15572099</v>
      </c>
      <c r="L918" s="2" t="str">
        <f ca="1">IFERROR(__xludf.DUMMYFUNCTION("""COMPUTED_VALUE"""),"001920936240000")</f>
        <v>001920936240000</v>
      </c>
      <c r="M918" s="2" t="str">
        <f ca="1">IFERROR(__xludf.DUMMYFUNCTION("""COMPUTED_VALUE"""),"1920936240000")</f>
        <v>1920936240000</v>
      </c>
      <c r="N918" s="1" t="str">
        <f ca="1">IFERROR(__xludf.DUMMYFUNCTION("""COMPUTED_VALUE"""),"EEEM C PRESIDENTE FERNANDO HENRIQUE")</f>
        <v>EEEM C PRESIDENTE FERNANDO HENRIQUE</v>
      </c>
      <c r="O918" s="1"/>
      <c r="P918" s="1"/>
      <c r="Q918" s="1" t="s">
        <v>922</v>
      </c>
    </row>
    <row r="919" spans="1:17" x14ac:dyDescent="0.25">
      <c r="A919" s="2" t="str">
        <f ca="1">IFERROR(__xludf.DUMMYFUNCTION("""COMPUTED_VALUE"""),"REG DE INTEGRA DO BAIXO AMAZON")</f>
        <v>REG DE INTEGRA DO BAIXO AMAZON</v>
      </c>
      <c r="B919" s="1" t="str">
        <f ca="1">IFERROR(__xludf.DUMMYFUNCTION("""COMPUTED_VALUE"""),"DRE MONTE ALEGRE")</f>
        <v>DRE MONTE ALEGRE</v>
      </c>
      <c r="C919" s="2" t="str">
        <f ca="1">IFERROR(__xludf.DUMMYFUNCTION("""COMPUTED_VALUE"""),"DRE - MONTE ALEGRE")</f>
        <v>DRE - MONTE ALEGRE</v>
      </c>
      <c r="D919" s="1"/>
      <c r="E919" s="2" t="str">
        <f ca="1">IFERROR(__xludf.DUMMYFUNCTION("""COMPUTED_VALUE"""),"DRE - MONTE ALEGRE")</f>
        <v>DRE - MONTE ALEGRE</v>
      </c>
      <c r="F919" s="1">
        <f ca="1">IFERROR(__xludf.DUMMYFUNCTION("""COMPUTED_VALUE"""),3)</f>
        <v>3</v>
      </c>
      <c r="G919" s="1" t="str">
        <f ca="1">IFERROR(__xludf.DUMMYFUNCTION("""COMPUTED_VALUE"""),"DRE MONTE ALEGRE")</f>
        <v>DRE MONTE ALEGRE</v>
      </c>
      <c r="H919" s="1" t="str">
        <f ca="1">IFERROR(__xludf.DUMMYFUNCTION("""COMPUTED_VALUE"""),"06A URE - MONTE ALEGRE")</f>
        <v>06A URE - MONTE ALEGRE</v>
      </c>
      <c r="I919" s="1"/>
      <c r="J919" s="1" t="str">
        <f ca="1">IFERROR(__xludf.DUMMYFUNCTION("""COMPUTED_VALUE"""),"MONTE ALEGRE")</f>
        <v>MONTE ALEGRE</v>
      </c>
      <c r="K919" s="1">
        <f ca="1">IFERROR(__xludf.DUMMYFUNCTION("""COMPUTED_VALUE"""),15007375)</f>
        <v>15007375</v>
      </c>
      <c r="L919" s="2" t="str">
        <f ca="1">IFERROR(__xludf.DUMMYFUNCTION("""COMPUTED_VALUE"""),"001920904960000")</f>
        <v>001920904960000</v>
      </c>
      <c r="M919" s="2" t="str">
        <f ca="1">IFERROR(__xludf.DUMMYFUNCTION("""COMPUTED_VALUE"""),"1920904960000")</f>
        <v>1920904960000</v>
      </c>
      <c r="N919" s="1" t="str">
        <f ca="1">IFERROR(__xludf.DUMMYFUNCTION("""COMPUTED_VALUE"""),"EEEM FRANCISCO NOBRE DE ALMEIDA")</f>
        <v>EEEM FRANCISCO NOBRE DE ALMEIDA</v>
      </c>
      <c r="O919" s="1"/>
      <c r="P919" s="1"/>
      <c r="Q919" s="1" t="s">
        <v>922</v>
      </c>
    </row>
    <row r="920" spans="1:17" x14ac:dyDescent="0.25">
      <c r="A920" s="2" t="str">
        <f ca="1">IFERROR(__xludf.DUMMYFUNCTION("""COMPUTED_VALUE"""),"REG DE INTEGRA DO BAIXO AMAZON")</f>
        <v>REG DE INTEGRA DO BAIXO AMAZON</v>
      </c>
      <c r="B920" s="1" t="str">
        <f ca="1">IFERROR(__xludf.DUMMYFUNCTION("""COMPUTED_VALUE"""),"DRE MONTE ALEGRE")</f>
        <v>DRE MONTE ALEGRE</v>
      </c>
      <c r="C920" s="2" t="str">
        <f ca="1">IFERROR(__xludf.DUMMYFUNCTION("""COMPUTED_VALUE"""),"DRE - MONTE ALEGRE")</f>
        <v>DRE - MONTE ALEGRE</v>
      </c>
      <c r="D920" s="1"/>
      <c r="E920" s="2" t="str">
        <f ca="1">IFERROR(__xludf.DUMMYFUNCTION("""COMPUTED_VALUE"""),"DRE - MONTE ALEGRE")</f>
        <v>DRE - MONTE ALEGRE</v>
      </c>
      <c r="F920" s="1">
        <f ca="1">IFERROR(__xludf.DUMMYFUNCTION("""COMPUTED_VALUE"""),3)</f>
        <v>3</v>
      </c>
      <c r="G920" s="1" t="str">
        <f ca="1">IFERROR(__xludf.DUMMYFUNCTION("""COMPUTED_VALUE"""),"DRE MONTE ALEGRE")</f>
        <v>DRE MONTE ALEGRE</v>
      </c>
      <c r="H920" s="1" t="str">
        <f ca="1">IFERROR(__xludf.DUMMYFUNCTION("""COMPUTED_VALUE"""),"06A URE - MONTE ALEGRE")</f>
        <v>06A URE - MONTE ALEGRE</v>
      </c>
      <c r="I920" s="1"/>
      <c r="J920" s="1" t="str">
        <f ca="1">IFERROR(__xludf.DUMMYFUNCTION("""COMPUTED_VALUE"""),"MONTE ALEGRE")</f>
        <v>MONTE ALEGRE</v>
      </c>
      <c r="K920" s="1">
        <f ca="1">IFERROR(__xludf.DUMMYFUNCTION("""COMPUTED_VALUE"""),15169090)</f>
        <v>15169090</v>
      </c>
      <c r="L920" s="2" t="str">
        <f ca="1">IFERROR(__xludf.DUMMYFUNCTION("""COMPUTED_VALUE"""),"001920904960001")</f>
        <v>001920904960001</v>
      </c>
      <c r="M920" s="2" t="str">
        <f ca="1">IFERROR(__xludf.DUMMYFUNCTION("""COMPUTED_VALUE"""),"1920904960001")</f>
        <v>1920904960001</v>
      </c>
      <c r="N920" s="1" t="str">
        <f ca="1">IFERROR(__xludf.DUMMYFUNCTION("""COMPUTED_VALUE"""),"EEEM FRANCISCO NOBRE DE ALMEIDA- ANEXO")</f>
        <v>EEEM FRANCISCO NOBRE DE ALMEIDA- ANEXO</v>
      </c>
      <c r="O920" s="1"/>
      <c r="P920" s="1"/>
      <c r="Q920" s="1" t="s">
        <v>922</v>
      </c>
    </row>
    <row r="921" spans="1:17" x14ac:dyDescent="0.25">
      <c r="A921" s="2" t="str">
        <f ca="1">IFERROR(__xludf.DUMMYFUNCTION("""COMPUTED_VALUE"""),"REG DE INTEGRA DO BAIXO AMAZON")</f>
        <v>REG DE INTEGRA DO BAIXO AMAZON</v>
      </c>
      <c r="B921" s="1" t="str">
        <f ca="1">IFERROR(__xludf.DUMMYFUNCTION("""COMPUTED_VALUE"""),"DRE MONTE ALEGRE")</f>
        <v>DRE MONTE ALEGRE</v>
      </c>
      <c r="C921" s="2" t="str">
        <f ca="1">IFERROR(__xludf.DUMMYFUNCTION("""COMPUTED_VALUE"""),"DRE - MONTE ALEGRE")</f>
        <v>DRE - MONTE ALEGRE</v>
      </c>
      <c r="D921" s="1"/>
      <c r="E921" s="2" t="str">
        <f ca="1">IFERROR(__xludf.DUMMYFUNCTION("""COMPUTED_VALUE"""),"DRE - MONTE ALEGRE")</f>
        <v>DRE - MONTE ALEGRE</v>
      </c>
      <c r="F921" s="1">
        <f ca="1">IFERROR(__xludf.DUMMYFUNCTION("""COMPUTED_VALUE"""),3)</f>
        <v>3</v>
      </c>
      <c r="G921" s="1" t="str">
        <f ca="1">IFERROR(__xludf.DUMMYFUNCTION("""COMPUTED_VALUE"""),"DRE MONTE ALEGRE")</f>
        <v>DRE MONTE ALEGRE</v>
      </c>
      <c r="H921" s="1" t="str">
        <f ca="1">IFERROR(__xludf.DUMMYFUNCTION("""COMPUTED_VALUE"""),"06A URE - MONTE ALEGRE")</f>
        <v>06A URE - MONTE ALEGRE</v>
      </c>
      <c r="I921" s="1"/>
      <c r="J921" s="1" t="str">
        <f ca="1">IFERROR(__xludf.DUMMYFUNCTION("""COMPUTED_VALUE"""),"MONTE ALEGRE")</f>
        <v>MONTE ALEGRE</v>
      </c>
      <c r="K921" s="1">
        <f ca="1">IFERROR(__xludf.DUMMYFUNCTION("""COMPUTED_VALUE"""),15169065)</f>
        <v>15169065</v>
      </c>
      <c r="L921" s="2" t="str">
        <f ca="1">IFERROR(__xludf.DUMMYFUNCTION("""COMPUTED_VALUE"""),"001920936620000")</f>
        <v>001920936620000</v>
      </c>
      <c r="M921" s="2" t="str">
        <f ca="1">IFERROR(__xludf.DUMMYFUNCTION("""COMPUTED_VALUE"""),"1920936620000")</f>
        <v>1920936620000</v>
      </c>
      <c r="N921" s="1" t="str">
        <f ca="1">IFERROR(__xludf.DUMMYFUNCTION("""COMPUTED_VALUE"""),"EEEM KM 11")</f>
        <v>EEEM KM 11</v>
      </c>
      <c r="O921" s="1"/>
      <c r="P921" s="1"/>
      <c r="Q921" s="1" t="s">
        <v>922</v>
      </c>
    </row>
    <row r="922" spans="1:17" x14ac:dyDescent="0.25">
      <c r="A922" s="2" t="str">
        <f ca="1">IFERROR(__xludf.DUMMYFUNCTION("""COMPUTED_VALUE"""),"REG DE INTEGRA DO BAIXO AMAZON")</f>
        <v>REG DE INTEGRA DO BAIXO AMAZON</v>
      </c>
      <c r="B922" s="1" t="str">
        <f ca="1">IFERROR(__xludf.DUMMYFUNCTION("""COMPUTED_VALUE"""),"DRE MONTE ALEGRE")</f>
        <v>DRE MONTE ALEGRE</v>
      </c>
      <c r="C922" s="2" t="str">
        <f ca="1">IFERROR(__xludf.DUMMYFUNCTION("""COMPUTED_VALUE"""),"DRE - MONTE ALEGRE")</f>
        <v>DRE - MONTE ALEGRE</v>
      </c>
      <c r="D922" s="1"/>
      <c r="E922" s="2" t="str">
        <f ca="1">IFERROR(__xludf.DUMMYFUNCTION("""COMPUTED_VALUE"""),"DRE - MONTE ALEGRE")</f>
        <v>DRE - MONTE ALEGRE</v>
      </c>
      <c r="F922" s="1">
        <f ca="1">IFERROR(__xludf.DUMMYFUNCTION("""COMPUTED_VALUE"""),3)</f>
        <v>3</v>
      </c>
      <c r="G922" s="1" t="str">
        <f ca="1">IFERROR(__xludf.DUMMYFUNCTION("""COMPUTED_VALUE"""),"DRE MONTE ALEGRE")</f>
        <v>DRE MONTE ALEGRE</v>
      </c>
      <c r="H922" s="1" t="str">
        <f ca="1">IFERROR(__xludf.DUMMYFUNCTION("""COMPUTED_VALUE"""),"06A URE - MONTE ALEGRE")</f>
        <v>06A URE - MONTE ALEGRE</v>
      </c>
      <c r="I922" s="1"/>
      <c r="J922" s="1" t="str">
        <f ca="1">IFERROR(__xludf.DUMMYFUNCTION("""COMPUTED_VALUE"""),"MONTE ALEGRE")</f>
        <v>MONTE ALEGRE</v>
      </c>
      <c r="K922" s="1">
        <f ca="1">IFERROR(__xludf.DUMMYFUNCTION("""COMPUTED_VALUE"""),15169189)</f>
        <v>15169189</v>
      </c>
      <c r="L922" s="2" t="str">
        <f ca="1">IFERROR(__xludf.DUMMYFUNCTION("""COMPUTED_VALUE"""),"001920904960004")</f>
        <v>001920904960004</v>
      </c>
      <c r="M922" s="2" t="str">
        <f ca="1">IFERROR(__xludf.DUMMYFUNCTION("""COMPUTED_VALUE"""),"1920904960004")</f>
        <v>1920904960004</v>
      </c>
      <c r="N922" s="1" t="str">
        <f ca="1">IFERROR(__xludf.DUMMYFUNCTION("""COMPUTED_VALUE"""),"EEEM MURUMURU - ANEXO I")</f>
        <v>EEEM MURUMURU - ANEXO I</v>
      </c>
      <c r="O922" s="1"/>
      <c r="P922" s="1"/>
      <c r="Q922" s="1" t="s">
        <v>922</v>
      </c>
    </row>
    <row r="923" spans="1:17" x14ac:dyDescent="0.25">
      <c r="A923" s="2" t="str">
        <f ca="1">IFERROR(__xludf.DUMMYFUNCTION("""COMPUTED_VALUE"""),"REG DE INTEGRA DO BAIXO AMAZON")</f>
        <v>REG DE INTEGRA DO BAIXO AMAZON</v>
      </c>
      <c r="B923" s="1" t="str">
        <f ca="1">IFERROR(__xludf.DUMMYFUNCTION("""COMPUTED_VALUE"""),"DRE MONTE ALEGRE")</f>
        <v>DRE MONTE ALEGRE</v>
      </c>
      <c r="C923" s="2" t="str">
        <f ca="1">IFERROR(__xludf.DUMMYFUNCTION("""COMPUTED_VALUE"""),"DRE - MONTE ALEGRE")</f>
        <v>DRE - MONTE ALEGRE</v>
      </c>
      <c r="D923" s="1"/>
      <c r="E923" s="2" t="str">
        <f ca="1">IFERROR(__xludf.DUMMYFUNCTION("""COMPUTED_VALUE"""),"DRE - MONTE ALEGRE")</f>
        <v>DRE - MONTE ALEGRE</v>
      </c>
      <c r="F923" s="1">
        <f ca="1">IFERROR(__xludf.DUMMYFUNCTION("""COMPUTED_VALUE"""),3)</f>
        <v>3</v>
      </c>
      <c r="G923" s="1" t="str">
        <f ca="1">IFERROR(__xludf.DUMMYFUNCTION("""COMPUTED_VALUE"""),"DRE MONTE ALEGRE")</f>
        <v>DRE MONTE ALEGRE</v>
      </c>
      <c r="H923" s="1" t="str">
        <f ca="1">IFERROR(__xludf.DUMMYFUNCTION("""COMPUTED_VALUE"""),"06A URE - MONTE ALEGRE")</f>
        <v>06A URE - MONTE ALEGRE</v>
      </c>
      <c r="I923" s="1"/>
      <c r="J923" s="1" t="str">
        <f ca="1">IFERROR(__xludf.DUMMYFUNCTION("""COMPUTED_VALUE"""),"MONTE ALEGRE")</f>
        <v>MONTE ALEGRE</v>
      </c>
      <c r="K923" s="1">
        <f ca="1">IFERROR(__xludf.DUMMYFUNCTION("""COMPUTED_VALUE"""),15170403)</f>
        <v>15170403</v>
      </c>
      <c r="L923" s="2" t="str">
        <f ca="1">IFERROR(__xludf.DUMMYFUNCTION("""COMPUTED_VALUE"""),"001920904950001")</f>
        <v>001920904950001</v>
      </c>
      <c r="M923" s="2" t="str">
        <f ca="1">IFERROR(__xludf.DUMMYFUNCTION("""COMPUTED_VALUE"""),"1920904950001")</f>
        <v>1920904950001</v>
      </c>
      <c r="N923" s="1" t="str">
        <f ca="1">IFERROR(__xludf.DUMMYFUNCTION("""COMPUTED_VALUE"""),"EEEM PE EDMUNDO DE LIMA CALVO   - ANEXO")</f>
        <v>EEEM PE EDMUNDO DE LIMA CALVO   - ANEXO</v>
      </c>
      <c r="O923" s="1"/>
      <c r="P923" s="1"/>
      <c r="Q923" s="1" t="s">
        <v>922</v>
      </c>
    </row>
    <row r="924" spans="1:17" x14ac:dyDescent="0.25">
      <c r="A924" s="2" t="str">
        <f ca="1">IFERROR(__xludf.DUMMYFUNCTION("""COMPUTED_VALUE"""),"REG DE INTEGRA DO BAIXO AMAZON")</f>
        <v>REG DE INTEGRA DO BAIXO AMAZON</v>
      </c>
      <c r="B924" s="1" t="str">
        <f ca="1">IFERROR(__xludf.DUMMYFUNCTION("""COMPUTED_VALUE"""),"DRE MONTE ALEGRE")</f>
        <v>DRE MONTE ALEGRE</v>
      </c>
      <c r="C924" s="2" t="str">
        <f ca="1">IFERROR(__xludf.DUMMYFUNCTION("""COMPUTED_VALUE"""),"DRE - MONTE ALEGRE")</f>
        <v>DRE - MONTE ALEGRE</v>
      </c>
      <c r="D924" s="1"/>
      <c r="E924" s="2" t="str">
        <f ca="1">IFERROR(__xludf.DUMMYFUNCTION("""COMPUTED_VALUE"""),"DRE - MONTE ALEGRE")</f>
        <v>DRE - MONTE ALEGRE</v>
      </c>
      <c r="F924" s="1">
        <f ca="1">IFERROR(__xludf.DUMMYFUNCTION("""COMPUTED_VALUE"""),3)</f>
        <v>3</v>
      </c>
      <c r="G924" s="1" t="str">
        <f ca="1">IFERROR(__xludf.DUMMYFUNCTION("""COMPUTED_VALUE"""),"DRE MONTE ALEGRE")</f>
        <v>DRE MONTE ALEGRE</v>
      </c>
      <c r="H924" s="1" t="str">
        <f ca="1">IFERROR(__xludf.DUMMYFUNCTION("""COMPUTED_VALUE"""),"06A URE - MONTE ALEGRE")</f>
        <v>06A URE - MONTE ALEGRE</v>
      </c>
      <c r="I924" s="1"/>
      <c r="J924" s="1" t="str">
        <f ca="1">IFERROR(__xludf.DUMMYFUNCTION("""COMPUTED_VALUE"""),"MONTE ALEGRE")</f>
        <v>MONTE ALEGRE</v>
      </c>
      <c r="K924" s="1">
        <f ca="1">IFERROR(__xludf.DUMMYFUNCTION("""COMPUTED_VALUE"""),15007324)</f>
        <v>15007324</v>
      </c>
      <c r="L924" s="2" t="str">
        <f ca="1">IFERROR(__xludf.DUMMYFUNCTION("""COMPUTED_VALUE"""),"001920904950000")</f>
        <v>001920904950000</v>
      </c>
      <c r="M924" s="2" t="str">
        <f ca="1">IFERROR(__xludf.DUMMYFUNCTION("""COMPUTED_VALUE"""),"1920904950000")</f>
        <v>1920904950000</v>
      </c>
      <c r="N924" s="1" t="str">
        <f ca="1">IFERROR(__xludf.DUMMYFUNCTION("""COMPUTED_VALUE"""),"EEEM PREFEITO CARIM MELEM")</f>
        <v>EEEM PREFEITO CARIM MELEM</v>
      </c>
      <c r="O924" s="1"/>
      <c r="P924" s="1"/>
      <c r="Q924" s="1" t="s">
        <v>922</v>
      </c>
    </row>
    <row r="925" spans="1:17" x14ac:dyDescent="0.25">
      <c r="A925" s="2" t="str">
        <f ca="1">IFERROR(__xludf.DUMMYFUNCTION("""COMPUTED_VALUE"""),"REG DE INTEGRA DO BAIXO AMAZON")</f>
        <v>REG DE INTEGRA DO BAIXO AMAZON</v>
      </c>
      <c r="B925" s="1" t="str">
        <f ca="1">IFERROR(__xludf.DUMMYFUNCTION("""COMPUTED_VALUE"""),"DRE MONTE ALEGRE")</f>
        <v>DRE MONTE ALEGRE</v>
      </c>
      <c r="C925" s="2" t="str">
        <f ca="1">IFERROR(__xludf.DUMMYFUNCTION("""COMPUTED_VALUE"""),"DRE - MONTE ALEGRE")</f>
        <v>DRE - MONTE ALEGRE</v>
      </c>
      <c r="D925" s="1"/>
      <c r="E925" s="2" t="str">
        <f ca="1">IFERROR(__xludf.DUMMYFUNCTION("""COMPUTED_VALUE"""),"DRE - MONTE ALEGRE")</f>
        <v>DRE - MONTE ALEGRE</v>
      </c>
      <c r="F925" s="1">
        <f ca="1">IFERROR(__xludf.DUMMYFUNCTION("""COMPUTED_VALUE"""),3)</f>
        <v>3</v>
      </c>
      <c r="G925" s="1" t="str">
        <f ca="1">IFERROR(__xludf.DUMMYFUNCTION("""COMPUTED_VALUE"""),"DRE MONTE ALEGRE")</f>
        <v>DRE MONTE ALEGRE</v>
      </c>
      <c r="H925" s="1" t="str">
        <f ca="1">IFERROR(__xludf.DUMMYFUNCTION("""COMPUTED_VALUE"""),"06A URE - MONTE ALEGRE")</f>
        <v>06A URE - MONTE ALEGRE</v>
      </c>
      <c r="I925" s="1"/>
      <c r="J925" s="1" t="str">
        <f ca="1">IFERROR(__xludf.DUMMYFUNCTION("""COMPUTED_VALUE"""),"MONTE ALEGRE")</f>
        <v>MONTE ALEGRE</v>
      </c>
      <c r="K925" s="1">
        <f ca="1">IFERROR(__xludf.DUMMYFUNCTION("""COMPUTED_VALUE"""),15587886)</f>
        <v>15587886</v>
      </c>
      <c r="L925" s="2" t="str">
        <f ca="1">IFERROR(__xludf.DUMMYFUNCTION("""COMPUTED_VALUE"""),"001920937410000")</f>
        <v>001920937410000</v>
      </c>
      <c r="M925" s="2" t="str">
        <f ca="1">IFERROR(__xludf.DUMMYFUNCTION("""COMPUTED_VALUE"""),"1920937410000")</f>
        <v>1920937410000</v>
      </c>
      <c r="N925" s="1" t="str">
        <f ca="1">IFERROR(__xludf.DUMMYFUNCTION("""COMPUTED_VALUE"""),"EETEPA MONTE ALEGRE")</f>
        <v>EETEPA MONTE ALEGRE</v>
      </c>
      <c r="O925" s="1"/>
      <c r="P925" s="1"/>
      <c r="Q925" s="1" t="s">
        <v>922</v>
      </c>
    </row>
    <row r="926" spans="1:17" x14ac:dyDescent="0.25">
      <c r="A926" s="2" t="str">
        <f ca="1">IFERROR(__xludf.DUMMYFUNCTION("""COMPUTED_VALUE"""),"REG DE INTEGRA DO BAIXO AMAZON")</f>
        <v>REG DE INTEGRA DO BAIXO AMAZON</v>
      </c>
      <c r="B926" s="1" t="str">
        <f ca="1">IFERROR(__xludf.DUMMYFUNCTION("""COMPUTED_VALUE"""),"DRE MONTE ALEGRE")</f>
        <v>DRE MONTE ALEGRE</v>
      </c>
      <c r="C926" s="2" t="str">
        <f ca="1">IFERROR(__xludf.DUMMYFUNCTION("""COMPUTED_VALUE"""),"DRE - MONTE ALEGRE")</f>
        <v>DRE - MONTE ALEGRE</v>
      </c>
      <c r="D926" s="1"/>
      <c r="E926" s="2" t="str">
        <f ca="1">IFERROR(__xludf.DUMMYFUNCTION("""COMPUTED_VALUE"""),"DRE - MONTE ALEGRE")</f>
        <v>DRE - MONTE ALEGRE</v>
      </c>
      <c r="F926" s="1"/>
      <c r="G926" s="1"/>
      <c r="H926" s="1" t="str">
        <f ca="1">IFERROR(__xludf.DUMMYFUNCTION("""COMPUTED_VALUE"""),"06A URE - MONTE ALEGRE")</f>
        <v>06A URE - MONTE ALEGRE</v>
      </c>
      <c r="I926" s="1"/>
      <c r="J926" s="1" t="str">
        <f ca="1">IFERROR(__xludf.DUMMYFUNCTION("""COMPUTED_VALUE"""),"MONTE ALEGRE")</f>
        <v>MONTE ALEGRE</v>
      </c>
      <c r="K926" s="1"/>
      <c r="L926" s="2" t="str">
        <f ca="1">IFERROR(__xludf.DUMMYFUNCTION("""COMPUTED_VALUE"""),"001920990000000")</f>
        <v>001920990000000</v>
      </c>
      <c r="M926" s="2" t="str">
        <f ca="1">IFERROR(__xludf.DUMMYFUNCTION("""COMPUTED_VALUE"""),"1920990000000")</f>
        <v>1920990000000</v>
      </c>
      <c r="N926" s="1" t="str">
        <f ca="1">IFERROR(__xludf.DUMMYFUNCTION("""COMPUTED_VALUE"""),"ESCOLA ESTADUAL RURAL DE MONTE ALEGRE")</f>
        <v>ESCOLA ESTADUAL RURAL DE MONTE ALEGRE</v>
      </c>
      <c r="O926" s="1"/>
      <c r="P926" s="1"/>
      <c r="Q926" s="1" t="s">
        <v>922</v>
      </c>
    </row>
    <row r="927" spans="1:17" x14ac:dyDescent="0.25">
      <c r="A927" s="2" t="str">
        <f ca="1">IFERROR(__xludf.DUMMYFUNCTION("""COMPUTED_VALUE"""),"REG DE INTEGRA DO BAIXO AMAZON")</f>
        <v>REG DE INTEGRA DO BAIXO AMAZON</v>
      </c>
      <c r="B927" s="1" t="str">
        <f ca="1">IFERROR(__xludf.DUMMYFUNCTION("""COMPUTED_VALUE"""),"DRE MONTE ALEGRE")</f>
        <v>DRE MONTE ALEGRE</v>
      </c>
      <c r="C927" s="2" t="str">
        <f ca="1">IFERROR(__xludf.DUMMYFUNCTION("""COMPUTED_VALUE"""),"DRE - MONTE ALEGRE")</f>
        <v>DRE - MONTE ALEGRE</v>
      </c>
      <c r="D927" s="1"/>
      <c r="E927" s="2" t="str">
        <f ca="1">IFERROR(__xludf.DUMMYFUNCTION("""COMPUTED_VALUE"""),"DRE - MONTE ALEGRE")</f>
        <v>DRE - MONTE ALEGRE</v>
      </c>
      <c r="F927" s="1">
        <f ca="1">IFERROR(__xludf.DUMMYFUNCTION("""COMPUTED_VALUE"""),3)</f>
        <v>3</v>
      </c>
      <c r="G927" s="1"/>
      <c r="H927" s="1" t="str">
        <f ca="1">IFERROR(__xludf.DUMMYFUNCTION("""COMPUTED_VALUE"""),"06A URE - MONTE ALEGRE")</f>
        <v>06A URE - MONTE ALEGRE</v>
      </c>
      <c r="I927" s="1"/>
      <c r="J927" s="1" t="str">
        <f ca="1">IFERROR(__xludf.DUMMYFUNCTION("""COMPUTED_VALUE"""),"PRAINHA")</f>
        <v>PRAINHA</v>
      </c>
      <c r="K927" s="1">
        <f ca="1">IFERROR(__xludf.DUMMYFUNCTION("""COMPUTED_VALUE"""),15177815)</f>
        <v>15177815</v>
      </c>
      <c r="L927" s="2" t="str">
        <f ca="1">IFERROR(__xludf.DUMMYFUNCTION("""COMPUTED_VALUE"""),"001920902990005")</f>
        <v>001920902990005</v>
      </c>
      <c r="M927" s="2" t="str">
        <f ca="1">IFERROR(__xludf.DUMMYFUNCTION("""COMPUTED_VALUE"""),"1920902990005")</f>
        <v>1920902990005</v>
      </c>
      <c r="N927" s="1" t="str">
        <f ca="1">IFERROR(__xludf.DUMMYFUNCTION("""COMPUTED_VALUE"""),"ANEXO RURAL  PRETEXTATO DA COSTA ALVARENGA")</f>
        <v>ANEXO RURAL  PRETEXTATO DA COSTA ALVARENGA</v>
      </c>
      <c r="O927" s="1"/>
      <c r="P927" s="1"/>
      <c r="Q927" s="1" t="s">
        <v>922</v>
      </c>
    </row>
    <row r="928" spans="1:17" x14ac:dyDescent="0.25">
      <c r="A928" s="2" t="str">
        <f ca="1">IFERROR(__xludf.DUMMYFUNCTION("""COMPUTED_VALUE"""),"REG DE INTEGRA DO BAIXO AMAZON")</f>
        <v>REG DE INTEGRA DO BAIXO AMAZON</v>
      </c>
      <c r="B928" s="1" t="str">
        <f ca="1">IFERROR(__xludf.DUMMYFUNCTION("""COMPUTED_VALUE"""),"DRE MONTE ALEGRE")</f>
        <v>DRE MONTE ALEGRE</v>
      </c>
      <c r="C928" s="2" t="str">
        <f ca="1">IFERROR(__xludf.DUMMYFUNCTION("""COMPUTED_VALUE"""),"DRE - MONTE ALEGRE")</f>
        <v>DRE - MONTE ALEGRE</v>
      </c>
      <c r="D928" s="1"/>
      <c r="E928" s="2" t="str">
        <f ca="1">IFERROR(__xludf.DUMMYFUNCTION("""COMPUTED_VALUE"""),"DRE - MONTE ALEGRE")</f>
        <v>DRE - MONTE ALEGRE</v>
      </c>
      <c r="F928" s="1">
        <f ca="1">IFERROR(__xludf.DUMMYFUNCTION("""COMPUTED_VALUE"""),3)</f>
        <v>3</v>
      </c>
      <c r="G928" s="1" t="str">
        <f ca="1">IFERROR(__xludf.DUMMYFUNCTION("""COMPUTED_VALUE"""),"DRE MONTE ALEGRE")</f>
        <v>DRE MONTE ALEGRE</v>
      </c>
      <c r="H928" s="1" t="str">
        <f ca="1">IFERROR(__xludf.DUMMYFUNCTION("""COMPUTED_VALUE"""),"06A URE - MONTE ALEGRE")</f>
        <v>06A URE - MONTE ALEGRE</v>
      </c>
      <c r="I928" s="1"/>
      <c r="J928" s="1" t="str">
        <f ca="1">IFERROR(__xludf.DUMMYFUNCTION("""COMPUTED_VALUE"""),"PRAINHA")</f>
        <v>PRAINHA</v>
      </c>
      <c r="K928" s="1">
        <f ca="1">IFERROR(__xludf.DUMMYFUNCTION("""COMPUTED_VALUE"""),15009432)</f>
        <v>15009432</v>
      </c>
      <c r="L928" s="2" t="str">
        <f ca="1">IFERROR(__xludf.DUMMYFUNCTION("""COMPUTED_VALUE"""),"001920902990000")</f>
        <v>001920902990000</v>
      </c>
      <c r="M928" s="2" t="str">
        <f ca="1">IFERROR(__xludf.DUMMYFUNCTION("""COMPUTED_VALUE"""),"1920902990000")</f>
        <v>1920902990000</v>
      </c>
      <c r="N928" s="1" t="str">
        <f ca="1">IFERROR(__xludf.DUMMYFUNCTION("""COMPUTED_VALUE"""),"EEEM PRETEXTATO DA COSTA ALVARENGA")</f>
        <v>EEEM PRETEXTATO DA COSTA ALVARENGA</v>
      </c>
      <c r="O928" s="1"/>
      <c r="P928" s="1"/>
      <c r="Q928" s="1" t="s">
        <v>922</v>
      </c>
    </row>
    <row r="929" spans="1:17" x14ac:dyDescent="0.25">
      <c r="A929" s="2" t="str">
        <f ca="1">IFERROR(__xludf.DUMMYFUNCTION("""COMPUTED_VALUE"""),"REG DE INTEGRA DO BAIXO AMAZON")</f>
        <v>REG DE INTEGRA DO BAIXO AMAZON</v>
      </c>
      <c r="B929" s="1" t="str">
        <f ca="1">IFERROR(__xludf.DUMMYFUNCTION("""COMPUTED_VALUE"""),"DRE MONTE ALEGRE")</f>
        <v>DRE MONTE ALEGRE</v>
      </c>
      <c r="C929" s="2" t="str">
        <f ca="1">IFERROR(__xludf.DUMMYFUNCTION("""COMPUTED_VALUE"""),"DRE - MONTE ALEGRE")</f>
        <v>DRE - MONTE ALEGRE</v>
      </c>
      <c r="D929" s="1"/>
      <c r="E929" s="2" t="str">
        <f ca="1">IFERROR(__xludf.DUMMYFUNCTION("""COMPUTED_VALUE"""),"DRE - MONTE ALEGRE")</f>
        <v>DRE - MONTE ALEGRE</v>
      </c>
      <c r="F929" s="1">
        <f ca="1">IFERROR(__xludf.DUMMYFUNCTION("""COMPUTED_VALUE"""),3)</f>
        <v>3</v>
      </c>
      <c r="G929" s="1" t="str">
        <f ca="1">IFERROR(__xludf.DUMMYFUNCTION("""COMPUTED_VALUE"""),"DRE MONTE ALEGRE")</f>
        <v>DRE MONTE ALEGRE</v>
      </c>
      <c r="H929" s="1" t="str">
        <f ca="1">IFERROR(__xludf.DUMMYFUNCTION("""COMPUTED_VALUE"""),"06A URE - MONTE ALEGRE")</f>
        <v>06A URE - MONTE ALEGRE</v>
      </c>
      <c r="I929" s="1"/>
      <c r="J929" s="1" t="str">
        <f ca="1">IFERROR(__xludf.DUMMYFUNCTION("""COMPUTED_VALUE"""),"PRAINHA")</f>
        <v>PRAINHA</v>
      </c>
      <c r="K929" s="1">
        <f ca="1">IFERROR(__xludf.DUMMYFUNCTION("""COMPUTED_VALUE"""),15169073)</f>
        <v>15169073</v>
      </c>
      <c r="L929" s="2" t="str">
        <f ca="1">IFERROR(__xludf.DUMMYFUNCTION("""COMPUTED_VALUE"""),"001920902990001")</f>
        <v>001920902990001</v>
      </c>
      <c r="M929" s="2" t="str">
        <f ca="1">IFERROR(__xludf.DUMMYFUNCTION("""COMPUTED_VALUE"""),"1920902990001")</f>
        <v>1920902990001</v>
      </c>
      <c r="N929" s="1" t="str">
        <f ca="1">IFERROR(__xludf.DUMMYFUNCTION("""COMPUTED_VALUE"""),"EEEM PRETEXTATO DA COSTA ALVARENGA ANEXO I")</f>
        <v>EEEM PRETEXTATO DA COSTA ALVARENGA ANEXO I</v>
      </c>
      <c r="O929" s="1"/>
      <c r="P929" s="1"/>
      <c r="Q929" s="1" t="s">
        <v>922</v>
      </c>
    </row>
    <row r="930" spans="1:17" x14ac:dyDescent="0.25">
      <c r="A930" s="2" t="str">
        <f ca="1">IFERROR(__xludf.DUMMYFUNCTION("""COMPUTED_VALUE"""),"REG DE INTEGRA DO BAIXO AMAZON")</f>
        <v>REG DE INTEGRA DO BAIXO AMAZON</v>
      </c>
      <c r="B930" s="1" t="str">
        <f ca="1">IFERROR(__xludf.DUMMYFUNCTION("""COMPUTED_VALUE"""),"DRE MONTE ALEGRE")</f>
        <v>DRE MONTE ALEGRE</v>
      </c>
      <c r="C930" s="2" t="str">
        <f ca="1">IFERROR(__xludf.DUMMYFUNCTION("""COMPUTED_VALUE"""),"DRE - MONTE ALEGRE")</f>
        <v>DRE - MONTE ALEGRE</v>
      </c>
      <c r="D930" s="1"/>
      <c r="E930" s="2" t="str">
        <f ca="1">IFERROR(__xludf.DUMMYFUNCTION("""COMPUTED_VALUE"""),"DRE - MONTE ALEGRE")</f>
        <v>DRE - MONTE ALEGRE</v>
      </c>
      <c r="F930" s="1">
        <f ca="1">IFERROR(__xludf.DUMMYFUNCTION("""COMPUTED_VALUE"""),3)</f>
        <v>3</v>
      </c>
      <c r="G930" s="1" t="str">
        <f ca="1">IFERROR(__xludf.DUMMYFUNCTION("""COMPUTED_VALUE"""),"DRE MONTE ALEGRE")</f>
        <v>DRE MONTE ALEGRE</v>
      </c>
      <c r="H930" s="1" t="str">
        <f ca="1">IFERROR(__xludf.DUMMYFUNCTION("""COMPUTED_VALUE"""),"06A URE - MONTE ALEGRE")</f>
        <v>06A URE - MONTE ALEGRE</v>
      </c>
      <c r="I930" s="1"/>
      <c r="J930" s="1" t="str">
        <f ca="1">IFERROR(__xludf.DUMMYFUNCTION("""COMPUTED_VALUE"""),"PRAINHA")</f>
        <v>PRAINHA</v>
      </c>
      <c r="K930" s="1">
        <f ca="1">IFERROR(__xludf.DUMMYFUNCTION("""COMPUTED_VALUE"""),15169081)</f>
        <v>15169081</v>
      </c>
      <c r="L930" s="2" t="str">
        <f ca="1">IFERROR(__xludf.DUMMYFUNCTION("""COMPUTED_VALUE"""),"001920902990002")</f>
        <v>001920902990002</v>
      </c>
      <c r="M930" s="2" t="str">
        <f ca="1">IFERROR(__xludf.DUMMYFUNCTION("""COMPUTED_VALUE"""),"1920902990002")</f>
        <v>1920902990002</v>
      </c>
      <c r="N930" s="1" t="str">
        <f ca="1">IFERROR(__xludf.DUMMYFUNCTION("""COMPUTED_VALUE"""),"EEEM PRETEXTATO DA COSTA ALVARENGA-ANEXO II")</f>
        <v>EEEM PRETEXTATO DA COSTA ALVARENGA-ANEXO II</v>
      </c>
      <c r="O930" s="1"/>
      <c r="P930" s="1"/>
      <c r="Q930" s="1" t="s">
        <v>922</v>
      </c>
    </row>
    <row r="931" spans="1:17" x14ac:dyDescent="0.25">
      <c r="A931" s="2" t="str">
        <f ca="1">IFERROR(__xludf.DUMMYFUNCTION("""COMPUTED_VALUE"""),"REG DE INTEGRA DO BAIXO AMAZON")</f>
        <v>REG DE INTEGRA DO BAIXO AMAZON</v>
      </c>
      <c r="B931" s="1" t="str">
        <f ca="1">IFERROR(__xludf.DUMMYFUNCTION("""COMPUTED_VALUE"""),"DRE MONTE ALEGRE")</f>
        <v>DRE MONTE ALEGRE</v>
      </c>
      <c r="C931" s="2" t="str">
        <f ca="1">IFERROR(__xludf.DUMMYFUNCTION("""COMPUTED_VALUE"""),"DRE - MONTE ALEGRE")</f>
        <v>DRE - MONTE ALEGRE</v>
      </c>
      <c r="D931" s="1"/>
      <c r="E931" s="2" t="str">
        <f ca="1">IFERROR(__xludf.DUMMYFUNCTION("""COMPUTED_VALUE"""),"DRE - MONTE ALEGRE")</f>
        <v>DRE - MONTE ALEGRE</v>
      </c>
      <c r="F931" s="1">
        <f ca="1">IFERROR(__xludf.DUMMYFUNCTION("""COMPUTED_VALUE"""),3)</f>
        <v>3</v>
      </c>
      <c r="G931" s="1" t="str">
        <f ca="1">IFERROR(__xludf.DUMMYFUNCTION("""COMPUTED_VALUE"""),"DRE MONTE ALEGRE")</f>
        <v>DRE MONTE ALEGRE</v>
      </c>
      <c r="H931" s="1" t="str">
        <f ca="1">IFERROR(__xludf.DUMMYFUNCTION("""COMPUTED_VALUE"""),"06A URE - MONTE ALEGRE")</f>
        <v>06A URE - MONTE ALEGRE</v>
      </c>
      <c r="I931" s="1"/>
      <c r="J931" s="1" t="str">
        <f ca="1">IFERROR(__xludf.DUMMYFUNCTION("""COMPUTED_VALUE"""),"PRAINHA")</f>
        <v>PRAINHA</v>
      </c>
      <c r="K931" s="1">
        <f ca="1">IFERROR(__xludf.DUMMYFUNCTION("""COMPUTED_VALUE"""),15009432)</f>
        <v>15009432</v>
      </c>
      <c r="L931" s="2" t="str">
        <f ca="1">IFERROR(__xludf.DUMMYFUNCTION("""COMPUTED_VALUE"""),"001920902990003")</f>
        <v>001920902990003</v>
      </c>
      <c r="M931" s="2" t="str">
        <f ca="1">IFERROR(__xludf.DUMMYFUNCTION("""COMPUTED_VALUE"""),"1920902990003")</f>
        <v>1920902990003</v>
      </c>
      <c r="N931" s="1" t="str">
        <f ca="1">IFERROR(__xludf.DUMMYFUNCTION("""COMPUTED_VALUE"""),"EEEM PRETEXTATO DA COSTA ALVARENGA-ANEXO III")</f>
        <v>EEEM PRETEXTATO DA COSTA ALVARENGA-ANEXO III</v>
      </c>
      <c r="O931" s="1"/>
      <c r="P931" s="1"/>
      <c r="Q931" s="1" t="s">
        <v>922</v>
      </c>
    </row>
    <row r="932" spans="1:17" x14ac:dyDescent="0.25">
      <c r="A932" s="2" t="str">
        <f ca="1">IFERROR(__xludf.DUMMYFUNCTION("""COMPUTED_VALUE"""),"REG DE INTEGRA DO BAIXO AMAZON")</f>
        <v>REG DE INTEGRA DO BAIXO AMAZON</v>
      </c>
      <c r="B932" s="1" t="str">
        <f ca="1">IFERROR(__xludf.DUMMYFUNCTION("""COMPUTED_VALUE"""),"DRE MONTE ALEGRE")</f>
        <v>DRE MONTE ALEGRE</v>
      </c>
      <c r="C932" s="2" t="str">
        <f ca="1">IFERROR(__xludf.DUMMYFUNCTION("""COMPUTED_VALUE"""),"DRE - MONTE ALEGRE")</f>
        <v>DRE - MONTE ALEGRE</v>
      </c>
      <c r="D932" s="1"/>
      <c r="E932" s="2" t="str">
        <f ca="1">IFERROR(__xludf.DUMMYFUNCTION("""COMPUTED_VALUE"""),"DRE - MONTE ALEGRE")</f>
        <v>DRE - MONTE ALEGRE</v>
      </c>
      <c r="F932" s="1">
        <f ca="1">IFERROR(__xludf.DUMMYFUNCTION("""COMPUTED_VALUE"""),3)</f>
        <v>3</v>
      </c>
      <c r="G932" s="1" t="str">
        <f ca="1">IFERROR(__xludf.DUMMYFUNCTION("""COMPUTED_VALUE"""),"DRE MONTE ALEGRE")</f>
        <v>DRE MONTE ALEGRE</v>
      </c>
      <c r="H932" s="1" t="str">
        <f ca="1">IFERROR(__xludf.DUMMYFUNCTION("""COMPUTED_VALUE"""),"06A URE - MONTE ALEGRE")</f>
        <v>06A URE - MONTE ALEGRE</v>
      </c>
      <c r="I932" s="1"/>
      <c r="J932" s="1" t="str">
        <f ca="1">IFERROR(__xludf.DUMMYFUNCTION("""COMPUTED_VALUE"""),"PRAINHA")</f>
        <v>PRAINHA</v>
      </c>
      <c r="K932" s="1">
        <f ca="1">IFERROR(__xludf.DUMMYFUNCTION("""COMPUTED_VALUE"""),15009432)</f>
        <v>15009432</v>
      </c>
      <c r="L932" s="2" t="str">
        <f ca="1">IFERROR(__xludf.DUMMYFUNCTION("""COMPUTED_VALUE"""),"001920902990004")</f>
        <v>001920902990004</v>
      </c>
      <c r="M932" s="2" t="str">
        <f ca="1">IFERROR(__xludf.DUMMYFUNCTION("""COMPUTED_VALUE"""),"1920902990004")</f>
        <v>1920902990004</v>
      </c>
      <c r="N932" s="1" t="str">
        <f ca="1">IFERROR(__xludf.DUMMYFUNCTION("""COMPUTED_VALUE"""),"EEEM PRETEXTATO DA COSTA ALVARENGA-ANEXO IV")</f>
        <v>EEEM PRETEXTATO DA COSTA ALVARENGA-ANEXO IV</v>
      </c>
      <c r="O932" s="1"/>
      <c r="P932" s="1"/>
      <c r="Q932" s="1" t="s">
        <v>922</v>
      </c>
    </row>
    <row r="933" spans="1:17" x14ac:dyDescent="0.25">
      <c r="A933" s="2" t="str">
        <f ca="1">IFERROR(__xludf.DUMMYFUNCTION("""COMPUTED_VALUE"""),"REG DE INTEGRA DO BAIXO AMAZON")</f>
        <v>REG DE INTEGRA DO BAIXO AMAZON</v>
      </c>
      <c r="B933" s="1" t="str">
        <f ca="1">IFERROR(__xludf.DUMMYFUNCTION("""COMPUTED_VALUE"""),"DRE MONTE ALEGRE")</f>
        <v>DRE MONTE ALEGRE</v>
      </c>
      <c r="C933" s="2" t="str">
        <f ca="1">IFERROR(__xludf.DUMMYFUNCTION("""COMPUTED_VALUE"""),"DRE - MONTE ALEGRE")</f>
        <v>DRE - MONTE ALEGRE</v>
      </c>
      <c r="D933" s="1"/>
      <c r="E933" s="2" t="str">
        <f ca="1">IFERROR(__xludf.DUMMYFUNCTION("""COMPUTED_VALUE"""),"DRE - MONTE ALEGRE")</f>
        <v>DRE - MONTE ALEGRE</v>
      </c>
      <c r="F933" s="1"/>
      <c r="G933" s="1"/>
      <c r="H933" s="1" t="str">
        <f ca="1">IFERROR(__xludf.DUMMYFUNCTION("""COMPUTED_VALUE"""),"06A URE - MONTE ALEGRE")</f>
        <v>06A URE - MONTE ALEGRE</v>
      </c>
      <c r="I933" s="1"/>
      <c r="J933" s="1" t="str">
        <f ca="1">IFERROR(__xludf.DUMMYFUNCTION("""COMPUTED_VALUE"""),"PRAINHA")</f>
        <v>PRAINHA</v>
      </c>
      <c r="K933" s="1"/>
      <c r="L933" s="2" t="str">
        <f ca="1">IFERROR(__xludf.DUMMYFUNCTION("""COMPUTED_VALUE"""),"001920991000000")</f>
        <v>001920991000000</v>
      </c>
      <c r="M933" s="2" t="str">
        <f ca="1">IFERROR(__xludf.DUMMYFUNCTION("""COMPUTED_VALUE"""),"1920991000000")</f>
        <v>1920991000000</v>
      </c>
      <c r="N933" s="1" t="str">
        <f ca="1">IFERROR(__xludf.DUMMYFUNCTION("""COMPUTED_VALUE"""),"ESCOLA ESTADUAL RURAL DE PRAINHA")</f>
        <v>ESCOLA ESTADUAL RURAL DE PRAINHA</v>
      </c>
      <c r="O933" s="1"/>
      <c r="P933" s="1"/>
      <c r="Q933" s="1" t="s">
        <v>922</v>
      </c>
    </row>
    <row r="934" spans="1:17" x14ac:dyDescent="0.25">
      <c r="A934" s="2" t="str">
        <f ca="1">IFERROR(__xludf.DUMMYFUNCTION("""COMPUTED_VALUE"""),"REG DE INTEGRA DO BAIXO AMAZON")</f>
        <v>REG DE INTEGRA DO BAIXO AMAZON</v>
      </c>
      <c r="B934" s="1" t="str">
        <f ca="1">IFERROR(__xludf.DUMMYFUNCTION("""COMPUTED_VALUE"""),"DRE OBIDOS")</f>
        <v>DRE OBIDOS</v>
      </c>
      <c r="C934" s="2" t="str">
        <f ca="1">IFERROR(__xludf.DUMMYFUNCTION("""COMPUTED_VALUE"""),"DRE - OBIDOS")</f>
        <v>DRE - OBIDOS</v>
      </c>
      <c r="D934" s="1"/>
      <c r="E934" s="2" t="str">
        <f ca="1">IFERROR(__xludf.DUMMYFUNCTION("""COMPUTED_VALUE"""),"DRE - OBIDOS")</f>
        <v>DRE - OBIDOS</v>
      </c>
      <c r="F934" s="1">
        <f ca="1">IFERROR(__xludf.DUMMYFUNCTION("""COMPUTED_VALUE"""),3)</f>
        <v>3</v>
      </c>
      <c r="G934" s="1"/>
      <c r="H934" s="1" t="str">
        <f ca="1">IFERROR(__xludf.DUMMYFUNCTION("""COMPUTED_VALUE"""),"07A URE - OBIDOS")</f>
        <v>07A URE - OBIDOS</v>
      </c>
      <c r="I934" s="1"/>
      <c r="J934" s="1" t="str">
        <f ca="1">IFERROR(__xludf.DUMMYFUNCTION("""COMPUTED_VALUE"""),"CURUA")</f>
        <v>CURUA</v>
      </c>
      <c r="K934" s="1">
        <f ca="1">IFERROR(__xludf.DUMMYFUNCTION("""COMPUTED_VALUE"""),15177300)</f>
        <v>15177300</v>
      </c>
      <c r="L934" s="2" t="str">
        <f ca="1">IFERROR(__xludf.DUMMYFUNCTION("""COMPUTED_VALUE"""),"001920936920001")</f>
        <v>001920936920001</v>
      </c>
      <c r="M934" s="2" t="str">
        <f ca="1">IFERROR(__xludf.DUMMYFUNCTION("""COMPUTED_VALUE"""),"1920936920001")</f>
        <v>1920936920001</v>
      </c>
      <c r="N934" s="1" t="str">
        <f ca="1">IFERROR(__xludf.DUMMYFUNCTION("""COMPUTED_VALUE"""),"ANEXO RURAL SORAYA MARQUES CHAYB")</f>
        <v>ANEXO RURAL SORAYA MARQUES CHAYB</v>
      </c>
      <c r="O934" s="1"/>
      <c r="P934" s="1"/>
      <c r="Q934" s="1" t="s">
        <v>951</v>
      </c>
    </row>
    <row r="935" spans="1:17" x14ac:dyDescent="0.25">
      <c r="A935" s="2" t="str">
        <f ca="1">IFERROR(__xludf.DUMMYFUNCTION("""COMPUTED_VALUE"""),"REG DE INTEGRA DO BAIXO AMAZON")</f>
        <v>REG DE INTEGRA DO BAIXO AMAZON</v>
      </c>
      <c r="B935" s="1" t="str">
        <f ca="1">IFERROR(__xludf.DUMMYFUNCTION("""COMPUTED_VALUE"""),"DRE OBIDOS")</f>
        <v>DRE OBIDOS</v>
      </c>
      <c r="C935" s="2" t="str">
        <f ca="1">IFERROR(__xludf.DUMMYFUNCTION("""COMPUTED_VALUE"""),"DRE - OBIDOS")</f>
        <v>DRE - OBIDOS</v>
      </c>
      <c r="D935" s="1"/>
      <c r="E935" s="2" t="str">
        <f ca="1">IFERROR(__xludf.DUMMYFUNCTION("""COMPUTED_VALUE"""),"DRE - OBIDOS")</f>
        <v>DRE - OBIDOS</v>
      </c>
      <c r="F935" s="1">
        <f ca="1">IFERROR(__xludf.DUMMYFUNCTION("""COMPUTED_VALUE"""),3)</f>
        <v>3</v>
      </c>
      <c r="G935" s="1" t="str">
        <f ca="1">IFERROR(__xludf.DUMMYFUNCTION("""COMPUTED_VALUE"""),"DRE OBIDOS")</f>
        <v>DRE OBIDOS</v>
      </c>
      <c r="H935" s="1" t="str">
        <f ca="1">IFERROR(__xludf.DUMMYFUNCTION("""COMPUTED_VALUE"""),"07A URE - OBIDOS")</f>
        <v>07A URE - OBIDOS</v>
      </c>
      <c r="I935" s="1"/>
      <c r="J935" s="1" t="str">
        <f ca="1">IFERROR(__xludf.DUMMYFUNCTION("""COMPUTED_VALUE"""),"CURUA")</f>
        <v>CURUA</v>
      </c>
      <c r="K935" s="1">
        <f ca="1">IFERROR(__xludf.DUMMYFUNCTION("""COMPUTED_VALUE"""),15566838)</f>
        <v>15566838</v>
      </c>
      <c r="L935" s="2" t="str">
        <f ca="1">IFERROR(__xludf.DUMMYFUNCTION("""COMPUTED_VALUE"""),"001920936920000")</f>
        <v>001920936920000</v>
      </c>
      <c r="M935" s="2" t="str">
        <f ca="1">IFERROR(__xludf.DUMMYFUNCTION("""COMPUTED_VALUE"""),"1920936920000")</f>
        <v>1920936920000</v>
      </c>
      <c r="N935" s="1" t="str">
        <f ca="1">IFERROR(__xludf.DUMMYFUNCTION("""COMPUTED_VALUE"""),"EEEM SORAYA MARQUES CHAYB")</f>
        <v>EEEM SORAYA MARQUES CHAYB</v>
      </c>
      <c r="O935" s="1"/>
      <c r="P935" s="1"/>
      <c r="Q935" s="1" t="s">
        <v>951</v>
      </c>
    </row>
    <row r="936" spans="1:17" x14ac:dyDescent="0.25">
      <c r="A936" s="2" t="str">
        <f ca="1">IFERROR(__xludf.DUMMYFUNCTION("""COMPUTED_VALUE"""),"REG DE INTEGRA DO BAIXO AMAZON")</f>
        <v>REG DE INTEGRA DO BAIXO AMAZON</v>
      </c>
      <c r="B936" s="1" t="str">
        <f ca="1">IFERROR(__xludf.DUMMYFUNCTION("""COMPUTED_VALUE"""),"DRE OBIDOS")</f>
        <v>DRE OBIDOS</v>
      </c>
      <c r="C936" s="2" t="str">
        <f ca="1">IFERROR(__xludf.DUMMYFUNCTION("""COMPUTED_VALUE"""),"DRE - OBIDOS")</f>
        <v>DRE - OBIDOS</v>
      </c>
      <c r="D936" s="1"/>
      <c r="E936" s="2" t="str">
        <f ca="1">IFERROR(__xludf.DUMMYFUNCTION("""COMPUTED_VALUE"""),"DRE - OBIDOS")</f>
        <v>DRE - OBIDOS</v>
      </c>
      <c r="F936" s="1"/>
      <c r="G936" s="1"/>
      <c r="H936" s="1" t="str">
        <f ca="1">IFERROR(__xludf.DUMMYFUNCTION("""COMPUTED_VALUE"""),"07A URE - OBIDOS")</f>
        <v>07A URE - OBIDOS</v>
      </c>
      <c r="I936" s="1"/>
      <c r="J936" s="1" t="str">
        <f ca="1">IFERROR(__xludf.DUMMYFUNCTION("""COMPUTED_VALUE"""),"CURUA")</f>
        <v>CURUA</v>
      </c>
      <c r="K936" s="1"/>
      <c r="L936" s="2" t="str">
        <f ca="1">IFERROR(__xludf.DUMMYFUNCTION("""COMPUTED_VALUE"""),"001920992000000")</f>
        <v>001920992000000</v>
      </c>
      <c r="M936" s="2" t="str">
        <f ca="1">IFERROR(__xludf.DUMMYFUNCTION("""COMPUTED_VALUE"""),"1920992000000")</f>
        <v>1920992000000</v>
      </c>
      <c r="N936" s="1" t="str">
        <f ca="1">IFERROR(__xludf.DUMMYFUNCTION("""COMPUTED_VALUE"""),"ESCOLA ESTADUAL RURAL DE CURUA")</f>
        <v>ESCOLA ESTADUAL RURAL DE CURUA</v>
      </c>
      <c r="O936" s="1"/>
      <c r="P936" s="1"/>
      <c r="Q936" s="1" t="s">
        <v>951</v>
      </c>
    </row>
    <row r="937" spans="1:17" x14ac:dyDescent="0.25">
      <c r="A937" s="2" t="str">
        <f ca="1">IFERROR(__xludf.DUMMYFUNCTION("""COMPUTED_VALUE"""),"REG DE INTEGRA DO BAIXO AMAZON")</f>
        <v>REG DE INTEGRA DO BAIXO AMAZON</v>
      </c>
      <c r="B937" s="1" t="str">
        <f ca="1">IFERROR(__xludf.DUMMYFUNCTION("""COMPUTED_VALUE"""),"DRE OBIDOS")</f>
        <v>DRE OBIDOS</v>
      </c>
      <c r="C937" s="2" t="str">
        <f ca="1">IFERROR(__xludf.DUMMYFUNCTION("""COMPUTED_VALUE"""),"DRE - OBIDOS")</f>
        <v>DRE - OBIDOS</v>
      </c>
      <c r="D937" s="1"/>
      <c r="E937" s="2" t="str">
        <f ca="1">IFERROR(__xludf.DUMMYFUNCTION("""COMPUTED_VALUE"""),"DRE - OBIDOS")</f>
        <v>DRE - OBIDOS</v>
      </c>
      <c r="F937" s="1">
        <f ca="1">IFERROR(__xludf.DUMMYFUNCTION("""COMPUTED_VALUE"""),3)</f>
        <v>3</v>
      </c>
      <c r="G937" s="1"/>
      <c r="H937" s="1" t="str">
        <f ca="1">IFERROR(__xludf.DUMMYFUNCTION("""COMPUTED_VALUE"""),"07A URE - OBIDOS")</f>
        <v>07A URE - OBIDOS</v>
      </c>
      <c r="I937" s="1"/>
      <c r="J937" s="1" t="str">
        <f ca="1">IFERROR(__xludf.DUMMYFUNCTION("""COMPUTED_VALUE"""),"FARO")</f>
        <v>FARO</v>
      </c>
      <c r="K937" s="1">
        <f ca="1">IFERROR(__xludf.DUMMYFUNCTION("""COMPUTED_VALUE"""),15177319)</f>
        <v>15177319</v>
      </c>
      <c r="L937" s="2" t="str">
        <f ca="1">IFERROR(__xludf.DUMMYFUNCTION("""COMPUTED_VALUE"""),"001920905760001")</f>
        <v>001920905760001</v>
      </c>
      <c r="M937" s="2" t="str">
        <f ca="1">IFERROR(__xludf.DUMMYFUNCTION("""COMPUTED_VALUE"""),"1920905760001")</f>
        <v>1920905760001</v>
      </c>
      <c r="N937" s="1" t="str">
        <f ca="1">IFERROR(__xludf.DUMMYFUNCTION("""COMPUTED_VALUE"""),"ANEXO RURAL FLORA TEIXEIRA")</f>
        <v>ANEXO RURAL FLORA TEIXEIRA</v>
      </c>
      <c r="O937" s="1"/>
      <c r="P937" s="1"/>
      <c r="Q937" s="1" t="s">
        <v>951</v>
      </c>
    </row>
    <row r="938" spans="1:17" x14ac:dyDescent="0.25">
      <c r="A938" s="2" t="str">
        <f ca="1">IFERROR(__xludf.DUMMYFUNCTION("""COMPUTED_VALUE"""),"REG DE INTEGRA DO BAIXO AMAZON")</f>
        <v>REG DE INTEGRA DO BAIXO AMAZON</v>
      </c>
      <c r="B938" s="1" t="str">
        <f ca="1">IFERROR(__xludf.DUMMYFUNCTION("""COMPUTED_VALUE"""),"DRE OBIDOS")</f>
        <v>DRE OBIDOS</v>
      </c>
      <c r="C938" s="2" t="str">
        <f ca="1">IFERROR(__xludf.DUMMYFUNCTION("""COMPUTED_VALUE"""),"DRE - OBIDOS")</f>
        <v>DRE - OBIDOS</v>
      </c>
      <c r="D938" s="1"/>
      <c r="E938" s="2" t="str">
        <f ca="1">IFERROR(__xludf.DUMMYFUNCTION("""COMPUTED_VALUE"""),"DRE - OBIDOS")</f>
        <v>DRE - OBIDOS</v>
      </c>
      <c r="F938" s="1">
        <f ca="1">IFERROR(__xludf.DUMMYFUNCTION("""COMPUTED_VALUE"""),3)</f>
        <v>3</v>
      </c>
      <c r="G938" s="1" t="str">
        <f ca="1">IFERROR(__xludf.DUMMYFUNCTION("""COMPUTED_VALUE"""),"DRE OBIDOS")</f>
        <v>DRE OBIDOS</v>
      </c>
      <c r="H938" s="1" t="str">
        <f ca="1">IFERROR(__xludf.DUMMYFUNCTION("""COMPUTED_VALUE"""),"07A URE - OBIDOS")</f>
        <v>07A URE - OBIDOS</v>
      </c>
      <c r="I938" s="1"/>
      <c r="J938" s="1" t="str">
        <f ca="1">IFERROR(__xludf.DUMMYFUNCTION("""COMPUTED_VALUE"""),"FARO")</f>
        <v>FARO</v>
      </c>
      <c r="K938" s="1">
        <f ca="1">IFERROR(__xludf.DUMMYFUNCTION("""COMPUTED_VALUE"""),15000028)</f>
        <v>15000028</v>
      </c>
      <c r="L938" s="2" t="str">
        <f ca="1">IFERROR(__xludf.DUMMYFUNCTION("""COMPUTED_VALUE"""),"001920905770000")</f>
        <v>001920905770000</v>
      </c>
      <c r="M938" s="2" t="str">
        <f ca="1">IFERROR(__xludf.DUMMYFUNCTION("""COMPUTED_VALUE"""),"1920905770000")</f>
        <v>1920905770000</v>
      </c>
      <c r="N938" s="1" t="str">
        <f ca="1">IFERROR(__xludf.DUMMYFUNCTION("""COMPUTED_VALUE"""),"EEEF MARCOS BENTES DE CARVALHO")</f>
        <v>EEEF MARCOS BENTES DE CARVALHO</v>
      </c>
      <c r="O938" s="1"/>
      <c r="P938" s="1"/>
      <c r="Q938" s="1" t="s">
        <v>951</v>
      </c>
    </row>
    <row r="939" spans="1:17" x14ac:dyDescent="0.25">
      <c r="A939" s="2" t="str">
        <f ca="1">IFERROR(__xludf.DUMMYFUNCTION("""COMPUTED_VALUE"""),"REG DE INTEGRA DO BAIXO AMAZON")</f>
        <v>REG DE INTEGRA DO BAIXO AMAZON</v>
      </c>
      <c r="B939" s="1" t="str">
        <f ca="1">IFERROR(__xludf.DUMMYFUNCTION("""COMPUTED_VALUE"""),"DRE OBIDOS")</f>
        <v>DRE OBIDOS</v>
      </c>
      <c r="C939" s="2" t="str">
        <f ca="1">IFERROR(__xludf.DUMMYFUNCTION("""COMPUTED_VALUE"""),"DRE - OBIDOS")</f>
        <v>DRE - OBIDOS</v>
      </c>
      <c r="D939" s="1"/>
      <c r="E939" s="2" t="str">
        <f ca="1">IFERROR(__xludf.DUMMYFUNCTION("""COMPUTED_VALUE"""),"DRE - OBIDOS")</f>
        <v>DRE - OBIDOS</v>
      </c>
      <c r="F939" s="1">
        <f ca="1">IFERROR(__xludf.DUMMYFUNCTION("""COMPUTED_VALUE"""),3)</f>
        <v>3</v>
      </c>
      <c r="G939" s="1" t="str">
        <f ca="1">IFERROR(__xludf.DUMMYFUNCTION("""COMPUTED_VALUE"""),"DRE OBIDOS")</f>
        <v>DRE OBIDOS</v>
      </c>
      <c r="H939" s="1" t="str">
        <f ca="1">IFERROR(__xludf.DUMMYFUNCTION("""COMPUTED_VALUE"""),"07A URE - OBIDOS")</f>
        <v>07A URE - OBIDOS</v>
      </c>
      <c r="I939" s="1"/>
      <c r="J939" s="1" t="str">
        <f ca="1">IFERROR(__xludf.DUMMYFUNCTION("""COMPUTED_VALUE"""),"FARO")</f>
        <v>FARO</v>
      </c>
      <c r="K939" s="1">
        <f ca="1">IFERROR(__xludf.DUMMYFUNCTION("""COMPUTED_VALUE"""),15000010)</f>
        <v>15000010</v>
      </c>
      <c r="L939" s="2" t="str">
        <f ca="1">IFERROR(__xludf.DUMMYFUNCTION("""COMPUTED_VALUE"""),"001920905800000")</f>
        <v>001920905800000</v>
      </c>
      <c r="M939" s="2" t="str">
        <f ca="1">IFERROR(__xludf.DUMMYFUNCTION("""COMPUTED_VALUE"""),"1920905800000")</f>
        <v>1920905800000</v>
      </c>
      <c r="N939" s="1" t="str">
        <f ca="1">IFERROR(__xludf.DUMMYFUNCTION("""COMPUTED_VALUE"""),"EEEF SAO JOSE")</f>
        <v>EEEF SAO JOSE</v>
      </c>
      <c r="O939" s="1"/>
      <c r="P939" s="1"/>
      <c r="Q939" s="1" t="s">
        <v>951</v>
      </c>
    </row>
    <row r="940" spans="1:17" x14ac:dyDescent="0.25">
      <c r="A940" s="2" t="str">
        <f ca="1">IFERROR(__xludf.DUMMYFUNCTION("""COMPUTED_VALUE"""),"REG DE INTEGRA DO BAIXO AMAZON")</f>
        <v>REG DE INTEGRA DO BAIXO AMAZON</v>
      </c>
      <c r="B940" s="1" t="str">
        <f ca="1">IFERROR(__xludf.DUMMYFUNCTION("""COMPUTED_VALUE"""),"DRE OBIDOS")</f>
        <v>DRE OBIDOS</v>
      </c>
      <c r="C940" s="2" t="str">
        <f ca="1">IFERROR(__xludf.DUMMYFUNCTION("""COMPUTED_VALUE"""),"DRE - OBIDOS")</f>
        <v>DRE - OBIDOS</v>
      </c>
      <c r="D940" s="1"/>
      <c r="E940" s="2" t="str">
        <f ca="1">IFERROR(__xludf.DUMMYFUNCTION("""COMPUTED_VALUE"""),"DRE - OBIDOS")</f>
        <v>DRE - OBIDOS</v>
      </c>
      <c r="F940" s="1">
        <f ca="1">IFERROR(__xludf.DUMMYFUNCTION("""COMPUTED_VALUE"""),3)</f>
        <v>3</v>
      </c>
      <c r="G940" s="1" t="str">
        <f ca="1">IFERROR(__xludf.DUMMYFUNCTION("""COMPUTED_VALUE"""),"DRE OBIDOS")</f>
        <v>DRE OBIDOS</v>
      </c>
      <c r="H940" s="1" t="str">
        <f ca="1">IFERROR(__xludf.DUMMYFUNCTION("""COMPUTED_VALUE"""),"07A URE - OBIDOS")</f>
        <v>07A URE - OBIDOS</v>
      </c>
      <c r="I940" s="1"/>
      <c r="J940" s="1" t="str">
        <f ca="1">IFERROR(__xludf.DUMMYFUNCTION("""COMPUTED_VALUE"""),"FARO")</f>
        <v>FARO</v>
      </c>
      <c r="K940" s="1">
        <f ca="1">IFERROR(__xludf.DUMMYFUNCTION("""COMPUTED_VALUE"""),15000036)</f>
        <v>15000036</v>
      </c>
      <c r="L940" s="2" t="str">
        <f ca="1">IFERROR(__xludf.DUMMYFUNCTION("""COMPUTED_VALUE"""),"001920905760000")</f>
        <v>001920905760000</v>
      </c>
      <c r="M940" s="2" t="str">
        <f ca="1">IFERROR(__xludf.DUMMYFUNCTION("""COMPUTED_VALUE"""),"1920905760000")</f>
        <v>1920905760000</v>
      </c>
      <c r="N940" s="1" t="str">
        <f ca="1">IFERROR(__xludf.DUMMYFUNCTION("""COMPUTED_VALUE"""),"EEEFM FLORA TEIXEIRA")</f>
        <v>EEEFM FLORA TEIXEIRA</v>
      </c>
      <c r="O940" s="1"/>
      <c r="P940" s="1"/>
      <c r="Q940" s="1" t="s">
        <v>951</v>
      </c>
    </row>
    <row r="941" spans="1:17" x14ac:dyDescent="0.25">
      <c r="A941" s="2" t="str">
        <f ca="1">IFERROR(__xludf.DUMMYFUNCTION("""COMPUTED_VALUE"""),"REG DE INTEGRA DO BAIXO AMAZON")</f>
        <v>REG DE INTEGRA DO BAIXO AMAZON</v>
      </c>
      <c r="B941" s="1" t="str">
        <f ca="1">IFERROR(__xludf.DUMMYFUNCTION("""COMPUTED_VALUE"""),"DRE OBIDOS")</f>
        <v>DRE OBIDOS</v>
      </c>
      <c r="C941" s="2" t="str">
        <f ca="1">IFERROR(__xludf.DUMMYFUNCTION("""COMPUTED_VALUE"""),"DRE - OBIDOS")</f>
        <v>DRE - OBIDOS</v>
      </c>
      <c r="D941" s="1"/>
      <c r="E941" s="2" t="str">
        <f ca="1">IFERROR(__xludf.DUMMYFUNCTION("""COMPUTED_VALUE"""),"DRE - OBIDOS")</f>
        <v>DRE - OBIDOS</v>
      </c>
      <c r="F941" s="1"/>
      <c r="G941" s="1"/>
      <c r="H941" s="1" t="str">
        <f ca="1">IFERROR(__xludf.DUMMYFUNCTION("""COMPUTED_VALUE"""),"07A URE - OBIDOS")</f>
        <v>07A URE - OBIDOS</v>
      </c>
      <c r="I941" s="1"/>
      <c r="J941" s="1" t="str">
        <f ca="1">IFERROR(__xludf.DUMMYFUNCTION("""COMPUTED_VALUE"""),"FARO")</f>
        <v>FARO</v>
      </c>
      <c r="K941" s="1"/>
      <c r="L941" s="2" t="str">
        <f ca="1">IFERROR(__xludf.DUMMYFUNCTION("""COMPUTED_VALUE"""),"001920993000000")</f>
        <v>001920993000000</v>
      </c>
      <c r="M941" s="2" t="str">
        <f ca="1">IFERROR(__xludf.DUMMYFUNCTION("""COMPUTED_VALUE"""),"1920993000000")</f>
        <v>1920993000000</v>
      </c>
      <c r="N941" s="1" t="str">
        <f ca="1">IFERROR(__xludf.DUMMYFUNCTION("""COMPUTED_VALUE"""),"ESCOLA ESTADUAL RURAL DE FARO")</f>
        <v>ESCOLA ESTADUAL RURAL DE FARO</v>
      </c>
      <c r="O941" s="1"/>
      <c r="P941" s="1"/>
      <c r="Q941" s="1" t="s">
        <v>951</v>
      </c>
    </row>
    <row r="942" spans="1:17" x14ac:dyDescent="0.25">
      <c r="A942" s="2" t="str">
        <f ca="1">IFERROR(__xludf.DUMMYFUNCTION("""COMPUTED_VALUE"""),"REG DE INTEGRA DO BAIXO AMAZON")</f>
        <v>REG DE INTEGRA DO BAIXO AMAZON</v>
      </c>
      <c r="B942" s="1" t="str">
        <f ca="1">IFERROR(__xludf.DUMMYFUNCTION("""COMPUTED_VALUE"""),"DRE OBIDOS")</f>
        <v>DRE OBIDOS</v>
      </c>
      <c r="C942" s="2" t="str">
        <f ca="1">IFERROR(__xludf.DUMMYFUNCTION("""COMPUTED_VALUE"""),"DRE - OBIDOS")</f>
        <v>DRE - OBIDOS</v>
      </c>
      <c r="D942" s="1"/>
      <c r="E942" s="2" t="str">
        <f ca="1">IFERROR(__xludf.DUMMYFUNCTION("""COMPUTED_VALUE"""),"DRE - OBIDOS")</f>
        <v>DRE - OBIDOS</v>
      </c>
      <c r="F942" s="1">
        <f ca="1">IFERROR(__xludf.DUMMYFUNCTION("""COMPUTED_VALUE"""),3)</f>
        <v>3</v>
      </c>
      <c r="G942" s="1"/>
      <c r="H942" s="1" t="str">
        <f ca="1">IFERROR(__xludf.DUMMYFUNCTION("""COMPUTED_VALUE"""),"07A URE - OBIDOS")</f>
        <v>07A URE - OBIDOS</v>
      </c>
      <c r="I942" s="1"/>
      <c r="J942" s="1" t="str">
        <f ca="1">IFERROR(__xludf.DUMMYFUNCTION("""COMPUTED_VALUE"""),"JURUTI")</f>
        <v>JURUTI</v>
      </c>
      <c r="K942" s="1">
        <f ca="1">IFERROR(__xludf.DUMMYFUNCTION("""COMPUTED_VALUE"""),15177327)</f>
        <v>15177327</v>
      </c>
      <c r="L942" s="2" t="str">
        <f ca="1">IFERROR(__xludf.DUMMYFUNCTION("""COMPUTED_VALUE"""),"001920937810001")</f>
        <v>001920937810001</v>
      </c>
      <c r="M942" s="2" t="str">
        <f ca="1">IFERROR(__xludf.DUMMYFUNCTION("""COMPUTED_VALUE"""),"1920937810001")</f>
        <v>1920937810001</v>
      </c>
      <c r="N942" s="1" t="str">
        <f ca="1">IFERROR(__xludf.DUMMYFUNCTION("""COMPUTED_VALUE"""),"ANEXO RURAL PROFESSORA ZENITA FREITAS DE MATOS")</f>
        <v>ANEXO RURAL PROFESSORA ZENITA FREITAS DE MATOS</v>
      </c>
      <c r="O942" s="1"/>
      <c r="P942" s="1"/>
      <c r="Q942" s="1" t="s">
        <v>951</v>
      </c>
    </row>
    <row r="943" spans="1:17" x14ac:dyDescent="0.25">
      <c r="A943" s="2" t="str">
        <f ca="1">IFERROR(__xludf.DUMMYFUNCTION("""COMPUTED_VALUE"""),"REG DE INTEGRA DO BAIXO AMAZON")</f>
        <v>REG DE INTEGRA DO BAIXO AMAZON</v>
      </c>
      <c r="B943" s="1" t="str">
        <f ca="1">IFERROR(__xludf.DUMMYFUNCTION("""COMPUTED_VALUE"""),"DRE OBIDOS")</f>
        <v>DRE OBIDOS</v>
      </c>
      <c r="C943" s="2" t="str">
        <f ca="1">IFERROR(__xludf.DUMMYFUNCTION("""COMPUTED_VALUE"""),"DRE - OBIDOS")</f>
        <v>DRE - OBIDOS</v>
      </c>
      <c r="D943" s="1"/>
      <c r="E943" s="2" t="str">
        <f ca="1">IFERROR(__xludf.DUMMYFUNCTION("""COMPUTED_VALUE"""),"DRE - OBIDOS")</f>
        <v>DRE - OBIDOS</v>
      </c>
      <c r="F943" s="1">
        <f ca="1">IFERROR(__xludf.DUMMYFUNCTION("""COMPUTED_VALUE"""),3)</f>
        <v>3</v>
      </c>
      <c r="G943" s="1" t="str">
        <f ca="1">IFERROR(__xludf.DUMMYFUNCTION("""COMPUTED_VALUE"""),"DRE OBIDOS")</f>
        <v>DRE OBIDOS</v>
      </c>
      <c r="H943" s="1" t="str">
        <f ca="1">IFERROR(__xludf.DUMMYFUNCTION("""COMPUTED_VALUE"""),"07A URE - OBIDOS")</f>
        <v>07A URE - OBIDOS</v>
      </c>
      <c r="I943" s="1"/>
      <c r="J943" s="1" t="str">
        <f ca="1">IFERROR(__xludf.DUMMYFUNCTION("""COMPUTED_VALUE"""),"JURUTI")</f>
        <v>JURUTI</v>
      </c>
      <c r="K943" s="1">
        <f ca="1">IFERROR(__xludf.DUMMYFUNCTION("""COMPUTED_VALUE"""),15000290)</f>
        <v>15000290</v>
      </c>
      <c r="L943" s="2" t="str">
        <f ca="1">IFERROR(__xludf.DUMMYFUNCTION("""COMPUTED_VALUE"""),"001920931320000")</f>
        <v>001920931320000</v>
      </c>
      <c r="M943" s="2" t="str">
        <f ca="1">IFERROR(__xludf.DUMMYFUNCTION("""COMPUTED_VALUE"""),"1920931320000")</f>
        <v>1920931320000</v>
      </c>
      <c r="N943" s="1" t="str">
        <f ca="1">IFERROR(__xludf.DUMMYFUNCTION("""COMPUTED_VALUE"""),"EEEF NOSSA SENHORA DA SAUDE")</f>
        <v>EEEF NOSSA SENHORA DA SAUDE</v>
      </c>
      <c r="O943" s="1"/>
      <c r="P943" s="1"/>
      <c r="Q943" s="1" t="s">
        <v>951</v>
      </c>
    </row>
    <row r="944" spans="1:17" x14ac:dyDescent="0.25">
      <c r="A944" s="2" t="str">
        <f ca="1">IFERROR(__xludf.DUMMYFUNCTION("""COMPUTED_VALUE"""),"REG DE INTEGRA DO BAIXO AMAZON")</f>
        <v>REG DE INTEGRA DO BAIXO AMAZON</v>
      </c>
      <c r="B944" s="1" t="str">
        <f ca="1">IFERROR(__xludf.DUMMYFUNCTION("""COMPUTED_VALUE"""),"DRE OBIDOS")</f>
        <v>DRE OBIDOS</v>
      </c>
      <c r="C944" s="2" t="str">
        <f ca="1">IFERROR(__xludf.DUMMYFUNCTION("""COMPUTED_VALUE"""),"DRE - OBIDOS")</f>
        <v>DRE - OBIDOS</v>
      </c>
      <c r="D944" s="1"/>
      <c r="E944" s="2" t="str">
        <f ca="1">IFERROR(__xludf.DUMMYFUNCTION("""COMPUTED_VALUE"""),"DRE - OBIDOS")</f>
        <v>DRE - OBIDOS</v>
      </c>
      <c r="F944" s="1">
        <f ca="1">IFERROR(__xludf.DUMMYFUNCTION("""COMPUTED_VALUE"""),3)</f>
        <v>3</v>
      </c>
      <c r="G944" s="1" t="str">
        <f ca="1">IFERROR(__xludf.DUMMYFUNCTION("""COMPUTED_VALUE"""),"DRE OBIDOS")</f>
        <v>DRE OBIDOS</v>
      </c>
      <c r="H944" s="1" t="str">
        <f ca="1">IFERROR(__xludf.DUMMYFUNCTION("""COMPUTED_VALUE"""),"07A URE - OBIDOS")</f>
        <v>07A URE - OBIDOS</v>
      </c>
      <c r="I944" s="1"/>
      <c r="J944" s="1" t="str">
        <f ca="1">IFERROR(__xludf.DUMMYFUNCTION("""COMPUTED_VALUE"""),"JURUTI")</f>
        <v>JURUTI</v>
      </c>
      <c r="K944" s="1">
        <f ca="1">IFERROR(__xludf.DUMMYFUNCTION("""COMPUTED_VALUE"""),15000265)</f>
        <v>15000265</v>
      </c>
      <c r="L944" s="2" t="str">
        <f ca="1">IFERROR(__xludf.DUMMYFUNCTION("""COMPUTED_VALUE"""),"001920903880000")</f>
        <v>001920903880000</v>
      </c>
      <c r="M944" s="2" t="str">
        <f ca="1">IFERROR(__xludf.DUMMYFUNCTION("""COMPUTED_VALUE"""),"1920903880000")</f>
        <v>1920903880000</v>
      </c>
      <c r="N944" s="1" t="str">
        <f ca="1">IFERROR(__xludf.DUMMYFUNCTION("""COMPUTED_VALUE"""),"EEEFM DEP  AMERICO PEREIRA LIMA")</f>
        <v>EEEFM DEP  AMERICO PEREIRA LIMA</v>
      </c>
      <c r="O944" s="1"/>
      <c r="P944" s="1"/>
      <c r="Q944" s="1" t="s">
        <v>951</v>
      </c>
    </row>
    <row r="945" spans="1:17" x14ac:dyDescent="0.25">
      <c r="A945" s="2" t="str">
        <f ca="1">IFERROR(__xludf.DUMMYFUNCTION("""COMPUTED_VALUE"""),"REG DE INTEGRA DO BAIXO AMAZON")</f>
        <v>REG DE INTEGRA DO BAIXO AMAZON</v>
      </c>
      <c r="B945" s="1" t="str">
        <f ca="1">IFERROR(__xludf.DUMMYFUNCTION("""COMPUTED_VALUE"""),"DRE OBIDOS")</f>
        <v>DRE OBIDOS</v>
      </c>
      <c r="C945" s="2" t="str">
        <f ca="1">IFERROR(__xludf.DUMMYFUNCTION("""COMPUTED_VALUE"""),"DRE - OBIDOS")</f>
        <v>DRE - OBIDOS</v>
      </c>
      <c r="D945" s="1"/>
      <c r="E945" s="2" t="str">
        <f ca="1">IFERROR(__xludf.DUMMYFUNCTION("""COMPUTED_VALUE"""),"DRE - OBIDOS")</f>
        <v>DRE - OBIDOS</v>
      </c>
      <c r="F945" s="1">
        <f ca="1">IFERROR(__xludf.DUMMYFUNCTION("""COMPUTED_VALUE"""),3)</f>
        <v>3</v>
      </c>
      <c r="G945" s="1" t="str">
        <f ca="1">IFERROR(__xludf.DUMMYFUNCTION("""COMPUTED_VALUE"""),"DRE OBIDOS")</f>
        <v>DRE OBIDOS</v>
      </c>
      <c r="H945" s="1" t="str">
        <f ca="1">IFERROR(__xludf.DUMMYFUNCTION("""COMPUTED_VALUE"""),"07A URE - OBIDOS")</f>
        <v>07A URE - OBIDOS</v>
      </c>
      <c r="I945" s="1"/>
      <c r="J945" s="1" t="str">
        <f ca="1">IFERROR(__xludf.DUMMYFUNCTION("""COMPUTED_VALUE"""),"JURUTI")</f>
        <v>JURUTI</v>
      </c>
      <c r="K945" s="1">
        <f ca="1">IFERROR(__xludf.DUMMYFUNCTION("""COMPUTED_VALUE"""),15000281)</f>
        <v>15000281</v>
      </c>
      <c r="L945" s="2" t="str">
        <f ca="1">IFERROR(__xludf.DUMMYFUNCTION("""COMPUTED_VALUE"""),"001920903860000")</f>
        <v>001920903860000</v>
      </c>
      <c r="M945" s="2" t="str">
        <f ca="1">IFERROR(__xludf.DUMMYFUNCTION("""COMPUTED_VALUE"""),"1920903860000")</f>
        <v>1920903860000</v>
      </c>
      <c r="N945" s="1" t="str">
        <f ca="1">IFERROR(__xludf.DUMMYFUNCTION("""COMPUTED_VALUE"""),"EEEFM EMANUEL SALGADO VIEIRA")</f>
        <v>EEEFM EMANUEL SALGADO VIEIRA</v>
      </c>
      <c r="O945" s="1"/>
      <c r="P945" s="1"/>
      <c r="Q945" s="1" t="s">
        <v>951</v>
      </c>
    </row>
    <row r="946" spans="1:17" x14ac:dyDescent="0.25">
      <c r="A946" s="2" t="str">
        <f ca="1">IFERROR(__xludf.DUMMYFUNCTION("""COMPUTED_VALUE"""),"REG DE INTEGRA DO BAIXO AMAZON")</f>
        <v>REG DE INTEGRA DO BAIXO AMAZON</v>
      </c>
      <c r="B946" s="1" t="str">
        <f ca="1">IFERROR(__xludf.DUMMYFUNCTION("""COMPUTED_VALUE"""),"DRE OBIDOS")</f>
        <v>DRE OBIDOS</v>
      </c>
      <c r="C946" s="2" t="str">
        <f ca="1">IFERROR(__xludf.DUMMYFUNCTION("""COMPUTED_VALUE"""),"DRE - OBIDOS")</f>
        <v>DRE - OBIDOS</v>
      </c>
      <c r="D946" s="1"/>
      <c r="E946" s="2" t="str">
        <f ca="1">IFERROR(__xludf.DUMMYFUNCTION("""COMPUTED_VALUE"""),"DRE - OBIDOS")</f>
        <v>DRE - OBIDOS</v>
      </c>
      <c r="F946" s="1">
        <f ca="1">IFERROR(__xludf.DUMMYFUNCTION("""COMPUTED_VALUE"""),3)</f>
        <v>3</v>
      </c>
      <c r="G946" s="1" t="str">
        <f ca="1">IFERROR(__xludf.DUMMYFUNCTION("""COMPUTED_VALUE"""),"DRE OBIDOS")</f>
        <v>DRE OBIDOS</v>
      </c>
      <c r="H946" s="1" t="str">
        <f ca="1">IFERROR(__xludf.DUMMYFUNCTION("""COMPUTED_VALUE"""),"07A URE - OBIDOS")</f>
        <v>07A URE - OBIDOS</v>
      </c>
      <c r="I946" s="1"/>
      <c r="J946" s="1" t="str">
        <f ca="1">IFERROR(__xludf.DUMMYFUNCTION("""COMPUTED_VALUE"""),"JURUTI")</f>
        <v>JURUTI</v>
      </c>
      <c r="K946" s="1">
        <f ca="1">IFERROR(__xludf.DUMMYFUNCTION("""COMPUTED_VALUE"""),15164780)</f>
        <v>15164780</v>
      </c>
      <c r="L946" s="2" t="str">
        <f ca="1">IFERROR(__xludf.DUMMYFUNCTION("""COMPUTED_VALUE"""),"001920937810000")</f>
        <v>001920937810000</v>
      </c>
      <c r="M946" s="2" t="str">
        <f ca="1">IFERROR(__xludf.DUMMYFUNCTION("""COMPUTED_VALUE"""),"1920937810000")</f>
        <v>1920937810000</v>
      </c>
      <c r="N946" s="1" t="str">
        <f ca="1">IFERROR(__xludf.DUMMYFUNCTION("""COMPUTED_VALUE"""),"EEEM PROFESSORA ZENITA FREITAS DE MATOS")</f>
        <v>EEEM PROFESSORA ZENITA FREITAS DE MATOS</v>
      </c>
      <c r="O946" s="1"/>
      <c r="P946" s="1"/>
      <c r="Q946" s="1" t="s">
        <v>951</v>
      </c>
    </row>
    <row r="947" spans="1:17" x14ac:dyDescent="0.25">
      <c r="A947" s="2" t="str">
        <f ca="1">IFERROR(__xludf.DUMMYFUNCTION("""COMPUTED_VALUE"""),"REG DE INTEGRA DO BAIXO AMAZON")</f>
        <v>REG DE INTEGRA DO BAIXO AMAZON</v>
      </c>
      <c r="B947" s="1" t="str">
        <f ca="1">IFERROR(__xludf.DUMMYFUNCTION("""COMPUTED_VALUE"""),"DRE OBIDOS")</f>
        <v>DRE OBIDOS</v>
      </c>
      <c r="C947" s="2" t="str">
        <f ca="1">IFERROR(__xludf.DUMMYFUNCTION("""COMPUTED_VALUE"""),"DRE - OBIDOS")</f>
        <v>DRE - OBIDOS</v>
      </c>
      <c r="D947" s="1"/>
      <c r="E947" s="2" t="str">
        <f ca="1">IFERROR(__xludf.DUMMYFUNCTION("""COMPUTED_VALUE"""),"DRE - OBIDOS")</f>
        <v>DRE - OBIDOS</v>
      </c>
      <c r="F947" s="1">
        <f ca="1">IFERROR(__xludf.DUMMYFUNCTION("""COMPUTED_VALUE"""),3)</f>
        <v>3</v>
      </c>
      <c r="G947" s="1" t="str">
        <f ca="1">IFERROR(__xludf.DUMMYFUNCTION("""COMPUTED_VALUE"""),"DRE OBIDOS")</f>
        <v>DRE OBIDOS</v>
      </c>
      <c r="H947" s="1" t="str">
        <f ca="1">IFERROR(__xludf.DUMMYFUNCTION("""COMPUTED_VALUE"""),"07A URE - OBIDOS")</f>
        <v>07A URE - OBIDOS</v>
      </c>
      <c r="I947" s="1"/>
      <c r="J947" s="1" t="str">
        <f ca="1">IFERROR(__xludf.DUMMYFUNCTION("""COMPUTED_VALUE"""),"JURUTI")</f>
        <v>JURUTI</v>
      </c>
      <c r="K947" s="1">
        <f ca="1">IFERROR(__xludf.DUMMYFUNCTION("""COMPUTED_VALUE"""),15578003)</f>
        <v>15578003</v>
      </c>
      <c r="L947" s="2" t="str">
        <f ca="1">IFERROR(__xludf.DUMMYFUNCTION("""COMPUTED_VALUE"""),"001920936630000")</f>
        <v>001920936630000</v>
      </c>
      <c r="M947" s="2" t="str">
        <f ca="1">IFERROR(__xludf.DUMMYFUNCTION("""COMPUTED_VALUE"""),"1920936630000")</f>
        <v>1920936630000</v>
      </c>
      <c r="N947" s="1" t="str">
        <f ca="1">IFERROR(__xludf.DUMMYFUNCTION("""COMPUTED_VALUE"""),"EEEM VEREADOR RAIMUNDO DE SOUZA COELHO")</f>
        <v>EEEM VEREADOR RAIMUNDO DE SOUZA COELHO</v>
      </c>
      <c r="O947" s="1"/>
      <c r="P947" s="1"/>
      <c r="Q947" s="1" t="s">
        <v>951</v>
      </c>
    </row>
    <row r="948" spans="1:17" x14ac:dyDescent="0.25">
      <c r="A948" s="2" t="str">
        <f ca="1">IFERROR(__xludf.DUMMYFUNCTION("""COMPUTED_VALUE"""),"REG DE INTEGRA DO BAIXO AMAZON")</f>
        <v>REG DE INTEGRA DO BAIXO AMAZON</v>
      </c>
      <c r="B948" s="1" t="str">
        <f ca="1">IFERROR(__xludf.DUMMYFUNCTION("""COMPUTED_VALUE"""),"DRE OBIDOS")</f>
        <v>DRE OBIDOS</v>
      </c>
      <c r="C948" s="2" t="str">
        <f ca="1">IFERROR(__xludf.DUMMYFUNCTION("""COMPUTED_VALUE"""),"DRE - OBIDOS")</f>
        <v>DRE - OBIDOS</v>
      </c>
      <c r="D948" s="1"/>
      <c r="E948" s="2" t="str">
        <f ca="1">IFERROR(__xludf.DUMMYFUNCTION("""COMPUTED_VALUE"""),"DRE - OBIDOS")</f>
        <v>DRE - OBIDOS</v>
      </c>
      <c r="F948" s="1"/>
      <c r="G948" s="1"/>
      <c r="H948" s="1" t="str">
        <f ca="1">IFERROR(__xludf.DUMMYFUNCTION("""COMPUTED_VALUE"""),"07A URE - OBIDOS")</f>
        <v>07A URE - OBIDOS</v>
      </c>
      <c r="I948" s="1"/>
      <c r="J948" s="1" t="str">
        <f ca="1">IFERROR(__xludf.DUMMYFUNCTION("""COMPUTED_VALUE"""),"JURUTI")</f>
        <v>JURUTI</v>
      </c>
      <c r="K948" s="1"/>
      <c r="L948" s="2" t="str">
        <f ca="1">IFERROR(__xludf.DUMMYFUNCTION("""COMPUTED_VALUE"""),"001920994000000")</f>
        <v>001920994000000</v>
      </c>
      <c r="M948" s="2" t="str">
        <f ca="1">IFERROR(__xludf.DUMMYFUNCTION("""COMPUTED_VALUE"""),"1920994000000")</f>
        <v>1920994000000</v>
      </c>
      <c r="N948" s="1" t="str">
        <f ca="1">IFERROR(__xludf.DUMMYFUNCTION("""COMPUTED_VALUE"""),"ESCOLA ESTADUAL RURAL DE JURUTI")</f>
        <v>ESCOLA ESTADUAL RURAL DE JURUTI</v>
      </c>
      <c r="O948" s="1"/>
      <c r="P948" s="1"/>
      <c r="Q948" s="1" t="s">
        <v>951</v>
      </c>
    </row>
    <row r="949" spans="1:17" x14ac:dyDescent="0.25">
      <c r="A949" s="2" t="str">
        <f ca="1">IFERROR(__xludf.DUMMYFUNCTION("""COMPUTED_VALUE"""),"REG DE INTEGRA DO BAIXO AMAZON")</f>
        <v>REG DE INTEGRA DO BAIXO AMAZON</v>
      </c>
      <c r="B949" s="1" t="str">
        <f ca="1">IFERROR(__xludf.DUMMYFUNCTION("""COMPUTED_VALUE"""),"DRE OBIDOS")</f>
        <v>DRE OBIDOS</v>
      </c>
      <c r="C949" s="2" t="str">
        <f ca="1">IFERROR(__xludf.DUMMYFUNCTION("""COMPUTED_VALUE"""),"DRE - OBIDOS")</f>
        <v>DRE - OBIDOS</v>
      </c>
      <c r="D949" s="1"/>
      <c r="E949" s="2" t="str">
        <f ca="1">IFERROR(__xludf.DUMMYFUNCTION("""COMPUTED_VALUE"""),"DRE - OBIDOS")</f>
        <v>DRE - OBIDOS</v>
      </c>
      <c r="F949" s="1">
        <f ca="1">IFERROR(__xludf.DUMMYFUNCTION("""COMPUTED_VALUE"""),3)</f>
        <v>3</v>
      </c>
      <c r="G949" s="1" t="str">
        <f ca="1">IFERROR(__xludf.DUMMYFUNCTION("""COMPUTED_VALUE"""),"DRE OBIDOS")</f>
        <v>DRE OBIDOS</v>
      </c>
      <c r="H949" s="1" t="str">
        <f ca="1">IFERROR(__xludf.DUMMYFUNCTION("""COMPUTED_VALUE"""),"07A URE - OBIDOS")</f>
        <v>07A URE - OBIDOS</v>
      </c>
      <c r="I949" s="1"/>
      <c r="J949" s="1" t="str">
        <f ca="1">IFERROR(__xludf.DUMMYFUNCTION("""COMPUTED_VALUE"""),"OBIDOS")</f>
        <v>OBIDOS</v>
      </c>
      <c r="K949" s="1"/>
      <c r="L949" s="2" t="str">
        <f ca="1">IFERROR(__xludf.DUMMYFUNCTION("""COMPUTED_VALUE"""),"001920900070000")</f>
        <v>001920900070000</v>
      </c>
      <c r="M949" s="2" t="str">
        <f ca="1">IFERROR(__xludf.DUMMYFUNCTION("""COMPUTED_VALUE"""),"1920900070000")</f>
        <v>1920900070000</v>
      </c>
      <c r="N949" s="1" t="str">
        <f ca="1">IFERROR(__xludf.DUMMYFUNCTION("""COMPUTED_VALUE"""),"7 URE")</f>
        <v>7 URE</v>
      </c>
      <c r="O949" s="1"/>
      <c r="P949" s="1"/>
      <c r="Q949" s="1" t="s">
        <v>951</v>
      </c>
    </row>
    <row r="950" spans="1:17" x14ac:dyDescent="0.25">
      <c r="A950" s="2" t="str">
        <f ca="1">IFERROR(__xludf.DUMMYFUNCTION("""COMPUTED_VALUE"""),"REG DE INTEGRA DO BAIXO AMAZON")</f>
        <v>REG DE INTEGRA DO BAIXO AMAZON</v>
      </c>
      <c r="B950" s="1" t="str">
        <f ca="1">IFERROR(__xludf.DUMMYFUNCTION("""COMPUTED_VALUE"""),"DRE OBIDOS")</f>
        <v>DRE OBIDOS</v>
      </c>
      <c r="C950" s="2" t="str">
        <f ca="1">IFERROR(__xludf.DUMMYFUNCTION("""COMPUTED_VALUE"""),"DRE - OBIDOS")</f>
        <v>DRE - OBIDOS</v>
      </c>
      <c r="D950" s="1"/>
      <c r="E950" s="2" t="str">
        <f ca="1">IFERROR(__xludf.DUMMYFUNCTION("""COMPUTED_VALUE"""),"DRE - OBIDOS")</f>
        <v>DRE - OBIDOS</v>
      </c>
      <c r="F950" s="1">
        <f ca="1">IFERROR(__xludf.DUMMYFUNCTION("""COMPUTED_VALUE"""),3)</f>
        <v>3</v>
      </c>
      <c r="G950" s="1"/>
      <c r="H950" s="1" t="str">
        <f ca="1">IFERROR(__xludf.DUMMYFUNCTION("""COMPUTED_VALUE"""),"07A URE - OBIDOS")</f>
        <v>07A URE - OBIDOS</v>
      </c>
      <c r="I950" s="1"/>
      <c r="J950" s="1" t="str">
        <f ca="1">IFERROR(__xludf.DUMMYFUNCTION("""COMPUTED_VALUE"""),"OBIDOS")</f>
        <v>OBIDOS</v>
      </c>
      <c r="K950" s="1">
        <f ca="1">IFERROR(__xludf.DUMMYFUNCTION("""COMPUTED_VALUE"""),15177335)</f>
        <v>15177335</v>
      </c>
      <c r="L950" s="2" t="str">
        <f ca="1">IFERROR(__xludf.DUMMYFUNCTION("""COMPUTED_VALUE"""),"001920905310001")</f>
        <v>001920905310001</v>
      </c>
      <c r="M950" s="2" t="str">
        <f ca="1">IFERROR(__xludf.DUMMYFUNCTION("""COMPUTED_VALUE"""),"1920905310001")</f>
        <v>1920905310001</v>
      </c>
      <c r="N950" s="1" t="str">
        <f ca="1">IFERROR(__xludf.DUMMYFUNCTION("""COMPUTED_VALUE"""),"ANEXO RURAL SAO JOSE")</f>
        <v>ANEXO RURAL SAO JOSE</v>
      </c>
      <c r="O950" s="1"/>
      <c r="P950" s="1"/>
      <c r="Q950" s="1" t="s">
        <v>951</v>
      </c>
    </row>
    <row r="951" spans="1:17" x14ac:dyDescent="0.25">
      <c r="A951" s="2" t="str">
        <f ca="1">IFERROR(__xludf.DUMMYFUNCTION("""COMPUTED_VALUE"""),"REG DE INTEGRA DO BAIXO AMAZON")</f>
        <v>REG DE INTEGRA DO BAIXO AMAZON</v>
      </c>
      <c r="B951" s="1" t="str">
        <f ca="1">IFERROR(__xludf.DUMMYFUNCTION("""COMPUTED_VALUE"""),"DRE OBIDOS")</f>
        <v>DRE OBIDOS</v>
      </c>
      <c r="C951" s="2" t="str">
        <f ca="1">IFERROR(__xludf.DUMMYFUNCTION("""COMPUTED_VALUE"""),"DRE - OBIDOS")</f>
        <v>DRE - OBIDOS</v>
      </c>
      <c r="D951" s="1"/>
      <c r="E951" s="2" t="str">
        <f ca="1">IFERROR(__xludf.DUMMYFUNCTION("""COMPUTED_VALUE"""),"DRE - OBIDOS")</f>
        <v>DRE - OBIDOS</v>
      </c>
      <c r="F951" s="1">
        <f ca="1">IFERROR(__xludf.DUMMYFUNCTION("""COMPUTED_VALUE"""),3)</f>
        <v>3</v>
      </c>
      <c r="G951" s="1" t="str">
        <f ca="1">IFERROR(__xludf.DUMMYFUNCTION("""COMPUTED_VALUE"""),"DRE OBIDOS")</f>
        <v>DRE OBIDOS</v>
      </c>
      <c r="H951" s="1" t="str">
        <f ca="1">IFERROR(__xludf.DUMMYFUNCTION("""COMPUTED_VALUE"""),"07A URE - OBIDOS")</f>
        <v>07A URE - OBIDOS</v>
      </c>
      <c r="I951" s="1"/>
      <c r="J951" s="1" t="str">
        <f ca="1">IFERROR(__xludf.DUMMYFUNCTION("""COMPUTED_VALUE"""),"OBIDOS")</f>
        <v>OBIDOS</v>
      </c>
      <c r="K951" s="1">
        <f ca="1">IFERROR(__xludf.DUMMYFUNCTION("""COMPUTED_VALUE"""),15167429)</f>
        <v>15167429</v>
      </c>
      <c r="L951" s="2" t="str">
        <f ca="1">IFERROR(__xludf.DUMMYFUNCTION("""COMPUTED_VALUE"""),"001920937940000")</f>
        <v>001920937940000</v>
      </c>
      <c r="M951" s="2" t="str">
        <f ca="1">IFERROR(__xludf.DUMMYFUNCTION("""COMPUTED_VALUE"""),"1920937940000")</f>
        <v>1920937940000</v>
      </c>
      <c r="N951" s="1" t="str">
        <f ca="1">IFERROR(__xludf.DUMMYFUNCTION("""COMPUTED_VALUE"""),"EEEM PROFESSOR MAURICIO HAMOY")</f>
        <v>EEEM PROFESSOR MAURICIO HAMOY</v>
      </c>
      <c r="O951" s="1"/>
      <c r="P951" s="1"/>
      <c r="Q951" s="1" t="s">
        <v>951</v>
      </c>
    </row>
    <row r="952" spans="1:17" x14ac:dyDescent="0.25">
      <c r="A952" s="2" t="str">
        <f ca="1">IFERROR(__xludf.DUMMYFUNCTION("""COMPUTED_VALUE"""),"REG DE INTEGRA DO BAIXO AMAZON")</f>
        <v>REG DE INTEGRA DO BAIXO AMAZON</v>
      </c>
      <c r="B952" s="1" t="str">
        <f ca="1">IFERROR(__xludf.DUMMYFUNCTION("""COMPUTED_VALUE"""),"DRE OBIDOS")</f>
        <v>DRE OBIDOS</v>
      </c>
      <c r="C952" s="2" t="str">
        <f ca="1">IFERROR(__xludf.DUMMYFUNCTION("""COMPUTED_VALUE"""),"DRE - OBIDOS")</f>
        <v>DRE - OBIDOS</v>
      </c>
      <c r="D952" s="1"/>
      <c r="E952" s="2" t="str">
        <f ca="1">IFERROR(__xludf.DUMMYFUNCTION("""COMPUTED_VALUE"""),"DRE - OBIDOS")</f>
        <v>DRE - OBIDOS</v>
      </c>
      <c r="F952" s="1">
        <f ca="1">IFERROR(__xludf.DUMMYFUNCTION("""COMPUTED_VALUE"""),3)</f>
        <v>3</v>
      </c>
      <c r="G952" s="1" t="str">
        <f ca="1">IFERROR(__xludf.DUMMYFUNCTION("""COMPUTED_VALUE"""),"DRE OBIDOS")</f>
        <v>DRE OBIDOS</v>
      </c>
      <c r="H952" s="1" t="str">
        <f ca="1">IFERROR(__xludf.DUMMYFUNCTION("""COMPUTED_VALUE"""),"07A URE - OBIDOS")</f>
        <v>07A URE - OBIDOS</v>
      </c>
      <c r="I952" s="1"/>
      <c r="J952" s="1" t="str">
        <f ca="1">IFERROR(__xludf.DUMMYFUNCTION("""COMPUTED_VALUE"""),"OBIDOS")</f>
        <v>OBIDOS</v>
      </c>
      <c r="K952" s="1">
        <f ca="1">IFERROR(__xludf.DUMMYFUNCTION("""COMPUTED_VALUE"""),15167429)</f>
        <v>15167429</v>
      </c>
      <c r="L952" s="2" t="str">
        <f ca="1">IFERROR(__xludf.DUMMYFUNCTION("""COMPUTED_VALUE"""),"001920937940001")</f>
        <v>001920937940001</v>
      </c>
      <c r="M952" s="2" t="str">
        <f ca="1">IFERROR(__xludf.DUMMYFUNCTION("""COMPUTED_VALUE"""),"1920937940001")</f>
        <v>1920937940001</v>
      </c>
      <c r="N952" s="1" t="str">
        <f ca="1">IFERROR(__xludf.DUMMYFUNCTION("""COMPUTED_VALUE"""),"EEEM PROFESSOR MAURICIO HAMOY - ANEXO I")</f>
        <v>EEEM PROFESSOR MAURICIO HAMOY - ANEXO I</v>
      </c>
      <c r="O952" s="1"/>
      <c r="P952" s="1"/>
      <c r="Q952" s="1" t="s">
        <v>951</v>
      </c>
    </row>
    <row r="953" spans="1:17" x14ac:dyDescent="0.25">
      <c r="A953" s="2" t="str">
        <f ca="1">IFERROR(__xludf.DUMMYFUNCTION("""COMPUTED_VALUE"""),"REG DE INTEGRA DO BAIXO AMAZON")</f>
        <v>REG DE INTEGRA DO BAIXO AMAZON</v>
      </c>
      <c r="B953" s="1" t="str">
        <f ca="1">IFERROR(__xludf.DUMMYFUNCTION("""COMPUTED_VALUE"""),"DRE OBIDOS")</f>
        <v>DRE OBIDOS</v>
      </c>
      <c r="C953" s="2" t="str">
        <f ca="1">IFERROR(__xludf.DUMMYFUNCTION("""COMPUTED_VALUE"""),"DRE - OBIDOS")</f>
        <v>DRE - OBIDOS</v>
      </c>
      <c r="D953" s="1"/>
      <c r="E953" s="2" t="str">
        <f ca="1">IFERROR(__xludf.DUMMYFUNCTION("""COMPUTED_VALUE"""),"DRE - OBIDOS")</f>
        <v>DRE - OBIDOS</v>
      </c>
      <c r="F953" s="1">
        <f ca="1">IFERROR(__xludf.DUMMYFUNCTION("""COMPUTED_VALUE"""),3)</f>
        <v>3</v>
      </c>
      <c r="G953" s="1" t="str">
        <f ca="1">IFERROR(__xludf.DUMMYFUNCTION("""COMPUTED_VALUE"""),"DRE OBIDOS")</f>
        <v>DRE OBIDOS</v>
      </c>
      <c r="H953" s="1" t="str">
        <f ca="1">IFERROR(__xludf.DUMMYFUNCTION("""COMPUTED_VALUE"""),"07A URE - OBIDOS")</f>
        <v>07A URE - OBIDOS</v>
      </c>
      <c r="I953" s="1"/>
      <c r="J953" s="1" t="str">
        <f ca="1">IFERROR(__xludf.DUMMYFUNCTION("""COMPUTED_VALUE"""),"OBIDOS")</f>
        <v>OBIDOS</v>
      </c>
      <c r="K953" s="1">
        <f ca="1">IFERROR(__xludf.DUMMYFUNCTION("""COMPUTED_VALUE"""),15001504)</f>
        <v>15001504</v>
      </c>
      <c r="L953" s="2" t="str">
        <f ca="1">IFERROR(__xludf.DUMMYFUNCTION("""COMPUTED_VALUE"""),"001920905310000")</f>
        <v>001920905310000</v>
      </c>
      <c r="M953" s="2" t="str">
        <f ca="1">IFERROR(__xludf.DUMMYFUNCTION("""COMPUTED_VALUE"""),"1920905310000")</f>
        <v>1920905310000</v>
      </c>
      <c r="N953" s="1" t="str">
        <f ca="1">IFERROR(__xludf.DUMMYFUNCTION("""COMPUTED_VALUE"""),"EEEM SAO JOSE")</f>
        <v>EEEM SAO JOSE</v>
      </c>
      <c r="O953" s="1"/>
      <c r="P953" s="1"/>
      <c r="Q953" s="1" t="s">
        <v>951</v>
      </c>
    </row>
    <row r="954" spans="1:17" x14ac:dyDescent="0.25">
      <c r="A954" s="2" t="str">
        <f ca="1">IFERROR(__xludf.DUMMYFUNCTION("""COMPUTED_VALUE"""),"REG DE INTEGRA DO BAIXO AMAZON")</f>
        <v>REG DE INTEGRA DO BAIXO AMAZON</v>
      </c>
      <c r="B954" s="1" t="str">
        <f ca="1">IFERROR(__xludf.DUMMYFUNCTION("""COMPUTED_VALUE"""),"DRE OBIDOS")</f>
        <v>DRE OBIDOS</v>
      </c>
      <c r="C954" s="2" t="str">
        <f ca="1">IFERROR(__xludf.DUMMYFUNCTION("""COMPUTED_VALUE"""),"DRE - OBIDOS")</f>
        <v>DRE - OBIDOS</v>
      </c>
      <c r="D954" s="1"/>
      <c r="E954" s="2" t="str">
        <f ca="1">IFERROR(__xludf.DUMMYFUNCTION("""COMPUTED_VALUE"""),"DRE - OBIDOS")</f>
        <v>DRE - OBIDOS</v>
      </c>
      <c r="F954" s="1"/>
      <c r="G954" s="1"/>
      <c r="H954" s="1" t="str">
        <f ca="1">IFERROR(__xludf.DUMMYFUNCTION("""COMPUTED_VALUE"""),"07A URE - OBIDOS")</f>
        <v>07A URE - OBIDOS</v>
      </c>
      <c r="I954" s="1"/>
      <c r="J954" s="1" t="str">
        <f ca="1">IFERROR(__xludf.DUMMYFUNCTION("""COMPUTED_VALUE"""),"OBIDOS")</f>
        <v>OBIDOS</v>
      </c>
      <c r="K954" s="1"/>
      <c r="L954" s="2" t="str">
        <f ca="1">IFERROR(__xludf.DUMMYFUNCTION("""COMPUTED_VALUE"""),"001920995000000")</f>
        <v>001920995000000</v>
      </c>
      <c r="M954" s="2" t="str">
        <f ca="1">IFERROR(__xludf.DUMMYFUNCTION("""COMPUTED_VALUE"""),"1920995000000")</f>
        <v>1920995000000</v>
      </c>
      <c r="N954" s="1" t="str">
        <f ca="1">IFERROR(__xludf.DUMMYFUNCTION("""COMPUTED_VALUE"""),"ESCOLA ESTADUAL RURAL DE OBIDOS")</f>
        <v>ESCOLA ESTADUAL RURAL DE OBIDOS</v>
      </c>
      <c r="O954" s="1"/>
      <c r="P954" s="1"/>
      <c r="Q954" s="1" t="s">
        <v>951</v>
      </c>
    </row>
    <row r="955" spans="1:17" x14ac:dyDescent="0.25">
      <c r="A955" s="2" t="str">
        <f ca="1">IFERROR(__xludf.DUMMYFUNCTION("""COMPUTED_VALUE"""),"REG DE INTEGRA DO BAIXO AMAZON")</f>
        <v>REG DE INTEGRA DO BAIXO AMAZON</v>
      </c>
      <c r="B955" s="1" t="str">
        <f ca="1">IFERROR(__xludf.DUMMYFUNCTION("""COMPUTED_VALUE"""),"DRE OBIDOS")</f>
        <v>DRE OBIDOS</v>
      </c>
      <c r="C955" s="2" t="str">
        <f ca="1">IFERROR(__xludf.DUMMYFUNCTION("""COMPUTED_VALUE"""),"DRE - OBIDOS")</f>
        <v>DRE - OBIDOS</v>
      </c>
      <c r="D955" s="1"/>
      <c r="E955" s="2" t="str">
        <f ca="1">IFERROR(__xludf.DUMMYFUNCTION("""COMPUTED_VALUE"""),"DRE - OBIDOS")</f>
        <v>DRE - OBIDOS</v>
      </c>
      <c r="F955" s="1">
        <f ca="1">IFERROR(__xludf.DUMMYFUNCTION("""COMPUTED_VALUE"""),3)</f>
        <v>3</v>
      </c>
      <c r="G955" s="1"/>
      <c r="H955" s="1" t="str">
        <f ca="1">IFERROR(__xludf.DUMMYFUNCTION("""COMPUTED_VALUE"""),"07A URE - OBIDOS")</f>
        <v>07A URE - OBIDOS</v>
      </c>
      <c r="I955" s="1"/>
      <c r="J955" s="1" t="str">
        <f ca="1">IFERROR(__xludf.DUMMYFUNCTION("""COMPUTED_VALUE"""),"ORIXIMINA")</f>
        <v>ORIXIMINA</v>
      </c>
      <c r="K955" s="1">
        <f ca="1">IFERROR(__xludf.DUMMYFUNCTION("""COMPUTED_VALUE"""),15177343)</f>
        <v>15177343</v>
      </c>
      <c r="L955" s="2" t="str">
        <f ca="1">IFERROR(__xludf.DUMMYFUNCTION("""COMPUTED_VALUE"""),"001920936030001")</f>
        <v>001920936030001</v>
      </c>
      <c r="M955" s="2" t="str">
        <f ca="1">IFERROR(__xludf.DUMMYFUNCTION("""COMPUTED_VALUE"""),"1920936030001")</f>
        <v>1920936030001</v>
      </c>
      <c r="N955" s="1" t="str">
        <f ca="1">IFERROR(__xludf.DUMMYFUNCTION("""COMPUTED_VALUE"""),"ANEXO RURAL DR ALMIR GABRIEL")</f>
        <v>ANEXO RURAL DR ALMIR GABRIEL</v>
      </c>
      <c r="O955" s="1"/>
      <c r="P955" s="1"/>
      <c r="Q955" s="1" t="s">
        <v>951</v>
      </c>
    </row>
    <row r="956" spans="1:17" x14ac:dyDescent="0.25">
      <c r="A956" s="2" t="str">
        <f ca="1">IFERROR(__xludf.DUMMYFUNCTION("""COMPUTED_VALUE"""),"REG DE INTEGRA DO BAIXO AMAZON")</f>
        <v>REG DE INTEGRA DO BAIXO AMAZON</v>
      </c>
      <c r="B956" s="1" t="str">
        <f ca="1">IFERROR(__xludf.DUMMYFUNCTION("""COMPUTED_VALUE"""),"DRE OBIDOS")</f>
        <v>DRE OBIDOS</v>
      </c>
      <c r="C956" s="2" t="str">
        <f ca="1">IFERROR(__xludf.DUMMYFUNCTION("""COMPUTED_VALUE"""),"DRE - OBIDOS")</f>
        <v>DRE - OBIDOS</v>
      </c>
      <c r="D956" s="1"/>
      <c r="E956" s="2" t="str">
        <f ca="1">IFERROR(__xludf.DUMMYFUNCTION("""COMPUTED_VALUE"""),"DRE - OBIDOS")</f>
        <v>DRE - OBIDOS</v>
      </c>
      <c r="F956" s="1">
        <f ca="1">IFERROR(__xludf.DUMMYFUNCTION("""COMPUTED_VALUE"""),3)</f>
        <v>3</v>
      </c>
      <c r="G956" s="1" t="str">
        <f ca="1">IFERROR(__xludf.DUMMYFUNCTION("""COMPUTED_VALUE"""),"DRE OBIDOS")</f>
        <v>DRE OBIDOS</v>
      </c>
      <c r="H956" s="1" t="str">
        <f ca="1">IFERROR(__xludf.DUMMYFUNCTION("""COMPUTED_VALUE"""),"07A URE - OBIDOS")</f>
        <v>07A URE - OBIDOS</v>
      </c>
      <c r="I956" s="1"/>
      <c r="J956" s="1" t="str">
        <f ca="1">IFERROR(__xludf.DUMMYFUNCTION("""COMPUTED_VALUE"""),"ORIXIMINA")</f>
        <v>ORIXIMINA</v>
      </c>
      <c r="K956" s="1">
        <f ca="1">IFERROR(__xludf.DUMMYFUNCTION("""COMPUTED_VALUE"""),15577058)</f>
        <v>15577058</v>
      </c>
      <c r="L956" s="2" t="str">
        <f ca="1">IFERROR(__xludf.DUMMYFUNCTION("""COMPUTED_VALUE"""),"001920936030000")</f>
        <v>001920936030000</v>
      </c>
      <c r="M956" s="2" t="str">
        <f ca="1">IFERROR(__xludf.DUMMYFUNCTION("""COMPUTED_VALUE"""),"1920936030000")</f>
        <v>1920936030000</v>
      </c>
      <c r="N956" s="1" t="str">
        <f ca="1">IFERROR(__xludf.DUMMYFUNCTION("""COMPUTED_VALUE"""),"EEEM DR ALMIR GABRIEL")</f>
        <v>EEEM DR ALMIR GABRIEL</v>
      </c>
      <c r="O956" s="1"/>
      <c r="P956" s="1"/>
      <c r="Q956" s="1" t="s">
        <v>951</v>
      </c>
    </row>
    <row r="957" spans="1:17" x14ac:dyDescent="0.25">
      <c r="A957" s="2" t="str">
        <f ca="1">IFERROR(__xludf.DUMMYFUNCTION("""COMPUTED_VALUE"""),"REG DE INTEGRA DO BAIXO AMAZON")</f>
        <v>REG DE INTEGRA DO BAIXO AMAZON</v>
      </c>
      <c r="B957" s="1" t="str">
        <f ca="1">IFERROR(__xludf.DUMMYFUNCTION("""COMPUTED_VALUE"""),"DRE OBIDOS")</f>
        <v>DRE OBIDOS</v>
      </c>
      <c r="C957" s="2" t="str">
        <f ca="1">IFERROR(__xludf.DUMMYFUNCTION("""COMPUTED_VALUE"""),"DRE - OBIDOS")</f>
        <v>DRE - OBIDOS</v>
      </c>
      <c r="D957" s="1"/>
      <c r="E957" s="2" t="str">
        <f ca="1">IFERROR(__xludf.DUMMYFUNCTION("""COMPUTED_VALUE"""),"DRE - OBIDOS")</f>
        <v>DRE - OBIDOS</v>
      </c>
      <c r="F957" s="1">
        <f ca="1">IFERROR(__xludf.DUMMYFUNCTION("""COMPUTED_VALUE"""),3)</f>
        <v>3</v>
      </c>
      <c r="G957" s="1" t="str">
        <f ca="1">IFERROR(__xludf.DUMMYFUNCTION("""COMPUTED_VALUE"""),"DRE OBIDOS")</f>
        <v>DRE OBIDOS</v>
      </c>
      <c r="H957" s="1" t="str">
        <f ca="1">IFERROR(__xludf.DUMMYFUNCTION("""COMPUTED_VALUE"""),"07A URE - OBIDOS")</f>
        <v>07A URE - OBIDOS</v>
      </c>
      <c r="I957" s="1"/>
      <c r="J957" s="1" t="str">
        <f ca="1">IFERROR(__xludf.DUMMYFUNCTION("""COMPUTED_VALUE"""),"ORIXIMINA")</f>
        <v>ORIXIMINA</v>
      </c>
      <c r="K957" s="1">
        <f ca="1">IFERROR(__xludf.DUMMYFUNCTION("""COMPUTED_VALUE"""),15002853)</f>
        <v>15002853</v>
      </c>
      <c r="L957" s="2" t="str">
        <f ca="1">IFERROR(__xludf.DUMMYFUNCTION("""COMPUTED_VALUE"""),"001920905590000")</f>
        <v>001920905590000</v>
      </c>
      <c r="M957" s="2" t="str">
        <f ca="1">IFERROR(__xludf.DUMMYFUNCTION("""COMPUTED_VALUE"""),"1920905590000")</f>
        <v>1920905590000</v>
      </c>
      <c r="N957" s="1" t="str">
        <f ca="1">IFERROR(__xludf.DUMMYFUNCTION("""COMPUTED_VALUE"""),"EEEM PADRE JOSE NICOLINO DE SOUZA")</f>
        <v>EEEM PADRE JOSE NICOLINO DE SOUZA</v>
      </c>
      <c r="O957" s="1"/>
      <c r="P957" s="1"/>
      <c r="Q957" s="1" t="s">
        <v>951</v>
      </c>
    </row>
    <row r="958" spans="1:17" x14ac:dyDescent="0.25">
      <c r="A958" s="2" t="str">
        <f ca="1">IFERROR(__xludf.DUMMYFUNCTION("""COMPUTED_VALUE"""),"REG DE INTEGRA DO BAIXO AMAZON")</f>
        <v>REG DE INTEGRA DO BAIXO AMAZON</v>
      </c>
      <c r="B958" s="1" t="str">
        <f ca="1">IFERROR(__xludf.DUMMYFUNCTION("""COMPUTED_VALUE"""),"DRE OBIDOS")</f>
        <v>DRE OBIDOS</v>
      </c>
      <c r="C958" s="2" t="str">
        <f ca="1">IFERROR(__xludf.DUMMYFUNCTION("""COMPUTED_VALUE"""),"DRE - OBIDOS")</f>
        <v>DRE - OBIDOS</v>
      </c>
      <c r="D958" s="1"/>
      <c r="E958" s="2" t="str">
        <f ca="1">IFERROR(__xludf.DUMMYFUNCTION("""COMPUTED_VALUE"""),"DRE - OBIDOS")</f>
        <v>DRE - OBIDOS</v>
      </c>
      <c r="F958" s="1">
        <f ca="1">IFERROR(__xludf.DUMMYFUNCTION("""COMPUTED_VALUE"""),3)</f>
        <v>3</v>
      </c>
      <c r="G958" s="1" t="str">
        <f ca="1">IFERROR(__xludf.DUMMYFUNCTION("""COMPUTED_VALUE"""),"DRE OBIDOS")</f>
        <v>DRE OBIDOS</v>
      </c>
      <c r="H958" s="1" t="str">
        <f ca="1">IFERROR(__xludf.DUMMYFUNCTION("""COMPUTED_VALUE"""),"07A URE - OBIDOS")</f>
        <v>07A URE - OBIDOS</v>
      </c>
      <c r="I958" s="1"/>
      <c r="J958" s="1" t="str">
        <f ca="1">IFERROR(__xludf.DUMMYFUNCTION("""COMPUTED_VALUE"""),"ORIXIMINA")</f>
        <v>ORIXIMINA</v>
      </c>
      <c r="K958" s="1">
        <f ca="1">IFERROR(__xludf.DUMMYFUNCTION("""COMPUTED_VALUE"""),15165965)</f>
        <v>15165965</v>
      </c>
      <c r="L958" s="2" t="str">
        <f ca="1">IFERROR(__xludf.DUMMYFUNCTION("""COMPUTED_VALUE"""),"001920937820000")</f>
        <v>001920937820000</v>
      </c>
      <c r="M958" s="2" t="str">
        <f ca="1">IFERROR(__xludf.DUMMYFUNCTION("""COMPUTED_VALUE"""),"1920937820000")</f>
        <v>1920937820000</v>
      </c>
      <c r="N958" s="1" t="str">
        <f ca="1">IFERROR(__xludf.DUMMYFUNCTION("""COMPUTED_VALUE"""),"EETEPA ORIXIMINA")</f>
        <v>EETEPA ORIXIMINA</v>
      </c>
      <c r="O958" s="1"/>
      <c r="P958" s="1"/>
      <c r="Q958" s="1" t="s">
        <v>951</v>
      </c>
    </row>
    <row r="959" spans="1:17" x14ac:dyDescent="0.25">
      <c r="A959" s="2" t="str">
        <f ca="1">IFERROR(__xludf.DUMMYFUNCTION("""COMPUTED_VALUE"""),"REG DE INTEGRA DO BAIXO AMAZON")</f>
        <v>REG DE INTEGRA DO BAIXO AMAZON</v>
      </c>
      <c r="B959" s="1" t="str">
        <f ca="1">IFERROR(__xludf.DUMMYFUNCTION("""COMPUTED_VALUE"""),"DRE OBIDOS")</f>
        <v>DRE OBIDOS</v>
      </c>
      <c r="C959" s="2" t="str">
        <f ca="1">IFERROR(__xludf.DUMMYFUNCTION("""COMPUTED_VALUE"""),"DRE - OBIDOS")</f>
        <v>DRE - OBIDOS</v>
      </c>
      <c r="D959" s="1"/>
      <c r="E959" s="2" t="str">
        <f ca="1">IFERROR(__xludf.DUMMYFUNCTION("""COMPUTED_VALUE"""),"DRE - OBIDOS")</f>
        <v>DRE - OBIDOS</v>
      </c>
      <c r="F959" s="1"/>
      <c r="G959" s="1"/>
      <c r="H959" s="1" t="str">
        <f ca="1">IFERROR(__xludf.DUMMYFUNCTION("""COMPUTED_VALUE"""),"07A URE - OBIDOS")</f>
        <v>07A URE - OBIDOS</v>
      </c>
      <c r="I959" s="1"/>
      <c r="J959" s="1" t="str">
        <f ca="1">IFERROR(__xludf.DUMMYFUNCTION("""COMPUTED_VALUE"""),"ORIXIMINA")</f>
        <v>ORIXIMINA</v>
      </c>
      <c r="K959" s="1"/>
      <c r="L959" s="2" t="str">
        <f ca="1">IFERROR(__xludf.DUMMYFUNCTION("""COMPUTED_VALUE"""),"001920996000000")</f>
        <v>001920996000000</v>
      </c>
      <c r="M959" s="2" t="str">
        <f ca="1">IFERROR(__xludf.DUMMYFUNCTION("""COMPUTED_VALUE"""),"1920996000000")</f>
        <v>1920996000000</v>
      </c>
      <c r="N959" s="1" t="str">
        <f ca="1">IFERROR(__xludf.DUMMYFUNCTION("""COMPUTED_VALUE"""),"ESCOLA ESTADUAL RURAL DE ORIXIMINA")</f>
        <v>ESCOLA ESTADUAL RURAL DE ORIXIMINA</v>
      </c>
      <c r="O959" s="1"/>
      <c r="P959" s="1"/>
      <c r="Q959" s="1" t="s">
        <v>951</v>
      </c>
    </row>
    <row r="960" spans="1:17" x14ac:dyDescent="0.25">
      <c r="A960" s="2" t="str">
        <f ca="1">IFERROR(__xludf.DUMMYFUNCTION("""COMPUTED_VALUE"""),"REG DE INTEGRA DO BAIXO AMAZON")</f>
        <v>REG DE INTEGRA DO BAIXO AMAZON</v>
      </c>
      <c r="B960" s="1" t="str">
        <f ca="1">IFERROR(__xludf.DUMMYFUNCTION("""COMPUTED_VALUE"""),"DRE OBIDOS")</f>
        <v>DRE OBIDOS</v>
      </c>
      <c r="C960" s="2" t="str">
        <f ca="1">IFERROR(__xludf.DUMMYFUNCTION("""COMPUTED_VALUE"""),"DRE - OBIDOS")</f>
        <v>DRE - OBIDOS</v>
      </c>
      <c r="D960" s="1"/>
      <c r="E960" s="2" t="str">
        <f ca="1">IFERROR(__xludf.DUMMYFUNCTION("""COMPUTED_VALUE"""),"DRE - OBIDOS")</f>
        <v>DRE - OBIDOS</v>
      </c>
      <c r="F960" s="1">
        <f ca="1">IFERROR(__xludf.DUMMYFUNCTION("""COMPUTED_VALUE"""),3)</f>
        <v>3</v>
      </c>
      <c r="G960" s="1" t="str">
        <f ca="1">IFERROR(__xludf.DUMMYFUNCTION("""COMPUTED_VALUE"""),"DRE OBIDOS")</f>
        <v>DRE OBIDOS</v>
      </c>
      <c r="H960" s="1" t="str">
        <f ca="1">IFERROR(__xludf.DUMMYFUNCTION("""COMPUTED_VALUE"""),"07A URE - OBIDOS")</f>
        <v>07A URE - OBIDOS</v>
      </c>
      <c r="I960" s="1"/>
      <c r="J960" s="1" t="str">
        <f ca="1">IFERROR(__xludf.DUMMYFUNCTION("""COMPUTED_VALUE"""),"TERRA SANTA")</f>
        <v>TERRA SANTA</v>
      </c>
      <c r="K960" s="1">
        <f ca="1">IFERROR(__xludf.DUMMYFUNCTION("""COMPUTED_VALUE"""),15004783)</f>
        <v>15004783</v>
      </c>
      <c r="L960" s="2" t="str">
        <f ca="1">IFERROR(__xludf.DUMMYFUNCTION("""COMPUTED_VALUE"""),"001920905750000")</f>
        <v>001920905750000</v>
      </c>
      <c r="M960" s="2" t="str">
        <f ca="1">IFERROR(__xludf.DUMMYFUNCTION("""COMPUTED_VALUE"""),"1920905750000")</f>
        <v>1920905750000</v>
      </c>
      <c r="N960" s="1" t="str">
        <f ca="1">IFERROR(__xludf.DUMMYFUNCTION("""COMPUTED_VALUE"""),"EEEM ANTONIO CANDIDO MACHADO")</f>
        <v>EEEM ANTONIO CANDIDO MACHADO</v>
      </c>
      <c r="O960" s="1"/>
      <c r="P960" s="1"/>
      <c r="Q960" s="1" t="s">
        <v>951</v>
      </c>
    </row>
    <row r="961" spans="1:17" x14ac:dyDescent="0.25">
      <c r="A961" s="2" t="str">
        <f ca="1">IFERROR(__xludf.DUMMYFUNCTION("""COMPUTED_VALUE"""),"REG DE INTEGRA DO CARAJAS")</f>
        <v>REG DE INTEGRA DO CARAJAS</v>
      </c>
      <c r="B961" s="1" t="str">
        <f ca="1">IFERROR(__xludf.DUMMYFUNCTION("""COMPUTED_VALUE"""),"DRE PARAUAPEBAS")</f>
        <v>DRE PARAUAPEBAS</v>
      </c>
      <c r="C961" s="2" t="str">
        <f ca="1">IFERROR(__xludf.DUMMYFUNCTION("""COMPUTED_VALUE"""),"DRE - PARAUAPEBAS")</f>
        <v>DRE - PARAUAPEBAS</v>
      </c>
      <c r="D961" s="1"/>
      <c r="E961" s="2" t="str">
        <f ca="1">IFERROR(__xludf.DUMMYFUNCTION("""COMPUTED_VALUE"""),"DRE - PARAUAPEBAS")</f>
        <v>DRE - PARAUAPEBAS</v>
      </c>
      <c r="F961" s="1">
        <f ca="1">IFERROR(__xludf.DUMMYFUNCTION("""COMPUTED_VALUE"""),2)</f>
        <v>2</v>
      </c>
      <c r="G961" s="1"/>
      <c r="H961" s="1" t="str">
        <f ca="1">IFERROR(__xludf.DUMMYFUNCTION("""COMPUTED_VALUE"""),"21A URE - PARAUAPEBAS")</f>
        <v>21A URE - PARAUAPEBAS</v>
      </c>
      <c r="I961" s="1"/>
      <c r="J961" s="1" t="str">
        <f ca="1">IFERROR(__xludf.DUMMYFUNCTION("""COMPUTED_VALUE"""),"CANAA DOS CARAJAS")</f>
        <v>CANAA DOS CARAJAS</v>
      </c>
      <c r="K961" s="1">
        <f ca="1">IFERROR(__xludf.DUMMYFUNCTION("""COMPUTED_VALUE"""),15177696)</f>
        <v>15177696</v>
      </c>
      <c r="L961" s="2" t="str">
        <f ca="1">IFERROR(__xludf.DUMMYFUNCTION("""COMPUTED_VALUE"""),"001920927650001")</f>
        <v>001920927650001</v>
      </c>
      <c r="M961" s="2" t="str">
        <f ca="1">IFERROR(__xludf.DUMMYFUNCTION("""COMPUTED_VALUE"""),"1920927650001")</f>
        <v>1920927650001</v>
      </c>
      <c r="N961" s="1" t="str">
        <f ca="1">IFERROR(__xludf.DUMMYFUNCTION("""COMPUTED_VALUE"""),"ANEXO RURAL  PROF NELSON DOS PRAZERES HENRIQUE")</f>
        <v>ANEXO RURAL  PROF NELSON DOS PRAZERES HENRIQUE</v>
      </c>
      <c r="O961" s="1"/>
      <c r="P961" s="1"/>
      <c r="Q961" s="1" t="s">
        <v>977</v>
      </c>
    </row>
    <row r="962" spans="1:17" x14ac:dyDescent="0.25">
      <c r="A962" s="2" t="str">
        <f ca="1">IFERROR(__xludf.DUMMYFUNCTION("""COMPUTED_VALUE"""),"REG DE INTEGRA DO CARAJAS")</f>
        <v>REG DE INTEGRA DO CARAJAS</v>
      </c>
      <c r="B962" s="1" t="str">
        <f ca="1">IFERROR(__xludf.DUMMYFUNCTION("""COMPUTED_VALUE"""),"DRE PARAUAPEBAS")</f>
        <v>DRE PARAUAPEBAS</v>
      </c>
      <c r="C962" s="2" t="str">
        <f ca="1">IFERROR(__xludf.DUMMYFUNCTION("""COMPUTED_VALUE"""),"DRE - PARAUAPEBAS")</f>
        <v>DRE - PARAUAPEBAS</v>
      </c>
      <c r="D962" s="1"/>
      <c r="E962" s="2" t="str">
        <f ca="1">IFERROR(__xludf.DUMMYFUNCTION("""COMPUTED_VALUE"""),"DRE - PARAUAPEBAS")</f>
        <v>DRE - PARAUAPEBAS</v>
      </c>
      <c r="F962" s="1">
        <f ca="1">IFERROR(__xludf.DUMMYFUNCTION("""COMPUTED_VALUE"""),2)</f>
        <v>2</v>
      </c>
      <c r="G962" s="1" t="str">
        <f ca="1">IFERROR(__xludf.DUMMYFUNCTION("""COMPUTED_VALUE"""),"DRE PARAUAPEBAS")</f>
        <v>DRE PARAUAPEBAS</v>
      </c>
      <c r="H962" s="1" t="str">
        <f ca="1">IFERROR(__xludf.DUMMYFUNCTION("""COMPUTED_VALUE"""),"21A URE - PARAUAPEBAS")</f>
        <v>21A URE - PARAUAPEBAS</v>
      </c>
      <c r="I962" s="1"/>
      <c r="J962" s="1" t="str">
        <f ca="1">IFERROR(__xludf.DUMMYFUNCTION("""COMPUTED_VALUE"""),"CANAA DOS CARAJAS")</f>
        <v>CANAA DOS CARAJAS</v>
      </c>
      <c r="K962" s="1">
        <f ca="1">IFERROR(__xludf.DUMMYFUNCTION("""COMPUTED_VALUE"""),15125424)</f>
        <v>15125424</v>
      </c>
      <c r="L962" s="2" t="str">
        <f ca="1">IFERROR(__xludf.DUMMYFUNCTION("""COMPUTED_VALUE"""),"001920927650000")</f>
        <v>001920927650000</v>
      </c>
      <c r="M962" s="2" t="str">
        <f ca="1">IFERROR(__xludf.DUMMYFUNCTION("""COMPUTED_VALUE"""),"1920927650000")</f>
        <v>1920927650000</v>
      </c>
      <c r="N962" s="1" t="str">
        <f ca="1">IFERROR(__xludf.DUMMYFUNCTION("""COMPUTED_VALUE"""),"EEEFM PROF NELSON DOS PRAZERES HENRIQUE")</f>
        <v>EEEFM PROF NELSON DOS PRAZERES HENRIQUE</v>
      </c>
      <c r="O962" s="1"/>
      <c r="P962" s="1"/>
      <c r="Q962" s="1" t="s">
        <v>977</v>
      </c>
    </row>
    <row r="963" spans="1:17" x14ac:dyDescent="0.25">
      <c r="A963" s="2" t="str">
        <f ca="1">IFERROR(__xludf.DUMMYFUNCTION("""COMPUTED_VALUE"""),"REG DE INTEGRA DO CARAJAS")</f>
        <v>REG DE INTEGRA DO CARAJAS</v>
      </c>
      <c r="B963" s="1" t="str">
        <f ca="1">IFERROR(__xludf.DUMMYFUNCTION("""COMPUTED_VALUE"""),"DRE PARAUAPEBAS")</f>
        <v>DRE PARAUAPEBAS</v>
      </c>
      <c r="C963" s="2" t="str">
        <f ca="1">IFERROR(__xludf.DUMMYFUNCTION("""COMPUTED_VALUE"""),"DRE - PARAUAPEBAS")</f>
        <v>DRE - PARAUAPEBAS</v>
      </c>
      <c r="D963" s="1"/>
      <c r="E963" s="2" t="str">
        <f ca="1">IFERROR(__xludf.DUMMYFUNCTION("""COMPUTED_VALUE"""),"DRE - PARAUAPEBAS")</f>
        <v>DRE - PARAUAPEBAS</v>
      </c>
      <c r="F963" s="1">
        <f ca="1">IFERROR(__xludf.DUMMYFUNCTION("""COMPUTED_VALUE"""),2)</f>
        <v>2</v>
      </c>
      <c r="G963" s="1" t="str">
        <f ca="1">IFERROR(__xludf.DUMMYFUNCTION("""COMPUTED_VALUE"""),"DRE PARAUAPEBAS")</f>
        <v>DRE PARAUAPEBAS</v>
      </c>
      <c r="H963" s="1" t="str">
        <f ca="1">IFERROR(__xludf.DUMMYFUNCTION("""COMPUTED_VALUE"""),"21A URE - PARAUAPEBAS")</f>
        <v>21A URE - PARAUAPEBAS</v>
      </c>
      <c r="I963" s="1"/>
      <c r="J963" s="1" t="str">
        <f ca="1">IFERROR(__xludf.DUMMYFUNCTION("""COMPUTED_VALUE"""),"CANAA DOS CARAJAS")</f>
        <v>CANAA DOS CARAJAS</v>
      </c>
      <c r="K963" s="1">
        <f ca="1">IFERROR(__xludf.DUMMYFUNCTION("""COMPUTED_VALUE"""),15097129)</f>
        <v>15097129</v>
      </c>
      <c r="L963" s="2" t="str">
        <f ca="1">IFERROR(__xludf.DUMMYFUNCTION("""COMPUTED_VALUE"""),"001920937240000")</f>
        <v>001920937240000</v>
      </c>
      <c r="M963" s="2" t="str">
        <f ca="1">IFERROR(__xludf.DUMMYFUNCTION("""COMPUTED_VALUE"""),"1920937240000")</f>
        <v>1920937240000</v>
      </c>
      <c r="N963" s="1" t="str">
        <f ca="1">IFERROR(__xludf.DUMMYFUNCTION("""COMPUTED_VALUE"""),"EEEM IRMA LAURA DE MARTINS CARVALHO")</f>
        <v>EEEM IRMA LAURA DE MARTINS CARVALHO</v>
      </c>
      <c r="O963" s="1"/>
      <c r="P963" s="1"/>
      <c r="Q963" s="1" t="s">
        <v>977</v>
      </c>
    </row>
    <row r="964" spans="1:17" x14ac:dyDescent="0.25">
      <c r="A964" s="2" t="str">
        <f ca="1">IFERROR(__xludf.DUMMYFUNCTION("""COMPUTED_VALUE"""),"REG DE INTEGRA DO CARAJAS")</f>
        <v>REG DE INTEGRA DO CARAJAS</v>
      </c>
      <c r="B964" s="1" t="str">
        <f ca="1">IFERROR(__xludf.DUMMYFUNCTION("""COMPUTED_VALUE"""),"DRE PARAUAPEBAS")</f>
        <v>DRE PARAUAPEBAS</v>
      </c>
      <c r="C964" s="2" t="str">
        <f ca="1">IFERROR(__xludf.DUMMYFUNCTION("""COMPUTED_VALUE"""),"DRE - PARAUAPEBAS")</f>
        <v>DRE - PARAUAPEBAS</v>
      </c>
      <c r="D964" s="1"/>
      <c r="E964" s="2" t="str">
        <f ca="1">IFERROR(__xludf.DUMMYFUNCTION("""COMPUTED_VALUE"""),"DRE - PARAUAPEBAS")</f>
        <v>DRE - PARAUAPEBAS</v>
      </c>
      <c r="F964" s="1"/>
      <c r="G964" s="1"/>
      <c r="H964" s="1" t="str">
        <f ca="1">IFERROR(__xludf.DUMMYFUNCTION("""COMPUTED_VALUE"""),"21A URE - PARAUAPEBAS")</f>
        <v>21A URE - PARAUAPEBAS</v>
      </c>
      <c r="I964" s="1"/>
      <c r="J964" s="1" t="str">
        <f ca="1">IFERROR(__xludf.DUMMYFUNCTION("""COMPUTED_VALUE"""),"CANAA DOS CARAJAS")</f>
        <v>CANAA DOS CARAJAS</v>
      </c>
      <c r="K964" s="1"/>
      <c r="L964" s="2" t="str">
        <f ca="1">IFERROR(__xludf.DUMMYFUNCTION("""COMPUTED_VALUE"""),"001921051000000")</f>
        <v>001921051000000</v>
      </c>
      <c r="M964" s="2" t="str">
        <f ca="1">IFERROR(__xludf.DUMMYFUNCTION("""COMPUTED_VALUE"""),"1921051000000")</f>
        <v>1921051000000</v>
      </c>
      <c r="N964" s="1" t="str">
        <f ca="1">IFERROR(__xludf.DUMMYFUNCTION("""COMPUTED_VALUE"""),"ESCOLA ESTADUAL RURAL DE CANAA DOS CARAJAS")</f>
        <v>ESCOLA ESTADUAL RURAL DE CANAA DOS CARAJAS</v>
      </c>
      <c r="O964" s="1"/>
      <c r="P964" s="1"/>
      <c r="Q964" s="1" t="s">
        <v>977</v>
      </c>
    </row>
    <row r="965" spans="1:17" x14ac:dyDescent="0.25">
      <c r="A965" s="2" t="str">
        <f ca="1">IFERROR(__xludf.DUMMYFUNCTION("""COMPUTED_VALUE"""),"REG DE INTEGRA DO CARAJAS")</f>
        <v>REG DE INTEGRA DO CARAJAS</v>
      </c>
      <c r="B965" s="1" t="str">
        <f ca="1">IFERROR(__xludf.DUMMYFUNCTION("""COMPUTED_VALUE"""),"DRE PARAUAPEBAS")</f>
        <v>DRE PARAUAPEBAS</v>
      </c>
      <c r="C965" s="2" t="str">
        <f ca="1">IFERROR(__xludf.DUMMYFUNCTION("""COMPUTED_VALUE"""),"DRE - PARAUAPEBAS")</f>
        <v>DRE - PARAUAPEBAS</v>
      </c>
      <c r="D965" s="1"/>
      <c r="E965" s="2" t="str">
        <f ca="1">IFERROR(__xludf.DUMMYFUNCTION("""COMPUTED_VALUE"""),"DRE - PARAUAPEBAS")</f>
        <v>DRE - PARAUAPEBAS</v>
      </c>
      <c r="F965" s="1">
        <f ca="1">IFERROR(__xludf.DUMMYFUNCTION("""COMPUTED_VALUE"""),2)</f>
        <v>2</v>
      </c>
      <c r="G965" s="1" t="str">
        <f ca="1">IFERROR(__xludf.DUMMYFUNCTION("""COMPUTED_VALUE"""),"DRE PARAUAPEBAS")</f>
        <v>DRE PARAUAPEBAS</v>
      </c>
      <c r="H965" s="1" t="str">
        <f ca="1">IFERROR(__xludf.DUMMYFUNCTION("""COMPUTED_VALUE"""),"21A URE - PARAUAPEBAS")</f>
        <v>21A URE - PARAUAPEBAS</v>
      </c>
      <c r="I965" s="1"/>
      <c r="J965" s="1" t="str">
        <f ca="1">IFERROR(__xludf.DUMMYFUNCTION("""COMPUTED_VALUE"""),"CURIONOPOLIS")</f>
        <v>CURIONOPOLIS</v>
      </c>
      <c r="K965" s="1">
        <f ca="1">IFERROR(__xludf.DUMMYFUNCTION("""COMPUTED_VALUE"""),15124347)</f>
        <v>15124347</v>
      </c>
      <c r="L965" s="2" t="str">
        <f ca="1">IFERROR(__xludf.DUMMYFUNCTION("""COMPUTED_VALUE"""),"001920911780000")</f>
        <v>001920911780000</v>
      </c>
      <c r="M965" s="2" t="str">
        <f ca="1">IFERROR(__xludf.DUMMYFUNCTION("""COMPUTED_VALUE"""),"1920911780000")</f>
        <v>1920911780000</v>
      </c>
      <c r="N965" s="1" t="str">
        <f ca="1">IFERROR(__xludf.DUMMYFUNCTION("""COMPUTED_VALUE"""),"EEEM DR TANCREDO DE ALMEIDA NEVES")</f>
        <v>EEEM DR TANCREDO DE ALMEIDA NEVES</v>
      </c>
      <c r="O965" s="1"/>
      <c r="P965" s="1"/>
      <c r="Q965" s="1" t="s">
        <v>977</v>
      </c>
    </row>
    <row r="966" spans="1:17" x14ac:dyDescent="0.25">
      <c r="A966" s="2" t="str">
        <f ca="1">IFERROR(__xludf.DUMMYFUNCTION("""COMPUTED_VALUE"""),"REG DE INTEGRA DO CARAJAS")</f>
        <v>REG DE INTEGRA DO CARAJAS</v>
      </c>
      <c r="B966" s="1" t="str">
        <f ca="1">IFERROR(__xludf.DUMMYFUNCTION("""COMPUTED_VALUE"""),"DRE PARAUAPEBAS")</f>
        <v>DRE PARAUAPEBAS</v>
      </c>
      <c r="C966" s="2" t="str">
        <f ca="1">IFERROR(__xludf.DUMMYFUNCTION("""COMPUTED_VALUE"""),"DRE - PARAUAPEBAS")</f>
        <v>DRE - PARAUAPEBAS</v>
      </c>
      <c r="D966" s="1"/>
      <c r="E966" s="2" t="str">
        <f ca="1">IFERROR(__xludf.DUMMYFUNCTION("""COMPUTED_VALUE"""),"DRE - PARAUAPEBAS")</f>
        <v>DRE - PARAUAPEBAS</v>
      </c>
      <c r="F966" s="1">
        <f ca="1">IFERROR(__xludf.DUMMYFUNCTION("""COMPUTED_VALUE"""),2)</f>
        <v>2</v>
      </c>
      <c r="G966" s="1" t="str">
        <f ca="1">IFERROR(__xludf.DUMMYFUNCTION("""COMPUTED_VALUE"""),"DRE PARAUAPEBAS")</f>
        <v>DRE PARAUAPEBAS</v>
      </c>
      <c r="H966" s="1" t="str">
        <f ca="1">IFERROR(__xludf.DUMMYFUNCTION("""COMPUTED_VALUE"""),"21A URE - PARAUAPEBAS")</f>
        <v>21A URE - PARAUAPEBAS</v>
      </c>
      <c r="I966" s="1"/>
      <c r="J966" s="1" t="str">
        <f ca="1">IFERROR(__xludf.DUMMYFUNCTION("""COMPUTED_VALUE"""),"CURIONOPOLIS")</f>
        <v>CURIONOPOLIS</v>
      </c>
      <c r="K966" s="1">
        <f ca="1">IFERROR(__xludf.DUMMYFUNCTION("""COMPUTED_VALUE"""),15588599)</f>
        <v>15588599</v>
      </c>
      <c r="L966" s="2" t="str">
        <f ca="1">IFERROR(__xludf.DUMMYFUNCTION("""COMPUTED_VALUE"""),"001920937030000")</f>
        <v>001920937030000</v>
      </c>
      <c r="M966" s="2" t="str">
        <f ca="1">IFERROR(__xludf.DUMMYFUNCTION("""COMPUTED_VALUE"""),"1920937030000")</f>
        <v>1920937030000</v>
      </c>
      <c r="N966" s="1" t="str">
        <f ca="1">IFERROR(__xludf.DUMMYFUNCTION("""COMPUTED_VALUE"""),"EEEM GOVERNADOR ALMIR GABRIEL")</f>
        <v>EEEM GOVERNADOR ALMIR GABRIEL</v>
      </c>
      <c r="O966" s="1"/>
      <c r="P966" s="1"/>
      <c r="Q966" s="1" t="s">
        <v>977</v>
      </c>
    </row>
    <row r="967" spans="1:17" x14ac:dyDescent="0.25">
      <c r="A967" s="2" t="str">
        <f ca="1">IFERROR(__xludf.DUMMYFUNCTION("""COMPUTED_VALUE"""),"REG DE INTEGRA DO CARAJAS")</f>
        <v>REG DE INTEGRA DO CARAJAS</v>
      </c>
      <c r="B967" s="1" t="str">
        <f ca="1">IFERROR(__xludf.DUMMYFUNCTION("""COMPUTED_VALUE"""),"DRE PARAUAPEBAS")</f>
        <v>DRE PARAUAPEBAS</v>
      </c>
      <c r="C967" s="2" t="str">
        <f ca="1">IFERROR(__xludf.DUMMYFUNCTION("""COMPUTED_VALUE"""),"DRE - PARAUAPEBAS")</f>
        <v>DRE - PARAUAPEBAS</v>
      </c>
      <c r="D967" s="1"/>
      <c r="E967" s="2" t="str">
        <f ca="1">IFERROR(__xludf.DUMMYFUNCTION("""COMPUTED_VALUE"""),"DRE - PARAUAPEBAS")</f>
        <v>DRE - PARAUAPEBAS</v>
      </c>
      <c r="F967" s="1">
        <f ca="1">IFERROR(__xludf.DUMMYFUNCTION("""COMPUTED_VALUE"""),2)</f>
        <v>2</v>
      </c>
      <c r="G967" s="1" t="str">
        <f ca="1">IFERROR(__xludf.DUMMYFUNCTION("""COMPUTED_VALUE"""),"DRE PARAUAPEBAS")</f>
        <v>DRE PARAUAPEBAS</v>
      </c>
      <c r="H967" s="1" t="str">
        <f ca="1">IFERROR(__xludf.DUMMYFUNCTION("""COMPUTED_VALUE"""),"21A URE - PARAUAPEBAS")</f>
        <v>21A URE - PARAUAPEBAS</v>
      </c>
      <c r="I967" s="1"/>
      <c r="J967" s="1" t="str">
        <f ca="1">IFERROR(__xludf.DUMMYFUNCTION("""COMPUTED_VALUE"""),"CURIONOPOLIS")</f>
        <v>CURIONOPOLIS</v>
      </c>
      <c r="K967" s="1">
        <f ca="1">IFERROR(__xludf.DUMMYFUNCTION("""COMPUTED_VALUE"""),15124428)</f>
        <v>15124428</v>
      </c>
      <c r="L967" s="2" t="str">
        <f ca="1">IFERROR(__xludf.DUMMYFUNCTION("""COMPUTED_VALUE"""),"001920927400000")</f>
        <v>001920927400000</v>
      </c>
      <c r="M967" s="2" t="str">
        <f ca="1">IFERROR(__xludf.DUMMYFUNCTION("""COMPUTED_VALUE"""),"1920927400000")</f>
        <v>1920927400000</v>
      </c>
      <c r="N967" s="1" t="str">
        <f ca="1">IFERROR(__xludf.DUMMYFUNCTION("""COMPUTED_VALUE"""),"EEEM PROFA JOAQUINA DIAMANTINA FERREIRA LEMOS")</f>
        <v>EEEM PROFA JOAQUINA DIAMANTINA FERREIRA LEMOS</v>
      </c>
      <c r="O967" s="1"/>
      <c r="P967" s="1"/>
      <c r="Q967" s="1" t="s">
        <v>977</v>
      </c>
    </row>
    <row r="968" spans="1:17" x14ac:dyDescent="0.25">
      <c r="A968" s="2" t="str">
        <f ca="1">IFERROR(__xludf.DUMMYFUNCTION("""COMPUTED_VALUE"""),"REG DE INTEGRA DO CARAJAS")</f>
        <v>REG DE INTEGRA DO CARAJAS</v>
      </c>
      <c r="B968" s="1" t="str">
        <f ca="1">IFERROR(__xludf.DUMMYFUNCTION("""COMPUTED_VALUE"""),"DRE PARAUAPEBAS")</f>
        <v>DRE PARAUAPEBAS</v>
      </c>
      <c r="C968" s="2" t="str">
        <f ca="1">IFERROR(__xludf.DUMMYFUNCTION("""COMPUTED_VALUE"""),"DRE - PARAUAPEBAS")</f>
        <v>DRE - PARAUAPEBAS</v>
      </c>
      <c r="D968" s="1"/>
      <c r="E968" s="2" t="str">
        <f ca="1">IFERROR(__xludf.DUMMYFUNCTION("""COMPUTED_VALUE"""),"DRE - PARAUAPEBAS")</f>
        <v>DRE - PARAUAPEBAS</v>
      </c>
      <c r="F968" s="1">
        <f ca="1">IFERROR(__xludf.DUMMYFUNCTION("""COMPUTED_VALUE"""),2)</f>
        <v>2</v>
      </c>
      <c r="G968" s="1"/>
      <c r="H968" s="1" t="str">
        <f ca="1">IFERROR(__xludf.DUMMYFUNCTION("""COMPUTED_VALUE"""),"21A URE - PARAUAPEBAS")</f>
        <v>21A URE - PARAUAPEBAS</v>
      </c>
      <c r="I968" s="1"/>
      <c r="J968" s="1" t="str">
        <f ca="1">IFERROR(__xludf.DUMMYFUNCTION("""COMPUTED_VALUE"""),"ELDORADO DO CARAJAS")</f>
        <v>ELDORADO DO CARAJAS</v>
      </c>
      <c r="K968" s="1">
        <f ca="1">IFERROR(__xludf.DUMMYFUNCTION("""COMPUTED_VALUE"""),15177726)</f>
        <v>15177726</v>
      </c>
      <c r="L968" s="2" t="str">
        <f ca="1">IFERROR(__xludf.DUMMYFUNCTION("""COMPUTED_VALUE"""),"001920912030002")</f>
        <v>001920912030002</v>
      </c>
      <c r="M968" s="2" t="str">
        <f ca="1">IFERROR(__xludf.DUMMYFUNCTION("""COMPUTED_VALUE"""),"1920912030002")</f>
        <v>1920912030002</v>
      </c>
      <c r="N968" s="1" t="str">
        <f ca="1">IFERROR(__xludf.DUMMYFUNCTION("""COMPUTED_VALUE"""),"ANEXO RURAL  ELDORADO")</f>
        <v>ANEXO RURAL  ELDORADO</v>
      </c>
      <c r="O968" s="1"/>
      <c r="P968" s="1"/>
      <c r="Q968" s="1" t="s">
        <v>977</v>
      </c>
    </row>
    <row r="969" spans="1:17" x14ac:dyDescent="0.25">
      <c r="A969" s="2" t="str">
        <f ca="1">IFERROR(__xludf.DUMMYFUNCTION("""COMPUTED_VALUE"""),"REG DE INTEGRA DO CARAJAS")</f>
        <v>REG DE INTEGRA DO CARAJAS</v>
      </c>
      <c r="B969" s="1" t="str">
        <f ca="1">IFERROR(__xludf.DUMMYFUNCTION("""COMPUTED_VALUE"""),"DRE PARAUAPEBAS")</f>
        <v>DRE PARAUAPEBAS</v>
      </c>
      <c r="C969" s="2" t="str">
        <f ca="1">IFERROR(__xludf.DUMMYFUNCTION("""COMPUTED_VALUE"""),"DRE - PARAUAPEBAS")</f>
        <v>DRE - PARAUAPEBAS</v>
      </c>
      <c r="D969" s="1"/>
      <c r="E969" s="2" t="str">
        <f ca="1">IFERROR(__xludf.DUMMYFUNCTION("""COMPUTED_VALUE"""),"DRE - PARAUAPEBAS")</f>
        <v>DRE - PARAUAPEBAS</v>
      </c>
      <c r="F969" s="1">
        <f ca="1">IFERROR(__xludf.DUMMYFUNCTION("""COMPUTED_VALUE"""),2)</f>
        <v>2</v>
      </c>
      <c r="G969" s="1" t="str">
        <f ca="1">IFERROR(__xludf.DUMMYFUNCTION("""COMPUTED_VALUE"""),"DRE PARAUAPEBAS")</f>
        <v>DRE PARAUAPEBAS</v>
      </c>
      <c r="H969" s="1" t="str">
        <f ca="1">IFERROR(__xludf.DUMMYFUNCTION("""COMPUTED_VALUE"""),"21A URE - PARAUAPEBAS")</f>
        <v>21A URE - PARAUAPEBAS</v>
      </c>
      <c r="I969" s="1"/>
      <c r="J969" s="1" t="str">
        <f ca="1">IFERROR(__xludf.DUMMYFUNCTION("""COMPUTED_VALUE"""),"ELDORADO DOS CARAJAS")</f>
        <v>ELDORADO DOS CARAJAS</v>
      </c>
      <c r="K969" s="1">
        <f ca="1">IFERROR(__xludf.DUMMYFUNCTION("""COMPUTED_VALUE"""),15124770)</f>
        <v>15124770</v>
      </c>
      <c r="L969" s="2" t="str">
        <f ca="1">IFERROR(__xludf.DUMMYFUNCTION("""COMPUTED_VALUE"""),"001920912030000")</f>
        <v>001920912030000</v>
      </c>
      <c r="M969" s="2" t="str">
        <f ca="1">IFERROR(__xludf.DUMMYFUNCTION("""COMPUTED_VALUE"""),"1920912030000")</f>
        <v>1920912030000</v>
      </c>
      <c r="N969" s="1" t="str">
        <f ca="1">IFERROR(__xludf.DUMMYFUNCTION("""COMPUTED_VALUE"""),"EEEM ELDORADO")</f>
        <v>EEEM ELDORADO</v>
      </c>
      <c r="O969" s="1"/>
      <c r="P969" s="1"/>
      <c r="Q969" s="1" t="s">
        <v>977</v>
      </c>
    </row>
    <row r="970" spans="1:17" x14ac:dyDescent="0.25">
      <c r="A970" s="2" t="str">
        <f ca="1">IFERROR(__xludf.DUMMYFUNCTION("""COMPUTED_VALUE"""),"REG DE INTEGRA DO CARAJAS")</f>
        <v>REG DE INTEGRA DO CARAJAS</v>
      </c>
      <c r="B970" s="1" t="str">
        <f ca="1">IFERROR(__xludf.DUMMYFUNCTION("""COMPUTED_VALUE"""),"DRE PARAUAPEBAS")</f>
        <v>DRE PARAUAPEBAS</v>
      </c>
      <c r="C970" s="2" t="str">
        <f ca="1">IFERROR(__xludf.DUMMYFUNCTION("""COMPUTED_VALUE"""),"DRE - PARAUAPEBAS")</f>
        <v>DRE - PARAUAPEBAS</v>
      </c>
      <c r="D970" s="1"/>
      <c r="E970" s="2" t="str">
        <f ca="1">IFERROR(__xludf.DUMMYFUNCTION("""COMPUTED_VALUE"""),"DRE - PARAUAPEBAS")</f>
        <v>DRE - PARAUAPEBAS</v>
      </c>
      <c r="F970" s="1">
        <f ca="1">IFERROR(__xludf.DUMMYFUNCTION("""COMPUTED_VALUE"""),2)</f>
        <v>2</v>
      </c>
      <c r="G970" s="1" t="str">
        <f ca="1">IFERROR(__xludf.DUMMYFUNCTION("""COMPUTED_VALUE"""),"DRE PARAUAPEBAS")</f>
        <v>DRE PARAUAPEBAS</v>
      </c>
      <c r="H970" s="1" t="str">
        <f ca="1">IFERROR(__xludf.DUMMYFUNCTION("""COMPUTED_VALUE"""),"21A URE - PARAUAPEBAS")</f>
        <v>21A URE - PARAUAPEBAS</v>
      </c>
      <c r="I970" s="1"/>
      <c r="J970" s="1" t="str">
        <f ca="1">IFERROR(__xludf.DUMMYFUNCTION("""COMPUTED_VALUE"""),"ELDORADO DOS CARAJAS")</f>
        <v>ELDORADO DOS CARAJAS</v>
      </c>
      <c r="K970" s="1">
        <f ca="1">IFERROR(__xludf.DUMMYFUNCTION("""COMPUTED_VALUE"""),15584020)</f>
        <v>15584020</v>
      </c>
      <c r="L970" s="2" t="str">
        <f ca="1">IFERROR(__xludf.DUMMYFUNCTION("""COMPUTED_VALUE"""),"001920936750000")</f>
        <v>001920936750000</v>
      </c>
      <c r="M970" s="2" t="str">
        <f ca="1">IFERROR(__xludf.DUMMYFUNCTION("""COMPUTED_VALUE"""),"1920936750000")</f>
        <v>1920936750000</v>
      </c>
      <c r="N970" s="1" t="str">
        <f ca="1">IFERROR(__xludf.DUMMYFUNCTION("""COMPUTED_VALUE"""),"EEEM FRANCILANDIA")</f>
        <v>EEEM FRANCILANDIA</v>
      </c>
      <c r="O970" s="1"/>
      <c r="P970" s="1"/>
      <c r="Q970" s="1" t="s">
        <v>977</v>
      </c>
    </row>
    <row r="971" spans="1:17" x14ac:dyDescent="0.25">
      <c r="A971" s="2" t="str">
        <f ca="1">IFERROR(__xludf.DUMMYFUNCTION("""COMPUTED_VALUE"""),"REG DE INTEGRA DO CARAJAS")</f>
        <v>REG DE INTEGRA DO CARAJAS</v>
      </c>
      <c r="B971" s="1" t="str">
        <f ca="1">IFERROR(__xludf.DUMMYFUNCTION("""COMPUTED_VALUE"""),"DRE PARAUAPEBAS")</f>
        <v>DRE PARAUAPEBAS</v>
      </c>
      <c r="C971" s="2" t="str">
        <f ca="1">IFERROR(__xludf.DUMMYFUNCTION("""COMPUTED_VALUE"""),"DRE - PARAUAPEBAS")</f>
        <v>DRE - PARAUAPEBAS</v>
      </c>
      <c r="D971" s="1"/>
      <c r="E971" s="2" t="str">
        <f ca="1">IFERROR(__xludf.DUMMYFUNCTION("""COMPUTED_VALUE"""),"DRE - PARAUAPEBAS")</f>
        <v>DRE - PARAUAPEBAS</v>
      </c>
      <c r="F971" s="1"/>
      <c r="G971" s="1"/>
      <c r="H971" s="1" t="str">
        <f ca="1">IFERROR(__xludf.DUMMYFUNCTION("""COMPUTED_VALUE"""),"21A URE - PARAUAPEBAS")</f>
        <v>21A URE - PARAUAPEBAS</v>
      </c>
      <c r="I971" s="1"/>
      <c r="J971" s="1" t="str">
        <f ca="1">IFERROR(__xludf.DUMMYFUNCTION("""COMPUTED_VALUE"""),"ELDORADO DOS CARAJAS")</f>
        <v>ELDORADO DOS CARAJAS</v>
      </c>
      <c r="K971" s="1"/>
      <c r="L971" s="2" t="str">
        <f ca="1">IFERROR(__xludf.DUMMYFUNCTION("""COMPUTED_VALUE"""),"001921052000000")</f>
        <v>001921052000000</v>
      </c>
      <c r="M971" s="2" t="str">
        <f ca="1">IFERROR(__xludf.DUMMYFUNCTION("""COMPUTED_VALUE"""),"1921052000000")</f>
        <v>1921052000000</v>
      </c>
      <c r="N971" s="1" t="str">
        <f ca="1">IFERROR(__xludf.DUMMYFUNCTION("""COMPUTED_VALUE"""),"ESCOLA ESTADUAL RURAL DE ELDORADO DO CARAJAS")</f>
        <v>ESCOLA ESTADUAL RURAL DE ELDORADO DO CARAJAS</v>
      </c>
      <c r="O971" s="1"/>
      <c r="P971" s="1"/>
      <c r="Q971" s="1" t="s">
        <v>977</v>
      </c>
    </row>
    <row r="972" spans="1:17" x14ac:dyDescent="0.25">
      <c r="A972" s="2" t="str">
        <f ca="1">IFERROR(__xludf.DUMMYFUNCTION("""COMPUTED_VALUE"""),"REG DE INTEGRA DO CARAJAS")</f>
        <v>REG DE INTEGRA DO CARAJAS</v>
      </c>
      <c r="B972" s="1" t="str">
        <f ca="1">IFERROR(__xludf.DUMMYFUNCTION("""COMPUTED_VALUE"""),"DRE PARAUAPEBAS")</f>
        <v>DRE PARAUAPEBAS</v>
      </c>
      <c r="C972" s="2" t="str">
        <f ca="1">IFERROR(__xludf.DUMMYFUNCTION("""COMPUTED_VALUE"""),"DRE - PARAUAPEBAS")</f>
        <v>DRE - PARAUAPEBAS</v>
      </c>
      <c r="D972" s="1"/>
      <c r="E972" s="2" t="str">
        <f ca="1">IFERROR(__xludf.DUMMYFUNCTION("""COMPUTED_VALUE"""),"DRE - PARAUAPEBAS")</f>
        <v>DRE - PARAUAPEBAS</v>
      </c>
      <c r="F972" s="1">
        <f ca="1">IFERROR(__xludf.DUMMYFUNCTION("""COMPUTED_VALUE"""),2)</f>
        <v>2</v>
      </c>
      <c r="G972" s="1" t="str">
        <f ca="1">IFERROR(__xludf.DUMMYFUNCTION("""COMPUTED_VALUE"""),"DRE PARAUAPEBAS")</f>
        <v>DRE PARAUAPEBAS</v>
      </c>
      <c r="H972" s="1" t="str">
        <f ca="1">IFERROR(__xludf.DUMMYFUNCTION("""COMPUTED_VALUE"""),"21A URE - PARAUAPEBAS")</f>
        <v>21A URE - PARAUAPEBAS</v>
      </c>
      <c r="I972" s="1"/>
      <c r="J972" s="1" t="str">
        <f ca="1">IFERROR(__xludf.DUMMYFUNCTION("""COMPUTED_VALUE"""),"PARAUAPEBAS")</f>
        <v>PARAUAPEBAS</v>
      </c>
      <c r="K972" s="1"/>
      <c r="L972" s="2" t="str">
        <f ca="1">IFERROR(__xludf.DUMMYFUNCTION("""COMPUTED_VALUE"""),"001920900210000")</f>
        <v>001920900210000</v>
      </c>
      <c r="M972" s="2" t="str">
        <f ca="1">IFERROR(__xludf.DUMMYFUNCTION("""COMPUTED_VALUE"""),"1920900210000")</f>
        <v>1920900210000</v>
      </c>
      <c r="N972" s="1" t="str">
        <f ca="1">IFERROR(__xludf.DUMMYFUNCTION("""COMPUTED_VALUE"""),"21 URE")</f>
        <v>21 URE</v>
      </c>
      <c r="O972" s="1"/>
      <c r="P972" s="1"/>
      <c r="Q972" s="1" t="s">
        <v>977</v>
      </c>
    </row>
    <row r="973" spans="1:17" x14ac:dyDescent="0.25">
      <c r="A973" s="2" t="str">
        <f ca="1">IFERROR(__xludf.DUMMYFUNCTION("""COMPUTED_VALUE"""),"REG DE INTEGRA DO CARAJAS")</f>
        <v>REG DE INTEGRA DO CARAJAS</v>
      </c>
      <c r="B973" s="1" t="str">
        <f ca="1">IFERROR(__xludf.DUMMYFUNCTION("""COMPUTED_VALUE"""),"DRE PARAUAPEBAS")</f>
        <v>DRE PARAUAPEBAS</v>
      </c>
      <c r="C973" s="2" t="str">
        <f ca="1">IFERROR(__xludf.DUMMYFUNCTION("""COMPUTED_VALUE"""),"DRE - PARAUAPEBAS")</f>
        <v>DRE - PARAUAPEBAS</v>
      </c>
      <c r="D973" s="1"/>
      <c r="E973" s="2" t="str">
        <f ca="1">IFERROR(__xludf.DUMMYFUNCTION("""COMPUTED_VALUE"""),"DRE - PARAUAPEBAS")</f>
        <v>DRE - PARAUAPEBAS</v>
      </c>
      <c r="F973" s="1">
        <f ca="1">IFERROR(__xludf.DUMMYFUNCTION("""COMPUTED_VALUE"""),2)</f>
        <v>2</v>
      </c>
      <c r="G973" s="1"/>
      <c r="H973" s="1" t="str">
        <f ca="1">IFERROR(__xludf.DUMMYFUNCTION("""COMPUTED_VALUE"""),"21A URE - PARAUAPEBAS")</f>
        <v>21A URE - PARAUAPEBAS</v>
      </c>
      <c r="I973" s="1"/>
      <c r="J973" s="1" t="str">
        <f ca="1">IFERROR(__xludf.DUMMYFUNCTION("""COMPUTED_VALUE"""),"PARAUAPEBAS")</f>
        <v>PARAUAPEBAS</v>
      </c>
      <c r="K973" s="1">
        <f ca="1">IFERROR(__xludf.DUMMYFUNCTION("""COMPUTED_VALUE"""),15177831)</f>
        <v>15177831</v>
      </c>
      <c r="L973" s="2" t="str">
        <f ca="1">IFERROR(__xludf.DUMMYFUNCTION("""COMPUTED_VALUE"""),"001920937870001")</f>
        <v>001920937870001</v>
      </c>
      <c r="M973" s="2" t="str">
        <f ca="1">IFERROR(__xludf.DUMMYFUNCTION("""COMPUTED_VALUE"""),"1920937870001")</f>
        <v>1920937870001</v>
      </c>
      <c r="N973" s="1" t="str">
        <f ca="1">IFERROR(__xludf.DUMMYFUNCTION("""COMPUTED_VALUE"""),"ANEXO RURAL  CRESCENDO NA PRATICA")</f>
        <v>ANEXO RURAL  CRESCENDO NA PRATICA</v>
      </c>
      <c r="O973" s="1"/>
      <c r="P973" s="1"/>
      <c r="Q973" s="1" t="s">
        <v>977</v>
      </c>
    </row>
    <row r="974" spans="1:17" x14ac:dyDescent="0.25">
      <c r="A974" s="2" t="str">
        <f ca="1">IFERROR(__xludf.DUMMYFUNCTION("""COMPUTED_VALUE"""),"REG DE INTEGRA DO CARAJAS")</f>
        <v>REG DE INTEGRA DO CARAJAS</v>
      </c>
      <c r="B974" s="1" t="str">
        <f ca="1">IFERROR(__xludf.DUMMYFUNCTION("""COMPUTED_VALUE"""),"DRE PARAUAPEBAS")</f>
        <v>DRE PARAUAPEBAS</v>
      </c>
      <c r="C974" s="2" t="str">
        <f ca="1">IFERROR(__xludf.DUMMYFUNCTION("""COMPUTED_VALUE"""),"DRE - PARAUAPEBAS")</f>
        <v>DRE - PARAUAPEBAS</v>
      </c>
      <c r="D974" s="1"/>
      <c r="E974" s="2" t="str">
        <f ca="1">IFERROR(__xludf.DUMMYFUNCTION("""COMPUTED_VALUE"""),"DRE - PARAUAPEBAS")</f>
        <v>DRE - PARAUAPEBAS</v>
      </c>
      <c r="F974" s="1">
        <f ca="1">IFERROR(__xludf.DUMMYFUNCTION("""COMPUTED_VALUE"""),2)</f>
        <v>2</v>
      </c>
      <c r="G974" s="1" t="str">
        <f ca="1">IFERROR(__xludf.DUMMYFUNCTION("""COMPUTED_VALUE"""),"DRE PARAUAPEBAS")</f>
        <v>DRE PARAUAPEBAS</v>
      </c>
      <c r="H974" s="1" t="str">
        <f ca="1">IFERROR(__xludf.DUMMYFUNCTION("""COMPUTED_VALUE"""),"21A URE - PARAUAPEBAS")</f>
        <v>21A URE - PARAUAPEBAS</v>
      </c>
      <c r="I974" s="1"/>
      <c r="J974" s="1" t="str">
        <f ca="1">IFERROR(__xludf.DUMMYFUNCTION("""COMPUTED_VALUE"""),"PARAUAPEBAS")</f>
        <v>PARAUAPEBAS</v>
      </c>
      <c r="K974" s="1">
        <f ca="1">IFERROR(__xludf.DUMMYFUNCTION("""COMPUTED_VALUE"""),15553566)</f>
        <v>15553566</v>
      </c>
      <c r="L974" s="2" t="str">
        <f ca="1">IFERROR(__xludf.DUMMYFUNCTION("""COMPUTED_VALUE"""),"001920936720000")</f>
        <v>001920936720000</v>
      </c>
      <c r="M974" s="2" t="str">
        <f ca="1">IFERROR(__xludf.DUMMYFUNCTION("""COMPUTED_VALUE"""),"1920936720000")</f>
        <v>1920936720000</v>
      </c>
      <c r="N974" s="1" t="str">
        <f ca="1">IFERROR(__xludf.DUMMYFUNCTION("""COMPUTED_VALUE"""),"EEEM CARLOS HENRIQUE")</f>
        <v>EEEM CARLOS HENRIQUE</v>
      </c>
      <c r="O974" s="1"/>
      <c r="P974" s="1"/>
      <c r="Q974" s="1" t="s">
        <v>977</v>
      </c>
    </row>
    <row r="975" spans="1:17" x14ac:dyDescent="0.25">
      <c r="A975" s="2" t="str">
        <f ca="1">IFERROR(__xludf.DUMMYFUNCTION("""COMPUTED_VALUE"""),"REG DE INTEGRA DO CARAJAS")</f>
        <v>REG DE INTEGRA DO CARAJAS</v>
      </c>
      <c r="B975" s="1" t="str">
        <f ca="1">IFERROR(__xludf.DUMMYFUNCTION("""COMPUTED_VALUE"""),"DRE PARAUAPEBAS")</f>
        <v>DRE PARAUAPEBAS</v>
      </c>
      <c r="C975" s="2" t="str">
        <f ca="1">IFERROR(__xludf.DUMMYFUNCTION("""COMPUTED_VALUE"""),"DRE - PARAUAPEBAS")</f>
        <v>DRE - PARAUAPEBAS</v>
      </c>
      <c r="D975" s="1"/>
      <c r="E975" s="2" t="str">
        <f ca="1">IFERROR(__xludf.DUMMYFUNCTION("""COMPUTED_VALUE"""),"DRE - PARAUAPEBAS")</f>
        <v>DRE - PARAUAPEBAS</v>
      </c>
      <c r="F975" s="1">
        <f ca="1">IFERROR(__xludf.DUMMYFUNCTION("""COMPUTED_VALUE"""),2)</f>
        <v>2</v>
      </c>
      <c r="G975" s="1" t="str">
        <f ca="1">IFERROR(__xludf.DUMMYFUNCTION("""COMPUTED_VALUE"""),"DRE PARAUAPEBAS")</f>
        <v>DRE PARAUAPEBAS</v>
      </c>
      <c r="H975" s="1" t="str">
        <f ca="1">IFERROR(__xludf.DUMMYFUNCTION("""COMPUTED_VALUE"""),"21A URE - PARAUAPEBAS")</f>
        <v>21A URE - PARAUAPEBAS</v>
      </c>
      <c r="I975" s="1"/>
      <c r="J975" s="1" t="str">
        <f ca="1">IFERROR(__xludf.DUMMYFUNCTION("""COMPUTED_VALUE"""),"PARAUAPEBAS")</f>
        <v>PARAUAPEBAS</v>
      </c>
      <c r="K975" s="1">
        <f ca="1">IFERROR(__xludf.DUMMYFUNCTION("""COMPUTED_VALUE"""),15125351)</f>
        <v>15125351</v>
      </c>
      <c r="L975" s="2" t="str">
        <f ca="1">IFERROR(__xludf.DUMMYFUNCTION("""COMPUTED_VALUE"""),"001920929220000")</f>
        <v>001920929220000</v>
      </c>
      <c r="M975" s="2" t="str">
        <f ca="1">IFERROR(__xludf.DUMMYFUNCTION("""COMPUTED_VALUE"""),"1920929220000")</f>
        <v>1920929220000</v>
      </c>
      <c r="N975" s="1" t="str">
        <f ca="1">IFERROR(__xludf.DUMMYFUNCTION("""COMPUTED_VALUE"""),"EEEM CECILIA MEIRELES")</f>
        <v>EEEM CECILIA MEIRELES</v>
      </c>
      <c r="O975" s="1"/>
      <c r="P975" s="1"/>
      <c r="Q975" s="1" t="s">
        <v>977</v>
      </c>
    </row>
    <row r="976" spans="1:17" x14ac:dyDescent="0.25">
      <c r="A976" s="2" t="str">
        <f ca="1">IFERROR(__xludf.DUMMYFUNCTION("""COMPUTED_VALUE"""),"REG DE INTEGRA DO CARAJAS")</f>
        <v>REG DE INTEGRA DO CARAJAS</v>
      </c>
      <c r="B976" s="1" t="str">
        <f ca="1">IFERROR(__xludf.DUMMYFUNCTION("""COMPUTED_VALUE"""),"DRE PARAUAPEBAS")</f>
        <v>DRE PARAUAPEBAS</v>
      </c>
      <c r="C976" s="2" t="str">
        <f ca="1">IFERROR(__xludf.DUMMYFUNCTION("""COMPUTED_VALUE"""),"DRE - PARAUAPEBAS")</f>
        <v>DRE - PARAUAPEBAS</v>
      </c>
      <c r="D976" s="1"/>
      <c r="E976" s="2" t="str">
        <f ca="1">IFERROR(__xludf.DUMMYFUNCTION("""COMPUTED_VALUE"""),"DRE - PARAUAPEBAS")</f>
        <v>DRE - PARAUAPEBAS</v>
      </c>
      <c r="F976" s="1">
        <f ca="1">IFERROR(__xludf.DUMMYFUNCTION("""COMPUTED_VALUE"""),2)</f>
        <v>2</v>
      </c>
      <c r="G976" s="1" t="str">
        <f ca="1">IFERROR(__xludf.DUMMYFUNCTION("""COMPUTED_VALUE"""),"DRE PARAUAPEBAS")</f>
        <v>DRE PARAUAPEBAS</v>
      </c>
      <c r="H976" s="1" t="str">
        <f ca="1">IFERROR(__xludf.DUMMYFUNCTION("""COMPUTED_VALUE"""),"21A URE - PARAUAPEBAS")</f>
        <v>21A URE - PARAUAPEBAS</v>
      </c>
      <c r="I976" s="1"/>
      <c r="J976" s="1" t="str">
        <f ca="1">IFERROR(__xludf.DUMMYFUNCTION("""COMPUTED_VALUE"""),"PARAUAPEBAS")</f>
        <v>PARAUAPEBAS</v>
      </c>
      <c r="K976" s="1">
        <f ca="1">IFERROR(__xludf.DUMMYFUNCTION("""COMPUTED_VALUE"""),15165981)</f>
        <v>15165981</v>
      </c>
      <c r="L976" s="2" t="str">
        <f ca="1">IFERROR(__xludf.DUMMYFUNCTION("""COMPUTED_VALUE"""),"001920937870000")</f>
        <v>001920937870000</v>
      </c>
      <c r="M976" s="2" t="str">
        <f ca="1">IFERROR(__xludf.DUMMYFUNCTION("""COMPUTED_VALUE"""),"1920937870000")</f>
        <v>1920937870000</v>
      </c>
      <c r="N976" s="1" t="str">
        <f ca="1">IFERROR(__xludf.DUMMYFUNCTION("""COMPUTED_VALUE"""),"EEEM CRESCENDO NA PRATICA")</f>
        <v>EEEM CRESCENDO NA PRATICA</v>
      </c>
      <c r="O976" s="1"/>
      <c r="P976" s="1"/>
      <c r="Q976" s="1" t="s">
        <v>977</v>
      </c>
    </row>
    <row r="977" spans="1:17" x14ac:dyDescent="0.25">
      <c r="A977" s="2" t="str">
        <f ca="1">IFERROR(__xludf.DUMMYFUNCTION("""COMPUTED_VALUE"""),"REG DE INTEGRA DO CARAJAS")</f>
        <v>REG DE INTEGRA DO CARAJAS</v>
      </c>
      <c r="B977" s="1" t="str">
        <f ca="1">IFERROR(__xludf.DUMMYFUNCTION("""COMPUTED_VALUE"""),"DRE PARAUAPEBAS")</f>
        <v>DRE PARAUAPEBAS</v>
      </c>
      <c r="C977" s="2" t="str">
        <f ca="1">IFERROR(__xludf.DUMMYFUNCTION("""COMPUTED_VALUE"""),"DRE - PARAUAPEBAS")</f>
        <v>DRE - PARAUAPEBAS</v>
      </c>
      <c r="D977" s="1"/>
      <c r="E977" s="2" t="str">
        <f ca="1">IFERROR(__xludf.DUMMYFUNCTION("""COMPUTED_VALUE"""),"DRE - PARAUAPEBAS")</f>
        <v>DRE - PARAUAPEBAS</v>
      </c>
      <c r="F977" s="1">
        <f ca="1">IFERROR(__xludf.DUMMYFUNCTION("""COMPUTED_VALUE"""),2)</f>
        <v>2</v>
      </c>
      <c r="G977" s="1" t="str">
        <f ca="1">IFERROR(__xludf.DUMMYFUNCTION("""COMPUTED_VALUE"""),"DRE PARAUAPEBAS")</f>
        <v>DRE PARAUAPEBAS</v>
      </c>
      <c r="H977" s="1" t="str">
        <f ca="1">IFERROR(__xludf.DUMMYFUNCTION("""COMPUTED_VALUE"""),"21A URE - PARAUAPEBAS")</f>
        <v>21A URE - PARAUAPEBAS</v>
      </c>
      <c r="I977" s="1"/>
      <c r="J977" s="1" t="str">
        <f ca="1">IFERROR(__xludf.DUMMYFUNCTION("""COMPUTED_VALUE"""),"PARAUAPEBAS")</f>
        <v>PARAUAPEBAS</v>
      </c>
      <c r="K977" s="1">
        <f ca="1">IFERROR(__xludf.DUMMYFUNCTION("""COMPUTED_VALUE"""),15170381)</f>
        <v>15170381</v>
      </c>
      <c r="L977" s="2" t="str">
        <f ca="1">IFERROR(__xludf.DUMMYFUNCTION("""COMPUTED_VALUE"""),"001920911770011")</f>
        <v>001920911770011</v>
      </c>
      <c r="M977" s="2" t="str">
        <f ca="1">IFERROR(__xludf.DUMMYFUNCTION("""COMPUTED_VALUE"""),"1920911770011")</f>
        <v>1920911770011</v>
      </c>
      <c r="N977" s="1" t="str">
        <f ca="1">IFERROR(__xludf.DUMMYFUNCTION("""COMPUTED_VALUE"""),"EEEM EDUARDO ANGELIM - ANEXO VII")</f>
        <v>EEEM EDUARDO ANGELIM - ANEXO VII</v>
      </c>
      <c r="O977" s="1"/>
      <c r="P977" s="1"/>
      <c r="Q977" s="1" t="s">
        <v>977</v>
      </c>
    </row>
    <row r="978" spans="1:17" x14ac:dyDescent="0.25">
      <c r="A978" s="2" t="str">
        <f ca="1">IFERROR(__xludf.DUMMYFUNCTION("""COMPUTED_VALUE"""),"REG DE INTEGRA DO CARAJAS")</f>
        <v>REG DE INTEGRA DO CARAJAS</v>
      </c>
      <c r="B978" s="1" t="str">
        <f ca="1">IFERROR(__xludf.DUMMYFUNCTION("""COMPUTED_VALUE"""),"DRE PARAUAPEBAS")</f>
        <v>DRE PARAUAPEBAS</v>
      </c>
      <c r="C978" s="2" t="str">
        <f ca="1">IFERROR(__xludf.DUMMYFUNCTION("""COMPUTED_VALUE"""),"DRE - PARAUAPEBAS")</f>
        <v>DRE - PARAUAPEBAS</v>
      </c>
      <c r="D978" s="1"/>
      <c r="E978" s="2" t="str">
        <f ca="1">IFERROR(__xludf.DUMMYFUNCTION("""COMPUTED_VALUE"""),"DRE - PARAUAPEBAS")</f>
        <v>DRE - PARAUAPEBAS</v>
      </c>
      <c r="F978" s="1">
        <f ca="1">IFERROR(__xludf.DUMMYFUNCTION("""COMPUTED_VALUE"""),2)</f>
        <v>2</v>
      </c>
      <c r="G978" s="1" t="str">
        <f ca="1">IFERROR(__xludf.DUMMYFUNCTION("""COMPUTED_VALUE"""),"DRE PARAUAPEBAS")</f>
        <v>DRE PARAUAPEBAS</v>
      </c>
      <c r="H978" s="1" t="str">
        <f ca="1">IFERROR(__xludf.DUMMYFUNCTION("""COMPUTED_VALUE"""),"21A URE - PARAUAPEBAS")</f>
        <v>21A URE - PARAUAPEBAS</v>
      </c>
      <c r="I978" s="1"/>
      <c r="J978" s="1" t="str">
        <f ca="1">IFERROR(__xludf.DUMMYFUNCTION("""COMPUTED_VALUE"""),"PARAUAPEBAS")</f>
        <v>PARAUAPEBAS</v>
      </c>
      <c r="K978" s="1">
        <f ca="1">IFERROR(__xludf.DUMMYFUNCTION("""COMPUTED_VALUE"""),15168948)</f>
        <v>15168948</v>
      </c>
      <c r="L978" s="2" t="str">
        <f ca="1">IFERROR(__xludf.DUMMYFUNCTION("""COMPUTED_VALUE"""),"001920911770012")</f>
        <v>001920911770012</v>
      </c>
      <c r="M978" s="2" t="str">
        <f ca="1">IFERROR(__xludf.DUMMYFUNCTION("""COMPUTED_VALUE"""),"1920911770012")</f>
        <v>1920911770012</v>
      </c>
      <c r="N978" s="1" t="str">
        <f ca="1">IFERROR(__xludf.DUMMYFUNCTION("""COMPUTED_VALUE"""),"EEEM EDUARDO ANGELIM ANEXO VIII")</f>
        <v>EEEM EDUARDO ANGELIM ANEXO VIII</v>
      </c>
      <c r="O978" s="1"/>
      <c r="P978" s="1"/>
      <c r="Q978" s="1" t="s">
        <v>977</v>
      </c>
    </row>
    <row r="979" spans="1:17" x14ac:dyDescent="0.25">
      <c r="A979" s="2" t="str">
        <f ca="1">IFERROR(__xludf.DUMMYFUNCTION("""COMPUTED_VALUE"""),"REG DE INTEGRA DO CARAJAS")</f>
        <v>REG DE INTEGRA DO CARAJAS</v>
      </c>
      <c r="B979" s="1" t="str">
        <f ca="1">IFERROR(__xludf.DUMMYFUNCTION("""COMPUTED_VALUE"""),"DRE PARAUAPEBAS")</f>
        <v>DRE PARAUAPEBAS</v>
      </c>
      <c r="C979" s="2" t="str">
        <f ca="1">IFERROR(__xludf.DUMMYFUNCTION("""COMPUTED_VALUE"""),"DRE - PARAUAPEBAS")</f>
        <v>DRE - PARAUAPEBAS</v>
      </c>
      <c r="D979" s="1"/>
      <c r="E979" s="2" t="str">
        <f ca="1">IFERROR(__xludf.DUMMYFUNCTION("""COMPUTED_VALUE"""),"DRE - PARAUAPEBAS")</f>
        <v>DRE - PARAUAPEBAS</v>
      </c>
      <c r="F979" s="1">
        <f ca="1">IFERROR(__xludf.DUMMYFUNCTION("""COMPUTED_VALUE"""),2)</f>
        <v>2</v>
      </c>
      <c r="G979" s="1" t="str">
        <f ca="1">IFERROR(__xludf.DUMMYFUNCTION("""COMPUTED_VALUE"""),"DRE PARAUAPEBAS")</f>
        <v>DRE PARAUAPEBAS</v>
      </c>
      <c r="H979" s="1" t="str">
        <f ca="1">IFERROR(__xludf.DUMMYFUNCTION("""COMPUTED_VALUE"""),"21A URE - PARAUAPEBAS")</f>
        <v>21A URE - PARAUAPEBAS</v>
      </c>
      <c r="I979" s="1"/>
      <c r="J979" s="1" t="str">
        <f ca="1">IFERROR(__xludf.DUMMYFUNCTION("""COMPUTED_VALUE"""),"PARAUAPEBAS")</f>
        <v>PARAUAPEBAS</v>
      </c>
      <c r="K979" s="1">
        <f ca="1">IFERROR(__xludf.DUMMYFUNCTION("""COMPUTED_VALUE"""),15125432)</f>
        <v>15125432</v>
      </c>
      <c r="L979" s="2" t="str">
        <f ca="1">IFERROR(__xludf.DUMMYFUNCTION("""COMPUTED_VALUE"""),"001920911770000")</f>
        <v>001920911770000</v>
      </c>
      <c r="M979" s="2" t="str">
        <f ca="1">IFERROR(__xludf.DUMMYFUNCTION("""COMPUTED_VALUE"""),"1920911770000")</f>
        <v>1920911770000</v>
      </c>
      <c r="N979" s="1" t="str">
        <f ca="1">IFERROR(__xludf.DUMMYFUNCTION("""COMPUTED_VALUE"""),"EEEM EDUARDO ANGELIM SEDE")</f>
        <v>EEEM EDUARDO ANGELIM SEDE</v>
      </c>
      <c r="O979" s="1"/>
      <c r="P979" s="1"/>
      <c r="Q979" s="1" t="s">
        <v>977</v>
      </c>
    </row>
    <row r="980" spans="1:17" x14ac:dyDescent="0.25">
      <c r="A980" s="2" t="str">
        <f ca="1">IFERROR(__xludf.DUMMYFUNCTION("""COMPUTED_VALUE"""),"REG DE INTEGRA DO CARAJAS")</f>
        <v>REG DE INTEGRA DO CARAJAS</v>
      </c>
      <c r="B980" s="1" t="str">
        <f ca="1">IFERROR(__xludf.DUMMYFUNCTION("""COMPUTED_VALUE"""),"DRE PARAUAPEBAS")</f>
        <v>DRE PARAUAPEBAS</v>
      </c>
      <c r="C980" s="2" t="str">
        <f ca="1">IFERROR(__xludf.DUMMYFUNCTION("""COMPUTED_VALUE"""),"DRE - PARAUAPEBAS")</f>
        <v>DRE - PARAUAPEBAS</v>
      </c>
      <c r="D980" s="1"/>
      <c r="E980" s="2" t="str">
        <f ca="1">IFERROR(__xludf.DUMMYFUNCTION("""COMPUTED_VALUE"""),"DRE - PARAUAPEBAS")</f>
        <v>DRE - PARAUAPEBAS</v>
      </c>
      <c r="F980" s="1">
        <f ca="1">IFERROR(__xludf.DUMMYFUNCTION("""COMPUTED_VALUE"""),2)</f>
        <v>2</v>
      </c>
      <c r="G980" s="1" t="str">
        <f ca="1">IFERROR(__xludf.DUMMYFUNCTION("""COMPUTED_VALUE"""),"DRE PARAUAPEBAS")</f>
        <v>DRE PARAUAPEBAS</v>
      </c>
      <c r="H980" s="1" t="str">
        <f ca="1">IFERROR(__xludf.DUMMYFUNCTION("""COMPUTED_VALUE"""),"21A URE - PARAUAPEBAS")</f>
        <v>21A URE - PARAUAPEBAS</v>
      </c>
      <c r="I980" s="1"/>
      <c r="J980" s="1" t="str">
        <f ca="1">IFERROR(__xludf.DUMMYFUNCTION("""COMPUTED_VALUE"""),"PARAUAPEBAS")</f>
        <v>PARAUAPEBAS</v>
      </c>
      <c r="K980" s="1">
        <f ca="1">IFERROR(__xludf.DUMMYFUNCTION("""COMPUTED_VALUE"""),15167747)</f>
        <v>15167747</v>
      </c>
      <c r="L980" s="2" t="str">
        <f ca="1">IFERROR(__xludf.DUMMYFUNCTION("""COMPUTED_VALUE"""),"001920929990000")</f>
        <v>001920929990000</v>
      </c>
      <c r="M980" s="2" t="str">
        <f ca="1">IFERROR(__xludf.DUMMYFUNCTION("""COMPUTED_VALUE"""),"1920929990000")</f>
        <v>1920929990000</v>
      </c>
      <c r="N980" s="1" t="str">
        <f ca="1">IFERROR(__xludf.DUMMYFUNCTION("""COMPUTED_VALUE"""),"EEEM FARUK SALMEN")</f>
        <v>EEEM FARUK SALMEN</v>
      </c>
      <c r="O980" s="1"/>
      <c r="P980" s="1"/>
      <c r="Q980" s="1" t="s">
        <v>977</v>
      </c>
    </row>
    <row r="981" spans="1:17" x14ac:dyDescent="0.25">
      <c r="A981" s="2" t="str">
        <f ca="1">IFERROR(__xludf.DUMMYFUNCTION("""COMPUTED_VALUE"""),"REG DE INTEGRA DO CARAJAS")</f>
        <v>REG DE INTEGRA DO CARAJAS</v>
      </c>
      <c r="B981" s="1" t="str">
        <f ca="1">IFERROR(__xludf.DUMMYFUNCTION("""COMPUTED_VALUE"""),"DRE PARAUAPEBAS")</f>
        <v>DRE PARAUAPEBAS</v>
      </c>
      <c r="C981" s="2" t="str">
        <f ca="1">IFERROR(__xludf.DUMMYFUNCTION("""COMPUTED_VALUE"""),"DRE - PARAUAPEBAS")</f>
        <v>DRE - PARAUAPEBAS</v>
      </c>
      <c r="D981" s="1"/>
      <c r="E981" s="2" t="str">
        <f ca="1">IFERROR(__xludf.DUMMYFUNCTION("""COMPUTED_VALUE"""),"DRE - PARAUAPEBAS")</f>
        <v>DRE - PARAUAPEBAS</v>
      </c>
      <c r="F981" s="1">
        <f ca="1">IFERROR(__xludf.DUMMYFUNCTION("""COMPUTED_VALUE"""),2)</f>
        <v>2</v>
      </c>
      <c r="G981" s="1" t="str">
        <f ca="1">IFERROR(__xludf.DUMMYFUNCTION("""COMPUTED_VALUE"""),"DRE PARAUAPEBAS")</f>
        <v>DRE PARAUAPEBAS</v>
      </c>
      <c r="H981" s="1" t="str">
        <f ca="1">IFERROR(__xludf.DUMMYFUNCTION("""COMPUTED_VALUE"""),"21A URE - PARAUAPEBAS")</f>
        <v>21A URE - PARAUAPEBAS</v>
      </c>
      <c r="I981" s="1"/>
      <c r="J981" s="1" t="str">
        <f ca="1">IFERROR(__xludf.DUMMYFUNCTION("""COMPUTED_VALUE"""),"PARAUAPEBAS")</f>
        <v>PARAUAPEBAS</v>
      </c>
      <c r="K981" s="1">
        <f ca="1">IFERROR(__xludf.DUMMYFUNCTION("""COMPUTED_VALUE"""),15125440)</f>
        <v>15125440</v>
      </c>
      <c r="L981" s="2" t="str">
        <f ca="1">IFERROR(__xludf.DUMMYFUNCTION("""COMPUTED_VALUE"""),"001920911830000")</f>
        <v>001920911830000</v>
      </c>
      <c r="M981" s="2" t="str">
        <f ca="1">IFERROR(__xludf.DUMMYFUNCTION("""COMPUTED_VALUE"""),"1920911830000")</f>
        <v>1920911830000</v>
      </c>
      <c r="N981" s="1" t="str">
        <f ca="1">IFERROR(__xludf.DUMMYFUNCTION("""COMPUTED_VALUE"""),"EEEM GEN EUCLYDES FIGUEIREDO")</f>
        <v>EEEM GEN EUCLYDES FIGUEIREDO</v>
      </c>
      <c r="O981" s="1"/>
      <c r="P981" s="1"/>
      <c r="Q981" s="1" t="s">
        <v>977</v>
      </c>
    </row>
    <row r="982" spans="1:17" x14ac:dyDescent="0.25">
      <c r="A982" s="2" t="str">
        <f ca="1">IFERROR(__xludf.DUMMYFUNCTION("""COMPUTED_VALUE"""),"REG DE INTEGRA DO CARAJAS")</f>
        <v>REG DE INTEGRA DO CARAJAS</v>
      </c>
      <c r="B982" s="1" t="str">
        <f ca="1">IFERROR(__xludf.DUMMYFUNCTION("""COMPUTED_VALUE"""),"DRE PARAUAPEBAS")</f>
        <v>DRE PARAUAPEBAS</v>
      </c>
      <c r="C982" s="2" t="str">
        <f ca="1">IFERROR(__xludf.DUMMYFUNCTION("""COMPUTED_VALUE"""),"DRE - PARAUAPEBAS")</f>
        <v>DRE - PARAUAPEBAS</v>
      </c>
      <c r="D982" s="1"/>
      <c r="E982" s="2" t="str">
        <f ca="1">IFERROR(__xludf.DUMMYFUNCTION("""COMPUTED_VALUE"""),"DRE - PARAUAPEBAS")</f>
        <v>DRE - PARAUAPEBAS</v>
      </c>
      <c r="F982" s="1">
        <f ca="1">IFERROR(__xludf.DUMMYFUNCTION("""COMPUTED_VALUE"""),2)</f>
        <v>2</v>
      </c>
      <c r="G982" s="1" t="str">
        <f ca="1">IFERROR(__xludf.DUMMYFUNCTION("""COMPUTED_VALUE"""),"DRE PARAUAPEBAS")</f>
        <v>DRE PARAUAPEBAS</v>
      </c>
      <c r="H982" s="1" t="str">
        <f ca="1">IFERROR(__xludf.DUMMYFUNCTION("""COMPUTED_VALUE"""),"21A URE - PARAUAPEBAS")</f>
        <v>21A URE - PARAUAPEBAS</v>
      </c>
      <c r="I982" s="1"/>
      <c r="J982" s="1" t="str">
        <f ca="1">IFERROR(__xludf.DUMMYFUNCTION("""COMPUTED_VALUE"""),"PARAUAPEBAS")</f>
        <v>PARAUAPEBAS</v>
      </c>
      <c r="K982" s="1">
        <f ca="1">IFERROR(__xludf.DUMMYFUNCTION("""COMPUTED_VALUE"""),15553558)</f>
        <v>15553558</v>
      </c>
      <c r="L982" s="2" t="str">
        <f ca="1">IFERROR(__xludf.DUMMYFUNCTION("""COMPUTED_VALUE"""),"001920939000000")</f>
        <v>001920939000000</v>
      </c>
      <c r="M982" s="2" t="str">
        <f ca="1">IFERROR(__xludf.DUMMYFUNCTION("""COMPUTED_VALUE"""),"1920939000000")</f>
        <v>1920939000000</v>
      </c>
      <c r="N982" s="1" t="str">
        <f ca="1">IFERROR(__xludf.DUMMYFUNCTION("""COMPUTED_VALUE"""),"EEEM GONCALVES DIAS")</f>
        <v>EEEM GONCALVES DIAS</v>
      </c>
      <c r="O982" s="1"/>
      <c r="P982" s="1"/>
      <c r="Q982" s="1" t="s">
        <v>977</v>
      </c>
    </row>
    <row r="983" spans="1:17" x14ac:dyDescent="0.25">
      <c r="A983" s="2" t="str">
        <f ca="1">IFERROR(__xludf.DUMMYFUNCTION("""COMPUTED_VALUE"""),"REG DE INTEGRA DO CARAJAS")</f>
        <v>REG DE INTEGRA DO CARAJAS</v>
      </c>
      <c r="B983" s="1" t="str">
        <f ca="1">IFERROR(__xludf.DUMMYFUNCTION("""COMPUTED_VALUE"""),"DRE PARAUAPEBAS")</f>
        <v>DRE PARAUAPEBAS</v>
      </c>
      <c r="C983" s="2" t="str">
        <f ca="1">IFERROR(__xludf.DUMMYFUNCTION("""COMPUTED_VALUE"""),"DRE - PARAUAPEBAS")</f>
        <v>DRE - PARAUAPEBAS</v>
      </c>
      <c r="D983" s="1"/>
      <c r="E983" s="2" t="str">
        <f ca="1">IFERROR(__xludf.DUMMYFUNCTION("""COMPUTED_VALUE"""),"DRE - PARAUAPEBAS")</f>
        <v>DRE - PARAUAPEBAS</v>
      </c>
      <c r="F983" s="1">
        <f ca="1">IFERROR(__xludf.DUMMYFUNCTION("""COMPUTED_VALUE"""),2)</f>
        <v>2</v>
      </c>
      <c r="G983" s="1" t="str">
        <f ca="1">IFERROR(__xludf.DUMMYFUNCTION("""COMPUTED_VALUE"""),"DRE PARAUAPEBAS")</f>
        <v>DRE PARAUAPEBAS</v>
      </c>
      <c r="H983" s="1" t="str">
        <f ca="1">IFERROR(__xludf.DUMMYFUNCTION("""COMPUTED_VALUE"""),"21A URE - PARAUAPEBAS")</f>
        <v>21A URE - PARAUAPEBAS</v>
      </c>
      <c r="I983" s="1"/>
      <c r="J983" s="1" t="str">
        <f ca="1">IFERROR(__xludf.DUMMYFUNCTION("""COMPUTED_VALUE"""),"PARAUAPEBAS")</f>
        <v>PARAUAPEBAS</v>
      </c>
      <c r="K983" s="1">
        <f ca="1">IFERROR(__xludf.DUMMYFUNCTION("""COMPUTED_VALUE"""),15526240)</f>
        <v>15526240</v>
      </c>
      <c r="L983" s="2" t="str">
        <f ca="1">IFERROR(__xludf.DUMMYFUNCTION("""COMPUTED_VALUE"""),"001920929250000")</f>
        <v>001920929250000</v>
      </c>
      <c r="M983" s="2" t="str">
        <f ca="1">IFERROR(__xludf.DUMMYFUNCTION("""COMPUTED_VALUE"""),"1920929250000")</f>
        <v>1920929250000</v>
      </c>
      <c r="N983" s="1" t="str">
        <f ca="1">IFERROR(__xludf.DUMMYFUNCTION("""COMPUTED_VALUE"""),"EEEM IRMA DULCE")</f>
        <v>EEEM IRMA DULCE</v>
      </c>
      <c r="O983" s="1"/>
      <c r="P983" s="1"/>
      <c r="Q983" s="1" t="s">
        <v>977</v>
      </c>
    </row>
    <row r="984" spans="1:17" x14ac:dyDescent="0.25">
      <c r="A984" s="2" t="str">
        <f ca="1">IFERROR(__xludf.DUMMYFUNCTION("""COMPUTED_VALUE"""),"REG DE INTEGRA DO CARAJAS")</f>
        <v>REG DE INTEGRA DO CARAJAS</v>
      </c>
      <c r="B984" s="1" t="str">
        <f ca="1">IFERROR(__xludf.DUMMYFUNCTION("""COMPUTED_VALUE"""),"DRE PARAUAPEBAS")</f>
        <v>DRE PARAUAPEBAS</v>
      </c>
      <c r="C984" s="2" t="str">
        <f ca="1">IFERROR(__xludf.DUMMYFUNCTION("""COMPUTED_VALUE"""),"DRE - PARAUAPEBAS")</f>
        <v>DRE - PARAUAPEBAS</v>
      </c>
      <c r="D984" s="1"/>
      <c r="E984" s="2" t="str">
        <f ca="1">IFERROR(__xludf.DUMMYFUNCTION("""COMPUTED_VALUE"""),"DRE - PARAUAPEBAS")</f>
        <v>DRE - PARAUAPEBAS</v>
      </c>
      <c r="F984" s="1">
        <f ca="1">IFERROR(__xludf.DUMMYFUNCTION("""COMPUTED_VALUE"""),2)</f>
        <v>2</v>
      </c>
      <c r="G984" s="1" t="str">
        <f ca="1">IFERROR(__xludf.DUMMYFUNCTION("""COMPUTED_VALUE"""),"DRE PARAUAPEBAS")</f>
        <v>DRE PARAUAPEBAS</v>
      </c>
      <c r="H984" s="1" t="str">
        <f ca="1">IFERROR(__xludf.DUMMYFUNCTION("""COMPUTED_VALUE"""),"21A URE - PARAUAPEBAS")</f>
        <v>21A URE - PARAUAPEBAS</v>
      </c>
      <c r="I984" s="1"/>
      <c r="J984" s="1" t="str">
        <f ca="1">IFERROR(__xludf.DUMMYFUNCTION("""COMPUTED_VALUE"""),"PARAUAPEBAS")</f>
        <v>PARAUAPEBAS</v>
      </c>
      <c r="K984" s="1">
        <f ca="1">IFERROR(__xludf.DUMMYFUNCTION("""COMPUTED_VALUE"""),15167453)</f>
        <v>15167453</v>
      </c>
      <c r="L984" s="2" t="str">
        <f ca="1">IFERROR(__xludf.DUMMYFUNCTION("""COMPUTED_VALUE"""),"001920936380000")</f>
        <v>001920936380000</v>
      </c>
      <c r="M984" s="2" t="str">
        <f ca="1">IFERROR(__xludf.DUMMYFUNCTION("""COMPUTED_VALUE"""),"1920936380000")</f>
        <v>1920936380000</v>
      </c>
      <c r="N984" s="1" t="str">
        <f ca="1">IFERROR(__xludf.DUMMYFUNCTION("""COMPUTED_VALUE"""),"EEEM JANELAS PARA O MUNDO")</f>
        <v>EEEM JANELAS PARA O MUNDO</v>
      </c>
      <c r="O984" s="1"/>
      <c r="P984" s="1"/>
      <c r="Q984" s="1" t="s">
        <v>977</v>
      </c>
    </row>
    <row r="985" spans="1:17" x14ac:dyDescent="0.25">
      <c r="A985" s="2" t="str">
        <f ca="1">IFERROR(__xludf.DUMMYFUNCTION("""COMPUTED_VALUE"""),"REG DE INTEGRA DO CARAJAS")</f>
        <v>REG DE INTEGRA DO CARAJAS</v>
      </c>
      <c r="B985" s="1" t="str">
        <f ca="1">IFERROR(__xludf.DUMMYFUNCTION("""COMPUTED_VALUE"""),"DRE PARAUAPEBAS")</f>
        <v>DRE PARAUAPEBAS</v>
      </c>
      <c r="C985" s="2" t="str">
        <f ca="1">IFERROR(__xludf.DUMMYFUNCTION("""COMPUTED_VALUE"""),"DRE - PARAUAPEBAS")</f>
        <v>DRE - PARAUAPEBAS</v>
      </c>
      <c r="D985" s="1"/>
      <c r="E985" s="2" t="str">
        <f ca="1">IFERROR(__xludf.DUMMYFUNCTION("""COMPUTED_VALUE"""),"DRE - PARAUAPEBAS")</f>
        <v>DRE - PARAUAPEBAS</v>
      </c>
      <c r="F985" s="1">
        <f ca="1">IFERROR(__xludf.DUMMYFUNCTION("""COMPUTED_VALUE"""),2)</f>
        <v>2</v>
      </c>
      <c r="G985" s="1" t="str">
        <f ca="1">IFERROR(__xludf.DUMMYFUNCTION("""COMPUTED_VALUE"""),"DRE PARAUAPEBAS")</f>
        <v>DRE PARAUAPEBAS</v>
      </c>
      <c r="H985" s="1" t="str">
        <f ca="1">IFERROR(__xludf.DUMMYFUNCTION("""COMPUTED_VALUE"""),"21A URE - PARAUAPEBAS")</f>
        <v>21A URE - PARAUAPEBAS</v>
      </c>
      <c r="I985" s="1"/>
      <c r="J985" s="1" t="str">
        <f ca="1">IFERROR(__xludf.DUMMYFUNCTION("""COMPUTED_VALUE"""),"PARAUAPEBAS")</f>
        <v>PARAUAPEBAS</v>
      </c>
      <c r="K985" s="1">
        <f ca="1">IFERROR(__xludf.DUMMYFUNCTION("""COMPUTED_VALUE"""),15167453)</f>
        <v>15167453</v>
      </c>
      <c r="L985" s="2" t="str">
        <f ca="1">IFERROR(__xludf.DUMMYFUNCTION("""COMPUTED_VALUE"""),"001920936380000")</f>
        <v>001920936380000</v>
      </c>
      <c r="M985" s="2" t="str">
        <f ca="1">IFERROR(__xludf.DUMMYFUNCTION("""COMPUTED_VALUE"""),"1920936380000")</f>
        <v>1920936380000</v>
      </c>
      <c r="N985" s="1" t="str">
        <f ca="1">IFERROR(__xludf.DUMMYFUNCTION("""COMPUTED_VALUE"""),"EEEM JANELAS PARA O MUNDO")</f>
        <v>EEEM JANELAS PARA O MUNDO</v>
      </c>
      <c r="O985" s="1"/>
      <c r="P985" s="1"/>
      <c r="Q985" s="1" t="s">
        <v>977</v>
      </c>
    </row>
    <row r="986" spans="1:17" x14ac:dyDescent="0.25">
      <c r="A986" s="2" t="str">
        <f ca="1">IFERROR(__xludf.DUMMYFUNCTION("""COMPUTED_VALUE"""),"REG DE INTEGRA DO CARAJAS")</f>
        <v>REG DE INTEGRA DO CARAJAS</v>
      </c>
      <c r="B986" s="1" t="str">
        <f ca="1">IFERROR(__xludf.DUMMYFUNCTION("""COMPUTED_VALUE"""),"DRE PARAUAPEBAS")</f>
        <v>DRE PARAUAPEBAS</v>
      </c>
      <c r="C986" s="2" t="str">
        <f ca="1">IFERROR(__xludf.DUMMYFUNCTION("""COMPUTED_VALUE"""),"DRE - PARAUAPEBAS")</f>
        <v>DRE - PARAUAPEBAS</v>
      </c>
      <c r="D986" s="1"/>
      <c r="E986" s="2" t="str">
        <f ca="1">IFERROR(__xludf.DUMMYFUNCTION("""COMPUTED_VALUE"""),"DRE - PARAUAPEBAS")</f>
        <v>DRE - PARAUAPEBAS</v>
      </c>
      <c r="F986" s="1">
        <f ca="1">IFERROR(__xludf.DUMMYFUNCTION("""COMPUTED_VALUE"""),2)</f>
        <v>2</v>
      </c>
      <c r="G986" s="1" t="str">
        <f ca="1">IFERROR(__xludf.DUMMYFUNCTION("""COMPUTED_VALUE"""),"DRE PARAUAPEBAS")</f>
        <v>DRE PARAUAPEBAS</v>
      </c>
      <c r="H986" s="1" t="str">
        <f ca="1">IFERROR(__xludf.DUMMYFUNCTION("""COMPUTED_VALUE"""),"21A URE - PARAUAPEBAS")</f>
        <v>21A URE - PARAUAPEBAS</v>
      </c>
      <c r="I986" s="1"/>
      <c r="J986" s="1" t="str">
        <f ca="1">IFERROR(__xludf.DUMMYFUNCTION("""COMPUTED_VALUE"""),"PARAUAPEBAS")</f>
        <v>PARAUAPEBAS</v>
      </c>
      <c r="K986" s="1">
        <f ca="1">IFERROR(__xludf.DUMMYFUNCTION("""COMPUTED_VALUE"""),15212807)</f>
        <v>15212807</v>
      </c>
      <c r="L986" s="2" t="str">
        <f ca="1">IFERROR(__xludf.DUMMYFUNCTION("""COMPUTED_VALUE"""),"001920936970000")</f>
        <v>001920936970000</v>
      </c>
      <c r="M986" s="2" t="str">
        <f ca="1">IFERROR(__xludf.DUMMYFUNCTION("""COMPUTED_VALUE"""),"1920936970000")</f>
        <v>1920936970000</v>
      </c>
      <c r="N986" s="1" t="str">
        <f ca="1">IFERROR(__xludf.DUMMYFUNCTION("""COMPUTED_VALUE"""),"EEEM JOAO PRUDENCIO DE BRITO")</f>
        <v>EEEM JOAO PRUDENCIO DE BRITO</v>
      </c>
      <c r="O986" s="1"/>
      <c r="P986" s="1"/>
      <c r="Q986" s="1" t="s">
        <v>977</v>
      </c>
    </row>
    <row r="987" spans="1:17" x14ac:dyDescent="0.25">
      <c r="A987" s="2" t="str">
        <f ca="1">IFERROR(__xludf.DUMMYFUNCTION("""COMPUTED_VALUE"""),"REG DE INTEGRA DO CARAJAS")</f>
        <v>REG DE INTEGRA DO CARAJAS</v>
      </c>
      <c r="B987" s="1" t="str">
        <f ca="1">IFERROR(__xludf.DUMMYFUNCTION("""COMPUTED_VALUE"""),"DRE PARAUAPEBAS")</f>
        <v>DRE PARAUAPEBAS</v>
      </c>
      <c r="C987" s="2" t="str">
        <f ca="1">IFERROR(__xludf.DUMMYFUNCTION("""COMPUTED_VALUE"""),"DRE - PARAUAPEBAS")</f>
        <v>DRE - PARAUAPEBAS</v>
      </c>
      <c r="D987" s="1"/>
      <c r="E987" s="2" t="str">
        <f ca="1">IFERROR(__xludf.DUMMYFUNCTION("""COMPUTED_VALUE"""),"DRE - PARAUAPEBAS")</f>
        <v>DRE - PARAUAPEBAS</v>
      </c>
      <c r="F987" s="1">
        <f ca="1">IFERROR(__xludf.DUMMYFUNCTION("""COMPUTED_VALUE"""),2)</f>
        <v>2</v>
      </c>
      <c r="G987" s="1" t="str">
        <f ca="1">IFERROR(__xludf.DUMMYFUNCTION("""COMPUTED_VALUE"""),"DRE PARAUAPEBAS")</f>
        <v>DRE PARAUAPEBAS</v>
      </c>
      <c r="H987" s="1" t="str">
        <f ca="1">IFERROR(__xludf.DUMMYFUNCTION("""COMPUTED_VALUE"""),"21A URE - PARAUAPEBAS")</f>
        <v>21A URE - PARAUAPEBAS</v>
      </c>
      <c r="I987" s="1"/>
      <c r="J987" s="1" t="str">
        <f ca="1">IFERROR(__xludf.DUMMYFUNCTION("""COMPUTED_VALUE"""),"PARAUAPEBAS")</f>
        <v>PARAUAPEBAS</v>
      </c>
      <c r="K987" s="1">
        <f ca="1">IFERROR(__xludf.DUMMYFUNCTION("""COMPUTED_VALUE"""),15166694)</f>
        <v>15166694</v>
      </c>
      <c r="L987" s="2" t="str">
        <f ca="1">IFERROR(__xludf.DUMMYFUNCTION("""COMPUTED_VALUE"""),"001920937880000")</f>
        <v>001920937880000</v>
      </c>
      <c r="M987" s="2" t="str">
        <f ca="1">IFERROR(__xludf.DUMMYFUNCTION("""COMPUTED_VALUE"""),"1920937880000")</f>
        <v>1920937880000</v>
      </c>
      <c r="N987" s="1" t="str">
        <f ca="1">IFERROR(__xludf.DUMMYFUNCTION("""COMPUTED_VALUE"""),"EEEM PAULO FREIRE")</f>
        <v>EEEM PAULO FREIRE</v>
      </c>
      <c r="O987" s="1"/>
      <c r="P987" s="1"/>
      <c r="Q987" s="1" t="s">
        <v>977</v>
      </c>
    </row>
    <row r="988" spans="1:17" x14ac:dyDescent="0.25">
      <c r="A988" s="2" t="str">
        <f ca="1">IFERROR(__xludf.DUMMYFUNCTION("""COMPUTED_VALUE"""),"REG DE INTEGRA DO CARAJAS")</f>
        <v>REG DE INTEGRA DO CARAJAS</v>
      </c>
      <c r="B988" s="1" t="str">
        <f ca="1">IFERROR(__xludf.DUMMYFUNCTION("""COMPUTED_VALUE"""),"DRE PARAUAPEBAS")</f>
        <v>DRE PARAUAPEBAS</v>
      </c>
      <c r="C988" s="2" t="str">
        <f ca="1">IFERROR(__xludf.DUMMYFUNCTION("""COMPUTED_VALUE"""),"DRE - PARAUAPEBAS")</f>
        <v>DRE - PARAUAPEBAS</v>
      </c>
      <c r="D988" s="1"/>
      <c r="E988" s="2" t="str">
        <f ca="1">IFERROR(__xludf.DUMMYFUNCTION("""COMPUTED_VALUE"""),"DRE - PARAUAPEBAS")</f>
        <v>DRE - PARAUAPEBAS</v>
      </c>
      <c r="F988" s="1">
        <f ca="1">IFERROR(__xludf.DUMMYFUNCTION("""COMPUTED_VALUE"""),2)</f>
        <v>2</v>
      </c>
      <c r="G988" s="1" t="str">
        <f ca="1">IFERROR(__xludf.DUMMYFUNCTION("""COMPUTED_VALUE"""),"DRE PARAUAPEBAS")</f>
        <v>DRE PARAUAPEBAS</v>
      </c>
      <c r="H988" s="1" t="str">
        <f ca="1">IFERROR(__xludf.DUMMYFUNCTION("""COMPUTED_VALUE"""),"21A URE - PARAUAPEBAS")</f>
        <v>21A URE - PARAUAPEBAS</v>
      </c>
      <c r="I988" s="1"/>
      <c r="J988" s="1" t="str">
        <f ca="1">IFERROR(__xludf.DUMMYFUNCTION("""COMPUTED_VALUE"""),"PARAUAPEBAS")</f>
        <v>PARAUAPEBAS</v>
      </c>
      <c r="K988" s="1">
        <f ca="1">IFERROR(__xludf.DUMMYFUNCTION("""COMPUTED_VALUE"""),15584046)</f>
        <v>15584046</v>
      </c>
      <c r="L988" s="2" t="str">
        <f ca="1">IFERROR(__xludf.DUMMYFUNCTION("""COMPUTED_VALUE"""),"001920937010000")</f>
        <v>001920937010000</v>
      </c>
      <c r="M988" s="2" t="str">
        <f ca="1">IFERROR(__xludf.DUMMYFUNCTION("""COMPUTED_VALUE"""),"1920937010000")</f>
        <v>1920937010000</v>
      </c>
      <c r="N988" s="1" t="str">
        <f ca="1">IFERROR(__xludf.DUMMYFUNCTION("""COMPUTED_VALUE"""),"EEEM PROFA MARLUCE MASSARIOL DE SOUZA")</f>
        <v>EEEM PROFA MARLUCE MASSARIOL DE SOUZA</v>
      </c>
      <c r="O988" s="1"/>
      <c r="P988" s="1"/>
      <c r="Q988" s="1" t="s">
        <v>977</v>
      </c>
    </row>
    <row r="989" spans="1:17" x14ac:dyDescent="0.25">
      <c r="A989" s="2" t="str">
        <f ca="1">IFERROR(__xludf.DUMMYFUNCTION("""COMPUTED_VALUE"""),"REG DE INTEGRA DO CARAJAS")</f>
        <v>REG DE INTEGRA DO CARAJAS</v>
      </c>
      <c r="B989" s="1" t="str">
        <f ca="1">IFERROR(__xludf.DUMMYFUNCTION("""COMPUTED_VALUE"""),"DRE PARAUAPEBAS")</f>
        <v>DRE PARAUAPEBAS</v>
      </c>
      <c r="C989" s="2" t="str">
        <f ca="1">IFERROR(__xludf.DUMMYFUNCTION("""COMPUTED_VALUE"""),"DRE - PARAUAPEBAS")</f>
        <v>DRE - PARAUAPEBAS</v>
      </c>
      <c r="D989" s="1"/>
      <c r="E989" s="2" t="str">
        <f ca="1">IFERROR(__xludf.DUMMYFUNCTION("""COMPUTED_VALUE"""),"DRE - PARAUAPEBAS")</f>
        <v>DRE - PARAUAPEBAS</v>
      </c>
      <c r="F989" s="1">
        <f ca="1">IFERROR(__xludf.DUMMYFUNCTION("""COMPUTED_VALUE"""),2)</f>
        <v>2</v>
      </c>
      <c r="G989" s="1" t="str">
        <f ca="1">IFERROR(__xludf.DUMMYFUNCTION("""COMPUTED_VALUE"""),"DRE PARAUAPEBAS")</f>
        <v>DRE PARAUAPEBAS</v>
      </c>
      <c r="H989" s="1" t="str">
        <f ca="1">IFERROR(__xludf.DUMMYFUNCTION("""COMPUTED_VALUE"""),"21A URE - PARAUAPEBAS")</f>
        <v>21A URE - PARAUAPEBAS</v>
      </c>
      <c r="I989" s="1"/>
      <c r="J989" s="1" t="str">
        <f ca="1">IFERROR(__xludf.DUMMYFUNCTION("""COMPUTED_VALUE"""),"PARAUAPEBAS")</f>
        <v>PARAUAPEBAS</v>
      </c>
      <c r="K989" s="1">
        <f ca="1">IFERROR(__xludf.DUMMYFUNCTION("""COMPUTED_VALUE"""),15165957)</f>
        <v>15165957</v>
      </c>
      <c r="L989" s="2" t="str">
        <f ca="1">IFERROR(__xludf.DUMMYFUNCTION("""COMPUTED_VALUE"""),"001920937920000")</f>
        <v>001920937920000</v>
      </c>
      <c r="M989" s="2" t="str">
        <f ca="1">IFERROR(__xludf.DUMMYFUNCTION("""COMPUTED_VALUE"""),"1920937920000")</f>
        <v>1920937920000</v>
      </c>
      <c r="N989" s="1" t="str">
        <f ca="1">IFERROR(__xludf.DUMMYFUNCTION("""COMPUTED_VALUE"""),"EEEM PROFESSOR LUIS MAGNO ARAUJO")</f>
        <v>EEEM PROFESSOR LUIS MAGNO ARAUJO</v>
      </c>
      <c r="O989" s="1"/>
      <c r="P989" s="1"/>
      <c r="Q989" s="1" t="s">
        <v>977</v>
      </c>
    </row>
    <row r="990" spans="1:17" x14ac:dyDescent="0.25">
      <c r="A990" s="2" t="str">
        <f ca="1">IFERROR(__xludf.DUMMYFUNCTION("""COMPUTED_VALUE"""),"REG DE INTEGRA DO CARAJAS")</f>
        <v>REG DE INTEGRA DO CARAJAS</v>
      </c>
      <c r="B990" s="1" t="str">
        <f ca="1">IFERROR(__xludf.DUMMYFUNCTION("""COMPUTED_VALUE"""),"DRE PARAUAPEBAS")</f>
        <v>DRE PARAUAPEBAS</v>
      </c>
      <c r="C990" s="2" t="str">
        <f ca="1">IFERROR(__xludf.DUMMYFUNCTION("""COMPUTED_VALUE"""),"DRE - PARAUAPEBAS")</f>
        <v>DRE - PARAUAPEBAS</v>
      </c>
      <c r="D990" s="1"/>
      <c r="E990" s="2" t="str">
        <f ca="1">IFERROR(__xludf.DUMMYFUNCTION("""COMPUTED_VALUE"""),"DRE - PARAUAPEBAS")</f>
        <v>DRE - PARAUAPEBAS</v>
      </c>
      <c r="F990" s="1">
        <f ca="1">IFERROR(__xludf.DUMMYFUNCTION("""COMPUTED_VALUE"""),2)</f>
        <v>2</v>
      </c>
      <c r="G990" s="1" t="str">
        <f ca="1">IFERROR(__xludf.DUMMYFUNCTION("""COMPUTED_VALUE"""),"DRE PARAUAPEBAS")</f>
        <v>DRE PARAUAPEBAS</v>
      </c>
      <c r="H990" s="1" t="str">
        <f ca="1">IFERROR(__xludf.DUMMYFUNCTION("""COMPUTED_VALUE"""),"21A URE - PARAUAPEBAS")</f>
        <v>21A URE - PARAUAPEBAS</v>
      </c>
      <c r="I990" s="1"/>
      <c r="J990" s="1" t="str">
        <f ca="1">IFERROR(__xludf.DUMMYFUNCTION("""COMPUTED_VALUE"""),"PARAUAPEBAS")</f>
        <v>PARAUAPEBAS</v>
      </c>
      <c r="K990" s="1"/>
      <c r="L990" s="2" t="str">
        <f ca="1">IFERROR(__xludf.DUMMYFUNCTION("""COMPUTED_VALUE"""),"001920954000000")</f>
        <v>001920954000000</v>
      </c>
      <c r="M990" s="2" t="str">
        <f ca="1">IFERROR(__xludf.DUMMYFUNCTION("""COMPUTED_VALUE"""),"1920954000000")</f>
        <v>1920954000000</v>
      </c>
      <c r="N990" s="1" t="str">
        <f ca="1">IFERROR(__xludf.DUMMYFUNCTION("""COMPUTED_VALUE"""),"ESCOLA ESTADUAL DE ENSINO MEDIO PROFESSOR SERAFIM FERNANDES DA SILVA")</f>
        <v>ESCOLA ESTADUAL DE ENSINO MEDIO PROFESSOR SERAFIM FERNANDES DA SILVA</v>
      </c>
      <c r="O990" s="1"/>
      <c r="P990" s="1"/>
      <c r="Q990" s="1" t="s">
        <v>977</v>
      </c>
    </row>
    <row r="991" spans="1:17" x14ac:dyDescent="0.25">
      <c r="A991" s="2" t="str">
        <f ca="1">IFERROR(__xludf.DUMMYFUNCTION("""COMPUTED_VALUE"""),"REG DE INTEGRA DO CARAJAS")</f>
        <v>REG DE INTEGRA DO CARAJAS</v>
      </c>
      <c r="B991" s="1" t="str">
        <f ca="1">IFERROR(__xludf.DUMMYFUNCTION("""COMPUTED_VALUE"""),"DRE PARAUAPEBAS")</f>
        <v>DRE PARAUAPEBAS</v>
      </c>
      <c r="C991" s="2" t="str">
        <f ca="1">IFERROR(__xludf.DUMMYFUNCTION("""COMPUTED_VALUE"""),"DRE - PARAUAPEBAS")</f>
        <v>DRE - PARAUAPEBAS</v>
      </c>
      <c r="D991" s="1"/>
      <c r="E991" s="2" t="str">
        <f ca="1">IFERROR(__xludf.DUMMYFUNCTION("""COMPUTED_VALUE"""),"DRE - PARAUAPEBAS")</f>
        <v>DRE - PARAUAPEBAS</v>
      </c>
      <c r="F991" s="1"/>
      <c r="G991" s="1"/>
      <c r="H991" s="1" t="str">
        <f ca="1">IFERROR(__xludf.DUMMYFUNCTION("""COMPUTED_VALUE"""),"21A URE - PARAUAPEBAS")</f>
        <v>21A URE - PARAUAPEBAS</v>
      </c>
      <c r="I991" s="1"/>
      <c r="J991" s="1" t="str">
        <f ca="1">IFERROR(__xludf.DUMMYFUNCTION("""COMPUTED_VALUE"""),"PARAUAPEBAS")</f>
        <v>PARAUAPEBAS</v>
      </c>
      <c r="K991" s="1"/>
      <c r="L991" s="2" t="str">
        <f ca="1">IFERROR(__xludf.DUMMYFUNCTION("""COMPUTED_VALUE"""),"001921053000000")</f>
        <v>001921053000000</v>
      </c>
      <c r="M991" s="2" t="str">
        <f ca="1">IFERROR(__xludf.DUMMYFUNCTION("""COMPUTED_VALUE"""),"1921053000000")</f>
        <v>1921053000000</v>
      </c>
      <c r="N991" s="1" t="str">
        <f ca="1">IFERROR(__xludf.DUMMYFUNCTION("""COMPUTED_VALUE"""),"ESCOLA ESTADUAL RURAL DE PARAUAPEBAS")</f>
        <v>ESCOLA ESTADUAL RURAL DE PARAUAPEBAS</v>
      </c>
      <c r="O991" s="1"/>
      <c r="P991" s="1"/>
      <c r="Q991" s="1" t="s">
        <v>977</v>
      </c>
    </row>
    <row r="992" spans="1:17" x14ac:dyDescent="0.25">
      <c r="A992" s="2" t="str">
        <f ca="1">IFERROR(__xludf.DUMMYFUNCTION("""COMPUTED_VALUE"""),"REG DE INTEGRA  METROPOLITANA")</f>
        <v>REG DE INTEGRA  METROPOLITANA</v>
      </c>
      <c r="B992" s="1" t="str">
        <f ca="1">IFERROR(__xludf.DUMMYFUNCTION("""COMPUTED_VALUE"""),"DRE SANTA BARBARA")</f>
        <v>DRE SANTA BARBARA</v>
      </c>
      <c r="C992" s="2" t="str">
        <f ca="1">IFERROR(__xludf.DUMMYFUNCTION("""COMPUTED_VALUE"""),"DRE - SANTA BARBARA")</f>
        <v>DRE - SANTA BARBARA</v>
      </c>
      <c r="D992" s="1"/>
      <c r="E992" s="2" t="str">
        <f ca="1">IFERROR(__xludf.DUMMYFUNCTION("""COMPUTED_VALUE"""),"DRE - SANTA BARBARA")</f>
        <v>DRE - SANTA BARBARA</v>
      </c>
      <c r="F992" s="1">
        <f ca="1">IFERROR(__xludf.DUMMYFUNCTION("""COMPUTED_VALUE"""),1)</f>
        <v>1</v>
      </c>
      <c r="G992" s="1" t="str">
        <f ca="1">IFERROR(__xludf.DUMMYFUNCTION("""COMPUTED_VALUE"""),"DRE SANTA BARBARA")</f>
        <v>DRE SANTA BARBARA</v>
      </c>
      <c r="H992" s="1" t="str">
        <f ca="1">IFERROR(__xludf.DUMMYFUNCTION("""COMPUTED_VALUE"""),"19A URE - BELEM")</f>
        <v>19A URE - BELEM</v>
      </c>
      <c r="I992" s="2" t="str">
        <f ca="1">IFERROR(__xludf.DUMMYFUNCTION("""COMPUTED_VALUE"""),"Unidade 17")</f>
        <v>Unidade 17</v>
      </c>
      <c r="J992" s="1" t="str">
        <f ca="1">IFERROR(__xludf.DUMMYFUNCTION("""COMPUTED_VALUE"""),"BELEM")</f>
        <v>BELEM</v>
      </c>
      <c r="K992" s="1">
        <f ca="1">IFERROR(__xludf.DUMMYFUNCTION("""COMPUTED_VALUE"""),15573605)</f>
        <v>15573605</v>
      </c>
      <c r="L992" s="2" t="str">
        <f ca="1">IFERROR(__xludf.DUMMYFUNCTION("""COMPUTED_VALUE"""),"001920930100000")</f>
        <v>001920930100000</v>
      </c>
      <c r="M992" s="2" t="str">
        <f ca="1">IFERROR(__xludf.DUMMYFUNCTION("""COMPUTED_VALUE"""),"1920930100000")</f>
        <v>1920930100000</v>
      </c>
      <c r="N992" s="1" t="str">
        <f ca="1">IFERROR(__xludf.DUMMYFUNCTION("""COMPUTED_VALUE"""),"EEEF CARANANDUBA")</f>
        <v>EEEF CARANANDUBA</v>
      </c>
      <c r="O992" s="1"/>
      <c r="P992" s="1"/>
      <c r="Q992" s="1" t="s">
        <v>1007</v>
      </c>
    </row>
    <row r="993" spans="1:17" x14ac:dyDescent="0.25">
      <c r="A993" s="2" t="str">
        <f ca="1">IFERROR(__xludf.DUMMYFUNCTION("""COMPUTED_VALUE"""),"REG DE INTEGRA  METROPOLITANA")</f>
        <v>REG DE INTEGRA  METROPOLITANA</v>
      </c>
      <c r="B993" s="1" t="str">
        <f ca="1">IFERROR(__xludf.DUMMYFUNCTION("""COMPUTED_VALUE"""),"DRE SANTA BARBARA")</f>
        <v>DRE SANTA BARBARA</v>
      </c>
      <c r="C993" s="2" t="str">
        <f ca="1">IFERROR(__xludf.DUMMYFUNCTION("""COMPUTED_VALUE"""),"DRE - SANTA BARBARA")</f>
        <v>DRE - SANTA BARBARA</v>
      </c>
      <c r="D993" s="1"/>
      <c r="E993" s="2" t="str">
        <f ca="1">IFERROR(__xludf.DUMMYFUNCTION("""COMPUTED_VALUE"""),"DRE - SANTA BARBARA")</f>
        <v>DRE - SANTA BARBARA</v>
      </c>
      <c r="F993" s="1">
        <f ca="1">IFERROR(__xludf.DUMMYFUNCTION("""COMPUTED_VALUE"""),1)</f>
        <v>1</v>
      </c>
      <c r="G993" s="1" t="str">
        <f ca="1">IFERROR(__xludf.DUMMYFUNCTION("""COMPUTED_VALUE"""),"DRE SANTA BARBARA")</f>
        <v>DRE SANTA BARBARA</v>
      </c>
      <c r="H993" s="1" t="str">
        <f ca="1">IFERROR(__xludf.DUMMYFUNCTION("""COMPUTED_VALUE"""),"19A URE - BELEM")</f>
        <v>19A URE - BELEM</v>
      </c>
      <c r="I993" s="2" t="str">
        <f ca="1">IFERROR(__xludf.DUMMYFUNCTION("""COMPUTED_VALUE"""),"Unidade 17")</f>
        <v>Unidade 17</v>
      </c>
      <c r="J993" s="1" t="str">
        <f ca="1">IFERROR(__xludf.DUMMYFUNCTION("""COMPUTED_VALUE"""),"BELEM")</f>
        <v>BELEM</v>
      </c>
      <c r="K993" s="1">
        <f ca="1">IFERROR(__xludf.DUMMYFUNCTION("""COMPUTED_VALUE"""),15043312)</f>
        <v>15043312</v>
      </c>
      <c r="L993" s="2" t="str">
        <f ca="1">IFERROR(__xludf.DUMMYFUNCTION("""COMPUTED_VALUE"""),"001920901190000")</f>
        <v>001920901190000</v>
      </c>
      <c r="M993" s="2" t="str">
        <f ca="1">IFERROR(__xludf.DUMMYFUNCTION("""COMPUTED_VALUE"""),"1920901190000")</f>
        <v>1920901190000</v>
      </c>
      <c r="N993" s="1" t="str">
        <f ca="1">IFERROR(__xludf.DUMMYFUNCTION("""COMPUTED_VALUE"""),"EEEF INGLES DE SOUZA")</f>
        <v>EEEF INGLES DE SOUZA</v>
      </c>
      <c r="O993" s="1"/>
      <c r="P993" s="1"/>
      <c r="Q993" s="1" t="s">
        <v>1007</v>
      </c>
    </row>
    <row r="994" spans="1:17" x14ac:dyDescent="0.25">
      <c r="A994" s="2" t="str">
        <f ca="1">IFERROR(__xludf.DUMMYFUNCTION("""COMPUTED_VALUE"""),"REG DE INTEGRA  METROPOLITANA")</f>
        <v>REG DE INTEGRA  METROPOLITANA</v>
      </c>
      <c r="B994" s="1" t="str">
        <f ca="1">IFERROR(__xludf.DUMMYFUNCTION("""COMPUTED_VALUE"""),"DRE SANTA BARBARA")</f>
        <v>DRE SANTA BARBARA</v>
      </c>
      <c r="C994" s="2" t="str">
        <f ca="1">IFERROR(__xludf.DUMMYFUNCTION("""COMPUTED_VALUE"""),"DRE - SANTA BARBARA")</f>
        <v>DRE - SANTA BARBARA</v>
      </c>
      <c r="D994" s="1"/>
      <c r="E994" s="2" t="str">
        <f ca="1">IFERROR(__xludf.DUMMYFUNCTION("""COMPUTED_VALUE"""),"DRE - SANTA BARBARA")</f>
        <v>DRE - SANTA BARBARA</v>
      </c>
      <c r="F994" s="1">
        <f ca="1">IFERROR(__xludf.DUMMYFUNCTION("""COMPUTED_VALUE"""),1)</f>
        <v>1</v>
      </c>
      <c r="G994" s="1" t="str">
        <f ca="1">IFERROR(__xludf.DUMMYFUNCTION("""COMPUTED_VALUE"""),"DRE SANTA BARBARA")</f>
        <v>DRE SANTA BARBARA</v>
      </c>
      <c r="H994" s="1" t="str">
        <f ca="1">IFERROR(__xludf.DUMMYFUNCTION("""COMPUTED_VALUE"""),"19A URE - BELEM")</f>
        <v>19A URE - BELEM</v>
      </c>
      <c r="I994" s="2" t="str">
        <f ca="1">IFERROR(__xludf.DUMMYFUNCTION("""COMPUTED_VALUE"""),"Unidade 17")</f>
        <v>Unidade 17</v>
      </c>
      <c r="J994" s="1" t="str">
        <f ca="1">IFERROR(__xludf.DUMMYFUNCTION("""COMPUTED_VALUE"""),"BELEM")</f>
        <v>BELEM</v>
      </c>
      <c r="K994" s="1">
        <f ca="1">IFERROR(__xludf.DUMMYFUNCTION("""COMPUTED_VALUE"""),15043339)</f>
        <v>15043339</v>
      </c>
      <c r="L994" s="2" t="str">
        <f ca="1">IFERROR(__xludf.DUMMYFUNCTION("""COMPUTED_VALUE"""),"001920901200000")</f>
        <v>001920901200000</v>
      </c>
      <c r="M994" s="2" t="str">
        <f ca="1">IFERROR(__xludf.DUMMYFUNCTION("""COMPUTED_VALUE"""),"1920901200000")</f>
        <v>1920901200000</v>
      </c>
      <c r="N994" s="1" t="str">
        <f ca="1">IFERROR(__xludf.DUMMYFUNCTION("""COMPUTED_VALUE"""),"EEEF PROF LUIZA DE BARROS PIRES")</f>
        <v>EEEF PROF LUIZA DE BARROS PIRES</v>
      </c>
      <c r="O994" s="1"/>
      <c r="P994" s="1"/>
      <c r="Q994" s="1" t="s">
        <v>1007</v>
      </c>
    </row>
    <row r="995" spans="1:17" x14ac:dyDescent="0.25">
      <c r="A995" s="2" t="str">
        <f ca="1">IFERROR(__xludf.DUMMYFUNCTION("""COMPUTED_VALUE"""),"REG DE INTEGRA  METROPOLITANA")</f>
        <v>REG DE INTEGRA  METROPOLITANA</v>
      </c>
      <c r="B995" s="1" t="str">
        <f ca="1">IFERROR(__xludf.DUMMYFUNCTION("""COMPUTED_VALUE"""),"DRE SANTA BARBARA")</f>
        <v>DRE SANTA BARBARA</v>
      </c>
      <c r="C995" s="2" t="str">
        <f ca="1">IFERROR(__xludf.DUMMYFUNCTION("""COMPUTED_VALUE"""),"DRE - SANTA BARBARA")</f>
        <v>DRE - SANTA BARBARA</v>
      </c>
      <c r="D995" s="1"/>
      <c r="E995" s="2" t="str">
        <f ca="1">IFERROR(__xludf.DUMMYFUNCTION("""COMPUTED_VALUE"""),"DRE - SANTA BARBARA")</f>
        <v>DRE - SANTA BARBARA</v>
      </c>
      <c r="F995" s="1">
        <f ca="1">IFERROR(__xludf.DUMMYFUNCTION("""COMPUTED_VALUE"""),1)</f>
        <v>1</v>
      </c>
      <c r="G995" s="1" t="str">
        <f ca="1">IFERROR(__xludf.DUMMYFUNCTION("""COMPUTED_VALUE"""),"DRE SANTA BARBARA")</f>
        <v>DRE SANTA BARBARA</v>
      </c>
      <c r="H995" s="1" t="str">
        <f ca="1">IFERROR(__xludf.DUMMYFUNCTION("""COMPUTED_VALUE"""),"19A URE - BELEM")</f>
        <v>19A URE - BELEM</v>
      </c>
      <c r="I995" s="2" t="str">
        <f ca="1">IFERROR(__xludf.DUMMYFUNCTION("""COMPUTED_VALUE"""),"Unidade 17")</f>
        <v>Unidade 17</v>
      </c>
      <c r="J995" s="1" t="str">
        <f ca="1">IFERROR(__xludf.DUMMYFUNCTION("""COMPUTED_VALUE"""),"BELEM")</f>
        <v>BELEM</v>
      </c>
      <c r="K995" s="1">
        <f ca="1">IFERROR(__xludf.DUMMYFUNCTION("""COMPUTED_VALUE"""),15043304)</f>
        <v>15043304</v>
      </c>
      <c r="L995" s="2" t="str">
        <f ca="1">IFERROR(__xludf.DUMMYFUNCTION("""COMPUTED_VALUE"""),"001920902350000")</f>
        <v>001920902350000</v>
      </c>
      <c r="M995" s="2" t="str">
        <f ca="1">IFERROR(__xludf.DUMMYFUNCTION("""COMPUTED_VALUE"""),"1920902350000")</f>
        <v>1920902350000</v>
      </c>
      <c r="N995" s="1" t="str">
        <f ca="1">IFERROR(__xludf.DUMMYFUNCTION("""COMPUTED_VALUE"""),"EEEFM HONORATO FILGUEIRAS")</f>
        <v>EEEFM HONORATO FILGUEIRAS</v>
      </c>
      <c r="O995" s="1"/>
      <c r="P995" s="1"/>
      <c r="Q995" s="1" t="s">
        <v>1007</v>
      </c>
    </row>
    <row r="996" spans="1:17" x14ac:dyDescent="0.25">
      <c r="A996" s="2" t="str">
        <f ca="1">IFERROR(__xludf.DUMMYFUNCTION("""COMPUTED_VALUE"""),"REG DE INTEGRA  METROPOLITANA")</f>
        <v>REG DE INTEGRA  METROPOLITANA</v>
      </c>
      <c r="B996" s="1" t="str">
        <f ca="1">IFERROR(__xludf.DUMMYFUNCTION("""COMPUTED_VALUE"""),"DRE SANTA BARBARA")</f>
        <v>DRE SANTA BARBARA</v>
      </c>
      <c r="C996" s="2" t="str">
        <f ca="1">IFERROR(__xludf.DUMMYFUNCTION("""COMPUTED_VALUE"""),"DRE - SANTA BARBARA")</f>
        <v>DRE - SANTA BARBARA</v>
      </c>
      <c r="D996" s="1"/>
      <c r="E996" s="2" t="str">
        <f ca="1">IFERROR(__xludf.DUMMYFUNCTION("""COMPUTED_VALUE"""),"DRE - SANTA BARBARA")</f>
        <v>DRE - SANTA BARBARA</v>
      </c>
      <c r="F996" s="1">
        <f ca="1">IFERROR(__xludf.DUMMYFUNCTION("""COMPUTED_VALUE"""),1)</f>
        <v>1</v>
      </c>
      <c r="G996" s="1" t="str">
        <f ca="1">IFERROR(__xludf.DUMMYFUNCTION("""COMPUTED_VALUE"""),"DRE SANTA BARBARA")</f>
        <v>DRE SANTA BARBARA</v>
      </c>
      <c r="H996" s="1" t="str">
        <f ca="1">IFERROR(__xludf.DUMMYFUNCTION("""COMPUTED_VALUE"""),"19A URE - BELEM")</f>
        <v>19A URE - BELEM</v>
      </c>
      <c r="I996" s="2" t="str">
        <f ca="1">IFERROR(__xludf.DUMMYFUNCTION("""COMPUTED_VALUE"""),"NÃO ENCONTRADO (SERA EXTINTA)")</f>
        <v>NÃO ENCONTRADO (SERA EXTINTA)</v>
      </c>
      <c r="J996" s="1" t="str">
        <f ca="1">IFERROR(__xludf.DUMMYFUNCTION("""COMPUTED_VALUE"""),"BELEM")</f>
        <v>BELEM</v>
      </c>
      <c r="K996" s="1">
        <f ca="1">IFERROR(__xludf.DUMMYFUNCTION("""COMPUTED_VALUE"""),15170217)</f>
        <v>15170217</v>
      </c>
      <c r="L996" s="2" t="str">
        <f ca="1">IFERROR(__xludf.DUMMYFUNCTION("""COMPUTED_VALUE"""),"001920902350001")</f>
        <v>001920902350001</v>
      </c>
      <c r="M996" s="2" t="str">
        <f ca="1">IFERROR(__xludf.DUMMYFUNCTION("""COMPUTED_VALUE"""),"1920902350001")</f>
        <v>1920902350001</v>
      </c>
      <c r="N996" s="1" t="str">
        <f ca="1">IFERROR(__xludf.DUMMYFUNCTION("""COMPUTED_VALUE"""),"EEEFM HONORATO FILGUEIRAS - ANEXO I")</f>
        <v>EEEFM HONORATO FILGUEIRAS - ANEXO I</v>
      </c>
      <c r="O996" s="1"/>
      <c r="P996" s="1"/>
      <c r="Q996" s="1" t="s">
        <v>1007</v>
      </c>
    </row>
    <row r="997" spans="1:17" x14ac:dyDescent="0.25">
      <c r="A997" s="2" t="str">
        <f ca="1">IFERROR(__xludf.DUMMYFUNCTION("""COMPUTED_VALUE"""),"REG DE INTEGRA  METROPOLITANA")</f>
        <v>REG DE INTEGRA  METROPOLITANA</v>
      </c>
      <c r="B997" s="1" t="str">
        <f ca="1">IFERROR(__xludf.DUMMYFUNCTION("""COMPUTED_VALUE"""),"DRE SANTA BARBARA")</f>
        <v>DRE SANTA BARBARA</v>
      </c>
      <c r="C997" s="2" t="str">
        <f ca="1">IFERROR(__xludf.DUMMYFUNCTION("""COMPUTED_VALUE"""),"DRE - SANTA BARBARA")</f>
        <v>DRE - SANTA BARBARA</v>
      </c>
      <c r="D997" s="1"/>
      <c r="E997" s="2" t="str">
        <f ca="1">IFERROR(__xludf.DUMMYFUNCTION("""COMPUTED_VALUE"""),"DRE - SANTA BARBARA")</f>
        <v>DRE - SANTA BARBARA</v>
      </c>
      <c r="F997" s="1">
        <f ca="1">IFERROR(__xludf.DUMMYFUNCTION("""COMPUTED_VALUE"""),1)</f>
        <v>1</v>
      </c>
      <c r="G997" s="1" t="str">
        <f ca="1">IFERROR(__xludf.DUMMYFUNCTION("""COMPUTED_VALUE"""),"DRE SANTA BARBARA")</f>
        <v>DRE SANTA BARBARA</v>
      </c>
      <c r="H997" s="1" t="str">
        <f ca="1">IFERROR(__xludf.DUMMYFUNCTION("""COMPUTED_VALUE"""),"19A URE - BELEM")</f>
        <v>19A URE - BELEM</v>
      </c>
      <c r="I997" s="2" t="str">
        <f ca="1">IFERROR(__xludf.DUMMYFUNCTION("""COMPUTED_VALUE"""),"Unidade 17")</f>
        <v>Unidade 17</v>
      </c>
      <c r="J997" s="1" t="str">
        <f ca="1">IFERROR(__xludf.DUMMYFUNCTION("""COMPUTED_VALUE"""),"BELEM")</f>
        <v>BELEM</v>
      </c>
      <c r="K997" s="1">
        <f ca="1">IFERROR(__xludf.DUMMYFUNCTION("""COMPUTED_VALUE"""),15043320)</f>
        <v>15043320</v>
      </c>
      <c r="L997" s="2" t="str">
        <f ca="1">IFERROR(__xludf.DUMMYFUNCTION("""COMPUTED_VALUE"""),"001920901860000")</f>
        <v>001920901860000</v>
      </c>
      <c r="M997" s="2" t="str">
        <f ca="1">IFERROR(__xludf.DUMMYFUNCTION("""COMPUTED_VALUE"""),"1920901860000")</f>
        <v>1920901860000</v>
      </c>
      <c r="N997" s="1" t="str">
        <f ca="1">IFERROR(__xludf.DUMMYFUNCTION("""COMPUTED_VALUE"""),"EEEFM PROF ABELARDO LEAO CONDURU")</f>
        <v>EEEFM PROF ABELARDO LEAO CONDURU</v>
      </c>
      <c r="O997" s="1"/>
      <c r="P997" s="1"/>
      <c r="Q997" s="1" t="s">
        <v>1007</v>
      </c>
    </row>
    <row r="998" spans="1:17" x14ac:dyDescent="0.25">
      <c r="A998" s="2" t="str">
        <f ca="1">IFERROR(__xludf.DUMMYFUNCTION("""COMPUTED_VALUE"""),"REG DE INTEGRA  METROPOLITANA")</f>
        <v>REG DE INTEGRA  METROPOLITANA</v>
      </c>
      <c r="B998" s="1" t="str">
        <f ca="1">IFERROR(__xludf.DUMMYFUNCTION("""COMPUTED_VALUE"""),"DRE SANTA BARBARA")</f>
        <v>DRE SANTA BARBARA</v>
      </c>
      <c r="C998" s="2" t="str">
        <f ca="1">IFERROR(__xludf.DUMMYFUNCTION("""COMPUTED_VALUE"""),"DRE - SANTA BARBARA")</f>
        <v>DRE - SANTA BARBARA</v>
      </c>
      <c r="D998" s="1"/>
      <c r="E998" s="2" t="str">
        <f ca="1">IFERROR(__xludf.DUMMYFUNCTION("""COMPUTED_VALUE"""),"DRE - SANTA BARBARA")</f>
        <v>DRE - SANTA BARBARA</v>
      </c>
      <c r="F998" s="1">
        <f ca="1">IFERROR(__xludf.DUMMYFUNCTION("""COMPUTED_VALUE"""),1)</f>
        <v>1</v>
      </c>
      <c r="G998" s="1" t="str">
        <f ca="1">IFERROR(__xludf.DUMMYFUNCTION("""COMPUTED_VALUE"""),"DRE SANTA BARBARA")</f>
        <v>DRE SANTA BARBARA</v>
      </c>
      <c r="H998" s="1" t="str">
        <f ca="1">IFERROR(__xludf.DUMMYFUNCTION("""COMPUTED_VALUE"""),"19A URE - BELEM")</f>
        <v>19A URE - BELEM</v>
      </c>
      <c r="I998" s="2" t="str">
        <f ca="1">IFERROR(__xludf.DUMMYFUNCTION("""COMPUTED_VALUE"""),"Unidade 17")</f>
        <v>Unidade 17</v>
      </c>
      <c r="J998" s="1" t="str">
        <f ca="1">IFERROR(__xludf.DUMMYFUNCTION("""COMPUTED_VALUE"""),"BELEM")</f>
        <v>BELEM</v>
      </c>
      <c r="K998" s="1">
        <f ca="1">IFERROR(__xludf.DUMMYFUNCTION("""COMPUTED_VALUE"""),15155390)</f>
        <v>15155390</v>
      </c>
      <c r="L998" s="2" t="str">
        <f ca="1">IFERROR(__xludf.DUMMYFUNCTION("""COMPUTED_VALUE"""),"001920901180000")</f>
        <v>001920901180000</v>
      </c>
      <c r="M998" s="2" t="str">
        <f ca="1">IFERROR(__xludf.DUMMYFUNCTION("""COMPUTED_VALUE"""),"1920901180000")</f>
        <v>1920901180000</v>
      </c>
      <c r="N998" s="1" t="str">
        <f ca="1">IFERROR(__xludf.DUMMYFUNCTION("""COMPUTED_VALUE"""),"EEEIF PROF BRUNO DE MENEZES")</f>
        <v>EEEIF PROF BRUNO DE MENEZES</v>
      </c>
      <c r="O998" s="1"/>
      <c r="P998" s="1"/>
      <c r="Q998" s="1" t="s">
        <v>1007</v>
      </c>
    </row>
    <row r="999" spans="1:17" x14ac:dyDescent="0.25">
      <c r="A999" s="2" t="str">
        <f ca="1">IFERROR(__xludf.DUMMYFUNCTION("""COMPUTED_VALUE"""),"REG DE INTEGRA  METROPOLITANA")</f>
        <v>REG DE INTEGRA  METROPOLITANA</v>
      </c>
      <c r="B999" s="1" t="str">
        <f ca="1">IFERROR(__xludf.DUMMYFUNCTION("""COMPUTED_VALUE"""),"DRE SANTA BARBARA")</f>
        <v>DRE SANTA BARBARA</v>
      </c>
      <c r="C999" s="2" t="str">
        <f ca="1">IFERROR(__xludf.DUMMYFUNCTION("""COMPUTED_VALUE"""),"DRE - SANTA BARBARA")</f>
        <v>DRE - SANTA BARBARA</v>
      </c>
      <c r="D999" s="1"/>
      <c r="E999" s="2" t="str">
        <f ca="1">IFERROR(__xludf.DUMMYFUNCTION("""COMPUTED_VALUE"""),"DRE - SANTA BARBARA")</f>
        <v>DRE - SANTA BARBARA</v>
      </c>
      <c r="F999" s="1">
        <f ca="1">IFERROR(__xludf.DUMMYFUNCTION("""COMPUTED_VALUE"""),1)</f>
        <v>1</v>
      </c>
      <c r="G999" s="1" t="str">
        <f ca="1">IFERROR(__xludf.DUMMYFUNCTION("""COMPUTED_VALUE"""),"DRE SANTA BARBARA")</f>
        <v>DRE SANTA BARBARA</v>
      </c>
      <c r="H999" s="1" t="str">
        <f ca="1">IFERROR(__xludf.DUMMYFUNCTION("""COMPUTED_VALUE"""),"19A URE - BELEM")</f>
        <v>19A URE - BELEM</v>
      </c>
      <c r="I999" s="2" t="str">
        <f ca="1">IFERROR(__xludf.DUMMYFUNCTION("""COMPUTED_VALUE"""),"Unidade 17")</f>
        <v>Unidade 17</v>
      </c>
      <c r="J999" s="1" t="str">
        <f ca="1">IFERROR(__xludf.DUMMYFUNCTION("""COMPUTED_VALUE"""),"BELEM")</f>
        <v>BELEM</v>
      </c>
      <c r="K999" s="1">
        <f ca="1">IFERROR(__xludf.DUMMYFUNCTION("""COMPUTED_VALUE"""),15167313)</f>
        <v>15167313</v>
      </c>
      <c r="L999" s="2" t="str">
        <f ca="1">IFERROR(__xludf.DUMMYFUNCTION("""COMPUTED_VALUE"""),"001920937930000")</f>
        <v>001920937930000</v>
      </c>
      <c r="M999" s="2" t="str">
        <f ca="1">IFERROR(__xludf.DUMMYFUNCTION("""COMPUTED_VALUE"""),"1920937930000")</f>
        <v>1920937930000</v>
      </c>
      <c r="N999" s="1" t="str">
        <f ca="1">IFERROR(__xludf.DUMMYFUNCTION("""COMPUTED_VALUE"""),"EEEM PADRE EDUARDO")</f>
        <v>EEEM PADRE EDUARDO</v>
      </c>
      <c r="O999" s="1"/>
      <c r="P999" s="1"/>
      <c r="Q999" s="1" t="s">
        <v>1007</v>
      </c>
    </row>
    <row r="1000" spans="1:17" x14ac:dyDescent="0.25">
      <c r="A1000" s="2" t="str">
        <f ca="1">IFERROR(__xludf.DUMMYFUNCTION("""COMPUTED_VALUE"""),"REG DE INTEGRA  METROPOLITANA")</f>
        <v>REG DE INTEGRA  METROPOLITANA</v>
      </c>
      <c r="B1000" s="1" t="str">
        <f ca="1">IFERROR(__xludf.DUMMYFUNCTION("""COMPUTED_VALUE"""),"DRE SANTA BARBARA")</f>
        <v>DRE SANTA BARBARA</v>
      </c>
      <c r="C1000" s="2" t="str">
        <f ca="1">IFERROR(__xludf.DUMMYFUNCTION("""COMPUTED_VALUE"""),"DRE - SANTA BARBARA")</f>
        <v>DRE - SANTA BARBARA</v>
      </c>
      <c r="D1000" s="1"/>
      <c r="E1000" s="2" t="str">
        <f ca="1">IFERROR(__xludf.DUMMYFUNCTION("""COMPUTED_VALUE"""),"DRE - SANTA BARBARA")</f>
        <v>DRE - SANTA BARBARA</v>
      </c>
      <c r="F1000" s="1">
        <f ca="1">IFERROR(__xludf.DUMMYFUNCTION("""COMPUTED_VALUE"""),1)</f>
        <v>1</v>
      </c>
      <c r="G1000" s="1" t="str">
        <f ca="1">IFERROR(__xludf.DUMMYFUNCTION("""COMPUTED_VALUE"""),"DRE SANTA BARBARA")</f>
        <v>DRE SANTA BARBARA</v>
      </c>
      <c r="H1000" s="1" t="str">
        <f ca="1">IFERROR(__xludf.DUMMYFUNCTION("""COMPUTED_VALUE"""),"19A URE - BELEM")</f>
        <v>19A URE - BELEM</v>
      </c>
      <c r="I1000" s="2" t="str">
        <f ca="1">IFERROR(__xludf.DUMMYFUNCTION("""COMPUTED_VALUE"""),"Unidade 17")</f>
        <v>Unidade 17</v>
      </c>
      <c r="J1000" s="1" t="str">
        <f ca="1">IFERROR(__xludf.DUMMYFUNCTION("""COMPUTED_VALUE"""),"SANTA BARBARA DO PARA")</f>
        <v>SANTA BARBARA DO PARA</v>
      </c>
      <c r="K1000" s="1">
        <f ca="1">IFERROR(__xludf.DUMMYFUNCTION("""COMPUTED_VALUE"""),15044106)</f>
        <v>15044106</v>
      </c>
      <c r="L1000" s="2" t="str">
        <f ca="1">IFERROR(__xludf.DUMMYFUNCTION("""COMPUTED_VALUE"""),"001920921870000")</f>
        <v>001920921870000</v>
      </c>
      <c r="M1000" s="2" t="str">
        <f ca="1">IFERROR(__xludf.DUMMYFUNCTION("""COMPUTED_VALUE"""),"1920921870000")</f>
        <v>1920921870000</v>
      </c>
      <c r="N1000" s="1" t="str">
        <f ca="1">IFERROR(__xludf.DUMMYFUNCTION("""COMPUTED_VALUE"""),"EEEF COLONIA CHICANO")</f>
        <v>EEEF COLONIA CHICANO</v>
      </c>
      <c r="O1000" s="1"/>
      <c r="P1000" s="1"/>
      <c r="Q1000" s="1" t="s">
        <v>1007</v>
      </c>
    </row>
    <row r="1001" spans="1:17" x14ac:dyDescent="0.25">
      <c r="A1001" s="2" t="str">
        <f ca="1">IFERROR(__xludf.DUMMYFUNCTION("""COMPUTED_VALUE"""),"REG DE INTEGRA  METROPOLITANA")</f>
        <v>REG DE INTEGRA  METROPOLITANA</v>
      </c>
      <c r="B1001" s="1" t="str">
        <f ca="1">IFERROR(__xludf.DUMMYFUNCTION("""COMPUTED_VALUE"""),"DRE SANTA BARBARA")</f>
        <v>DRE SANTA BARBARA</v>
      </c>
      <c r="C1001" s="2" t="str">
        <f ca="1">IFERROR(__xludf.DUMMYFUNCTION("""COMPUTED_VALUE"""),"DRE - SANTA BARBARA")</f>
        <v>DRE - SANTA BARBARA</v>
      </c>
      <c r="D1001" s="1"/>
      <c r="E1001" s="2" t="str">
        <f ca="1">IFERROR(__xludf.DUMMYFUNCTION("""COMPUTED_VALUE"""),"DRE - SANTA BARBARA")</f>
        <v>DRE - SANTA BARBARA</v>
      </c>
      <c r="F1001" s="1">
        <f ca="1">IFERROR(__xludf.DUMMYFUNCTION("""COMPUTED_VALUE"""),1)</f>
        <v>1</v>
      </c>
      <c r="G1001" s="1" t="str">
        <f ca="1">IFERROR(__xludf.DUMMYFUNCTION("""COMPUTED_VALUE"""),"DRE SANTA BARBARA")</f>
        <v>DRE SANTA BARBARA</v>
      </c>
      <c r="H1001" s="1" t="str">
        <f ca="1">IFERROR(__xludf.DUMMYFUNCTION("""COMPUTED_VALUE"""),"19A URE - BELEM")</f>
        <v>19A URE - BELEM</v>
      </c>
      <c r="I1001" s="2" t="str">
        <f ca="1">IFERROR(__xludf.DUMMYFUNCTION("""COMPUTED_VALUE"""),"Unidade 17")</f>
        <v>Unidade 17</v>
      </c>
      <c r="J1001" s="1" t="str">
        <f ca="1">IFERROR(__xludf.DUMMYFUNCTION("""COMPUTED_VALUE"""),"SANTA BARBARA DO PARA")</f>
        <v>SANTA BARBARA DO PARA</v>
      </c>
      <c r="K1001" s="1">
        <f ca="1">IFERROR(__xludf.DUMMYFUNCTION("""COMPUTED_VALUE"""),15519392)</f>
        <v>15519392</v>
      </c>
      <c r="L1001" s="2" t="str">
        <f ca="1">IFERROR(__xludf.DUMMYFUNCTION("""COMPUTED_VALUE"""),"001920929070000")</f>
        <v>001920929070000</v>
      </c>
      <c r="M1001" s="2" t="str">
        <f ca="1">IFERROR(__xludf.DUMMYFUNCTION("""COMPUTED_VALUE"""),"1920929070000")</f>
        <v>1920929070000</v>
      </c>
      <c r="N1001" s="1" t="str">
        <f ca="1">IFERROR(__xludf.DUMMYFUNCTION("""COMPUTED_VALUE"""),"EEEF SANTA BARBARA")</f>
        <v>EEEF SANTA BARBARA</v>
      </c>
      <c r="O1001" s="1"/>
      <c r="P1001" s="1"/>
      <c r="Q1001" s="1" t="s">
        <v>1007</v>
      </c>
    </row>
    <row r="1002" spans="1:17" x14ac:dyDescent="0.25">
      <c r="A1002" s="2" t="str">
        <f ca="1">IFERROR(__xludf.DUMMYFUNCTION("""COMPUTED_VALUE"""),"REG DE INTEGRA  METROPOLITANA")</f>
        <v>REG DE INTEGRA  METROPOLITANA</v>
      </c>
      <c r="B1002" s="1" t="str">
        <f ca="1">IFERROR(__xludf.DUMMYFUNCTION("""COMPUTED_VALUE"""),"DRE SANTA BARBARA")</f>
        <v>DRE SANTA BARBARA</v>
      </c>
      <c r="C1002" s="2" t="str">
        <f ca="1">IFERROR(__xludf.DUMMYFUNCTION("""COMPUTED_VALUE"""),"DRE - SANTA BARBARA")</f>
        <v>DRE - SANTA BARBARA</v>
      </c>
      <c r="D1002" s="1"/>
      <c r="E1002" s="2" t="str">
        <f ca="1">IFERROR(__xludf.DUMMYFUNCTION("""COMPUTED_VALUE"""),"DRE - SANTA BARBARA")</f>
        <v>DRE - SANTA BARBARA</v>
      </c>
      <c r="F1002" s="1">
        <f ca="1">IFERROR(__xludf.DUMMYFUNCTION("""COMPUTED_VALUE"""),1)</f>
        <v>1</v>
      </c>
      <c r="G1002" s="1" t="str">
        <f ca="1">IFERROR(__xludf.DUMMYFUNCTION("""COMPUTED_VALUE"""),"DRE SANTA BARBARA")</f>
        <v>DRE SANTA BARBARA</v>
      </c>
      <c r="H1002" s="1" t="str">
        <f ca="1">IFERROR(__xludf.DUMMYFUNCTION("""COMPUTED_VALUE"""),"19A URE - BELEM")</f>
        <v>19A URE - BELEM</v>
      </c>
      <c r="I1002" s="2" t="str">
        <f ca="1">IFERROR(__xludf.DUMMYFUNCTION("""COMPUTED_VALUE"""),"Unidade 17")</f>
        <v>Unidade 17</v>
      </c>
      <c r="J1002" s="1" t="str">
        <f ca="1">IFERROR(__xludf.DUMMYFUNCTION("""COMPUTED_VALUE"""),"SANTA BARBARA DO PARA")</f>
        <v>SANTA BARBARA DO PARA</v>
      </c>
      <c r="K1002" s="1">
        <f ca="1">IFERROR(__xludf.DUMMYFUNCTION("""COMPUTED_VALUE"""),15044262)</f>
        <v>15044262</v>
      </c>
      <c r="L1002" s="2" t="str">
        <f ca="1">IFERROR(__xludf.DUMMYFUNCTION("""COMPUTED_VALUE"""),"001920933550000")</f>
        <v>001920933550000</v>
      </c>
      <c r="M1002" s="2" t="str">
        <f ca="1">IFERROR(__xludf.DUMMYFUNCTION("""COMPUTED_VALUE"""),"1920933550000")</f>
        <v>1920933550000</v>
      </c>
      <c r="N1002" s="1" t="str">
        <f ca="1">IFERROR(__xludf.DUMMYFUNCTION("""COMPUTED_VALUE"""),"EEEF SERGIO JOSE MACHADO")</f>
        <v>EEEF SERGIO JOSE MACHADO</v>
      </c>
      <c r="O1002" s="1"/>
      <c r="P1002" s="1"/>
      <c r="Q1002" s="1" t="s">
        <v>1007</v>
      </c>
    </row>
    <row r="1003" spans="1:17" x14ac:dyDescent="0.25">
      <c r="A1003" s="2" t="str">
        <f ca="1">IFERROR(__xludf.DUMMYFUNCTION("""COMPUTED_VALUE"""),"REG DE INTEGRA  METROPOLITANA")</f>
        <v>REG DE INTEGRA  METROPOLITANA</v>
      </c>
      <c r="B1003" s="1" t="str">
        <f ca="1">IFERROR(__xludf.DUMMYFUNCTION("""COMPUTED_VALUE"""),"DRE SANTA BARBARA")</f>
        <v>DRE SANTA BARBARA</v>
      </c>
      <c r="C1003" s="2" t="str">
        <f ca="1">IFERROR(__xludf.DUMMYFUNCTION("""COMPUTED_VALUE"""),"DRE - SANTA BARBARA")</f>
        <v>DRE - SANTA BARBARA</v>
      </c>
      <c r="D1003" s="1"/>
      <c r="E1003" s="2" t="str">
        <f ca="1">IFERROR(__xludf.DUMMYFUNCTION("""COMPUTED_VALUE"""),"DRE - SANTA BARBARA")</f>
        <v>DRE - SANTA BARBARA</v>
      </c>
      <c r="F1003" s="1">
        <f ca="1">IFERROR(__xludf.DUMMYFUNCTION("""COMPUTED_VALUE"""),1)</f>
        <v>1</v>
      </c>
      <c r="G1003" s="1" t="str">
        <f ca="1">IFERROR(__xludf.DUMMYFUNCTION("""COMPUTED_VALUE"""),"DRE SANTA BARBARA")</f>
        <v>DRE SANTA BARBARA</v>
      </c>
      <c r="H1003" s="1" t="str">
        <f ca="1">IFERROR(__xludf.DUMMYFUNCTION("""COMPUTED_VALUE"""),"19A URE - BELEM")</f>
        <v>19A URE - BELEM</v>
      </c>
      <c r="I1003" s="2" t="str">
        <f ca="1">IFERROR(__xludf.DUMMYFUNCTION("""COMPUTED_VALUE"""),"Unidade 17")</f>
        <v>Unidade 17</v>
      </c>
      <c r="J1003" s="1" t="str">
        <f ca="1">IFERROR(__xludf.DUMMYFUNCTION("""COMPUTED_VALUE"""),"SANTA BARBARA DO PARA")</f>
        <v>SANTA BARBARA DO PARA</v>
      </c>
      <c r="K1003" s="1">
        <f ca="1">IFERROR(__xludf.DUMMYFUNCTION("""COMPUTED_VALUE"""),15044114)</f>
        <v>15044114</v>
      </c>
      <c r="L1003" s="2" t="str">
        <f ca="1">IFERROR(__xludf.DUMMYFUNCTION("""COMPUTED_VALUE"""),"001920921790000")</f>
        <v>001920921790000</v>
      </c>
      <c r="M1003" s="2" t="str">
        <f ca="1">IFERROR(__xludf.DUMMYFUNCTION("""COMPUTED_VALUE"""),"1920921790000")</f>
        <v>1920921790000</v>
      </c>
      <c r="N1003" s="1" t="str">
        <f ca="1">IFERROR(__xludf.DUMMYFUNCTION("""COMPUTED_VALUE"""),"EEEFM DR PADUA COSTA")</f>
        <v>EEEFM DR PADUA COSTA</v>
      </c>
      <c r="O1003" s="1"/>
      <c r="P1003" s="1"/>
      <c r="Q1003" s="1" t="s">
        <v>1007</v>
      </c>
    </row>
    <row r="1004" spans="1:17" x14ac:dyDescent="0.25">
      <c r="A1004" s="2" t="str">
        <f ca="1">IFERROR(__xludf.DUMMYFUNCTION("""COMPUTED_VALUE"""),"REG DE INTEGRA  METROPOLITANA")</f>
        <v>REG DE INTEGRA  METROPOLITANA</v>
      </c>
      <c r="B1004" s="1" t="str">
        <f ca="1">IFERROR(__xludf.DUMMYFUNCTION("""COMPUTED_VALUE"""),"DRE SANTA BARBARA")</f>
        <v>DRE SANTA BARBARA</v>
      </c>
      <c r="C1004" s="2" t="str">
        <f ca="1">IFERROR(__xludf.DUMMYFUNCTION("""COMPUTED_VALUE"""),"DRE - SANTA BARBARA")</f>
        <v>DRE - SANTA BARBARA</v>
      </c>
      <c r="D1004" s="1"/>
      <c r="E1004" s="2" t="str">
        <f ca="1">IFERROR(__xludf.DUMMYFUNCTION("""COMPUTED_VALUE"""),"DRE - SANTA BARBARA")</f>
        <v>DRE - SANTA BARBARA</v>
      </c>
      <c r="F1004" s="1">
        <f ca="1">IFERROR(__xludf.DUMMYFUNCTION("""COMPUTED_VALUE"""),1)</f>
        <v>1</v>
      </c>
      <c r="G1004" s="1" t="str">
        <f ca="1">IFERROR(__xludf.DUMMYFUNCTION("""COMPUTED_VALUE"""),"DRE SANTA BARBARA")</f>
        <v>DRE SANTA BARBARA</v>
      </c>
      <c r="H1004" s="1" t="str">
        <f ca="1">IFERROR(__xludf.DUMMYFUNCTION("""COMPUTED_VALUE"""),"19A URE - BELEM")</f>
        <v>19A URE - BELEM</v>
      </c>
      <c r="I1004" s="2" t="str">
        <f ca="1">IFERROR(__xludf.DUMMYFUNCTION("""COMPUTED_VALUE"""),"Unidade 17")</f>
        <v>Unidade 17</v>
      </c>
      <c r="J1004" s="1" t="str">
        <f ca="1">IFERROR(__xludf.DUMMYFUNCTION("""COMPUTED_VALUE"""),"SANTA BARBARA DO PARA")</f>
        <v>SANTA BARBARA DO PARA</v>
      </c>
      <c r="K1004" s="1">
        <f ca="1">IFERROR(__xludf.DUMMYFUNCTION("""COMPUTED_VALUE"""),15044122)</f>
        <v>15044122</v>
      </c>
      <c r="L1004" s="2" t="str">
        <f ca="1">IFERROR(__xludf.DUMMYFUNCTION("""COMPUTED_VALUE"""),"001920921860000")</f>
        <v>001920921860000</v>
      </c>
      <c r="M1004" s="2" t="str">
        <f ca="1">IFERROR(__xludf.DUMMYFUNCTION("""COMPUTED_VALUE"""),"1920921860000")</f>
        <v>1920921860000</v>
      </c>
      <c r="N1004" s="1" t="str">
        <f ca="1">IFERROR(__xludf.DUMMYFUNCTION("""COMPUTED_VALUE"""),"EEEFM GENIPAUBA")</f>
        <v>EEEFM GENIPAUBA</v>
      </c>
      <c r="O1004" s="1"/>
      <c r="P1004" s="1"/>
      <c r="Q1004" s="1" t="s">
        <v>1007</v>
      </c>
    </row>
    <row r="1005" spans="1:17" x14ac:dyDescent="0.25">
      <c r="A1005" s="2" t="str">
        <f ca="1">IFERROR(__xludf.DUMMYFUNCTION("""COMPUTED_VALUE"""),"REG DE INTEGRA DO RIO CAPIM")</f>
        <v>REG DE INTEGRA DO RIO CAPIM</v>
      </c>
      <c r="B1005" s="1" t="str">
        <f ca="1">IFERROR(__xludf.DUMMYFUNCTION("""COMPUTED_VALUE"""),"DRE SANTA IZABEL DO PARA")</f>
        <v>DRE SANTA IZABEL DO PARA</v>
      </c>
      <c r="C1005" s="2" t="str">
        <f ca="1">IFERROR(__xludf.DUMMYFUNCTION("""COMPUTED_VALUE"""),"DRE - SANTA IZABEL DO PARA")</f>
        <v>DRE - SANTA IZABEL DO PARA</v>
      </c>
      <c r="D1005" s="1"/>
      <c r="E1005" s="2" t="str">
        <f ca="1">IFERROR(__xludf.DUMMYFUNCTION("""COMPUTED_VALUE"""),"DRE - SANTA IZABEL DO PARA")</f>
        <v>DRE - SANTA IZABEL DO PARA</v>
      </c>
      <c r="F1005" s="1">
        <f ca="1">IFERROR(__xludf.DUMMYFUNCTION("""COMPUTED_VALUE"""),3)</f>
        <v>3</v>
      </c>
      <c r="G1005" s="1"/>
      <c r="H1005" s="1" t="str">
        <f ca="1">IFERROR(__xludf.DUMMYFUNCTION("""COMPUTED_VALUE"""),"11A URE - SANTA IZABEL DO PARA")</f>
        <v>11A URE - SANTA IZABEL DO PARA</v>
      </c>
      <c r="I1005" s="1"/>
      <c r="J1005" s="1" t="str">
        <f ca="1">IFERROR(__xludf.DUMMYFUNCTION("""COMPUTED_VALUE"""),"BUJARU")</f>
        <v>BUJARU</v>
      </c>
      <c r="K1005" s="1">
        <f ca="1">IFERROR(__xludf.DUMMYFUNCTION("""COMPUTED_VALUE"""),15177491)</f>
        <v>15177491</v>
      </c>
      <c r="L1005" s="2" t="str">
        <f ca="1">IFERROR(__xludf.DUMMYFUNCTION("""COMPUTED_VALUE"""),"001920937690001")</f>
        <v>001920937690001</v>
      </c>
      <c r="M1005" s="2" t="str">
        <f ca="1">IFERROR(__xludf.DUMMYFUNCTION("""COMPUTED_VALUE"""),"1920937690001")</f>
        <v>1920937690001</v>
      </c>
      <c r="N1005" s="1" t="str">
        <f ca="1">IFERROR(__xludf.DUMMYFUNCTION("""COMPUTED_VALUE"""),"ANEXO RURAL RAIMUNDO DE CAMPOS LOPES")</f>
        <v>ANEXO RURAL RAIMUNDO DE CAMPOS LOPES</v>
      </c>
      <c r="O1005" s="1"/>
      <c r="P1005" s="1"/>
      <c r="Q1005" s="1" t="s">
        <v>1023</v>
      </c>
    </row>
    <row r="1006" spans="1:17" x14ac:dyDescent="0.25">
      <c r="A1006" s="2" t="str">
        <f ca="1">IFERROR(__xludf.DUMMYFUNCTION("""COMPUTED_VALUE"""),"REG DE INTEGRA DO RIO CAPIM")</f>
        <v>REG DE INTEGRA DO RIO CAPIM</v>
      </c>
      <c r="B1006" s="1" t="str">
        <f ca="1">IFERROR(__xludf.DUMMYFUNCTION("""COMPUTED_VALUE"""),"DRE SANTA IZABEL DO PARA")</f>
        <v>DRE SANTA IZABEL DO PARA</v>
      </c>
      <c r="C1006" s="2" t="str">
        <f ca="1">IFERROR(__xludf.DUMMYFUNCTION("""COMPUTED_VALUE"""),"DRE - SANTA IZABEL DO PARA")</f>
        <v>DRE - SANTA IZABEL DO PARA</v>
      </c>
      <c r="D1006" s="1"/>
      <c r="E1006" s="2" t="str">
        <f ca="1">IFERROR(__xludf.DUMMYFUNCTION("""COMPUTED_VALUE"""),"DRE - SANTA IZABEL DO PARA")</f>
        <v>DRE - SANTA IZABEL DO PARA</v>
      </c>
      <c r="F1006" s="1">
        <f ca="1">IFERROR(__xludf.DUMMYFUNCTION("""COMPUTED_VALUE"""),3)</f>
        <v>3</v>
      </c>
      <c r="G1006" s="1" t="str">
        <f ca="1">IFERROR(__xludf.DUMMYFUNCTION("""COMPUTED_VALUE"""),"DRE SANTA IZABEL DO PARA")</f>
        <v>DRE SANTA IZABEL DO PARA</v>
      </c>
      <c r="H1006" s="1" t="str">
        <f ca="1">IFERROR(__xludf.DUMMYFUNCTION("""COMPUTED_VALUE"""),"11A URE - SANTA IZABEL DO PARA")</f>
        <v>11A URE - SANTA IZABEL DO PARA</v>
      </c>
      <c r="I1006" s="1"/>
      <c r="J1006" s="1" t="str">
        <f ca="1">IFERROR(__xludf.DUMMYFUNCTION("""COMPUTED_VALUE"""),"BUJARU")</f>
        <v>BUJARU</v>
      </c>
      <c r="K1006" s="1">
        <f ca="1">IFERROR(__xludf.DUMMYFUNCTION("""COMPUTED_VALUE"""),15044327)</f>
        <v>15044327</v>
      </c>
      <c r="L1006" s="2" t="str">
        <f ca="1">IFERROR(__xludf.DUMMYFUNCTION("""COMPUTED_VALUE"""),"001920917160000")</f>
        <v>001920917160000</v>
      </c>
      <c r="M1006" s="2" t="str">
        <f ca="1">IFERROR(__xludf.DUMMYFUNCTION("""COMPUTED_VALUE"""),"1920917160000")</f>
        <v>1920917160000</v>
      </c>
      <c r="N1006" s="1" t="str">
        <f ca="1">IFERROR(__xludf.DUMMYFUNCTION("""COMPUTED_VALUE"""),"EEEFM DOM MARIO DE MIRANDA VILAS BOAS")</f>
        <v>EEEFM DOM MARIO DE MIRANDA VILAS BOAS</v>
      </c>
      <c r="O1006" s="1"/>
      <c r="P1006" s="1"/>
      <c r="Q1006" s="1" t="s">
        <v>1023</v>
      </c>
    </row>
    <row r="1007" spans="1:17" x14ac:dyDescent="0.25">
      <c r="A1007" s="2" t="str">
        <f ca="1">IFERROR(__xludf.DUMMYFUNCTION("""COMPUTED_VALUE"""),"REG DE INTEGRA DO RIO CAPIM")</f>
        <v>REG DE INTEGRA DO RIO CAPIM</v>
      </c>
      <c r="B1007" s="1" t="str">
        <f ca="1">IFERROR(__xludf.DUMMYFUNCTION("""COMPUTED_VALUE"""),"DRE SANTA IZABEL DO PARA")</f>
        <v>DRE SANTA IZABEL DO PARA</v>
      </c>
      <c r="C1007" s="2" t="str">
        <f ca="1">IFERROR(__xludf.DUMMYFUNCTION("""COMPUTED_VALUE"""),"DRE - SANTA IZABEL DO PARA")</f>
        <v>DRE - SANTA IZABEL DO PARA</v>
      </c>
      <c r="D1007" s="1"/>
      <c r="E1007" s="2" t="str">
        <f ca="1">IFERROR(__xludf.DUMMYFUNCTION("""COMPUTED_VALUE"""),"DRE - SANTA IZABEL DO PARA")</f>
        <v>DRE - SANTA IZABEL DO PARA</v>
      </c>
      <c r="F1007" s="1">
        <f ca="1">IFERROR(__xludf.DUMMYFUNCTION("""COMPUTED_VALUE"""),3)</f>
        <v>3</v>
      </c>
      <c r="G1007" s="1" t="str">
        <f ca="1">IFERROR(__xludf.DUMMYFUNCTION("""COMPUTED_VALUE"""),"DRE SANTA IZABEL DO PARA")</f>
        <v>DRE SANTA IZABEL DO PARA</v>
      </c>
      <c r="H1007" s="1" t="str">
        <f ca="1">IFERROR(__xludf.DUMMYFUNCTION("""COMPUTED_VALUE"""),"11A URE - SANTA IZABEL DO PARA")</f>
        <v>11A URE - SANTA IZABEL DO PARA</v>
      </c>
      <c r="I1007" s="1"/>
      <c r="J1007" s="1" t="str">
        <f ca="1">IFERROR(__xludf.DUMMYFUNCTION("""COMPUTED_VALUE"""),"BUJARU")</f>
        <v>BUJARU</v>
      </c>
      <c r="K1007" s="1">
        <f ca="1">IFERROR(__xludf.DUMMYFUNCTION("""COMPUTED_VALUE"""),15160513)</f>
        <v>15160513</v>
      </c>
      <c r="L1007" s="2" t="str">
        <f ca="1">IFERROR(__xludf.DUMMYFUNCTION("""COMPUTED_VALUE"""),"001920937690000")</f>
        <v>001920937690000</v>
      </c>
      <c r="M1007" s="2" t="str">
        <f ca="1">IFERROR(__xludf.DUMMYFUNCTION("""COMPUTED_VALUE"""),"1920937690000")</f>
        <v>1920937690000</v>
      </c>
      <c r="N1007" s="1" t="str">
        <f ca="1">IFERROR(__xludf.DUMMYFUNCTION("""COMPUTED_VALUE"""),"EEEFM RAIMUNDO DE CAMPOS LOPES")</f>
        <v>EEEFM RAIMUNDO DE CAMPOS LOPES</v>
      </c>
      <c r="O1007" s="1"/>
      <c r="P1007" s="1"/>
      <c r="Q1007" s="1" t="s">
        <v>1023</v>
      </c>
    </row>
    <row r="1008" spans="1:17" x14ac:dyDescent="0.25">
      <c r="A1008" s="2" t="str">
        <f ca="1">IFERROR(__xludf.DUMMYFUNCTION("""COMPUTED_VALUE"""),"REG DE INTEGRA DO RIO CAPIM")</f>
        <v>REG DE INTEGRA DO RIO CAPIM</v>
      </c>
      <c r="B1008" s="1" t="str">
        <f ca="1">IFERROR(__xludf.DUMMYFUNCTION("""COMPUTED_VALUE"""),"DRE SANTA IZABEL DO PARA")</f>
        <v>DRE SANTA IZABEL DO PARA</v>
      </c>
      <c r="C1008" s="2" t="str">
        <f ca="1">IFERROR(__xludf.DUMMYFUNCTION("""COMPUTED_VALUE"""),"DRE - SANTA IZABEL DO PARA")</f>
        <v>DRE - SANTA IZABEL DO PARA</v>
      </c>
      <c r="D1008" s="1"/>
      <c r="E1008" s="2" t="str">
        <f ca="1">IFERROR(__xludf.DUMMYFUNCTION("""COMPUTED_VALUE"""),"DRE - SANTA IZABEL DO PARA")</f>
        <v>DRE - SANTA IZABEL DO PARA</v>
      </c>
      <c r="F1008" s="1"/>
      <c r="G1008" s="1"/>
      <c r="H1008" s="1" t="str">
        <f ca="1">IFERROR(__xludf.DUMMYFUNCTION("""COMPUTED_VALUE"""),"11A URE - SANTA IZABEL DO PARA")</f>
        <v>11A URE - SANTA IZABEL DO PARA</v>
      </c>
      <c r="I1008" s="1"/>
      <c r="J1008" s="1" t="str">
        <f ca="1">IFERROR(__xludf.DUMMYFUNCTION("""COMPUTED_VALUE"""),"BUJARU")</f>
        <v>BUJARU</v>
      </c>
      <c r="K1008" s="1"/>
      <c r="L1008" s="2" t="str">
        <f ca="1">IFERROR(__xludf.DUMMYFUNCTION("""COMPUTED_VALUE"""),"001921010000000")</f>
        <v>001921010000000</v>
      </c>
      <c r="M1008" s="2" t="str">
        <f ca="1">IFERROR(__xludf.DUMMYFUNCTION("""COMPUTED_VALUE"""),"1921010000000")</f>
        <v>1921010000000</v>
      </c>
      <c r="N1008" s="1" t="str">
        <f ca="1">IFERROR(__xludf.DUMMYFUNCTION("""COMPUTED_VALUE"""),"ESCOLA ESTADUAL RURAL DE BUJARU")</f>
        <v>ESCOLA ESTADUAL RURAL DE BUJARU</v>
      </c>
      <c r="O1008" s="1"/>
      <c r="P1008" s="1"/>
      <c r="Q1008" s="1" t="s">
        <v>1023</v>
      </c>
    </row>
    <row r="1009" spans="1:17" x14ac:dyDescent="0.25">
      <c r="A1009" s="2" t="str">
        <f ca="1">IFERROR(__xludf.DUMMYFUNCTION("""COMPUTED_VALUE"""),"REG DE INTEGRA DO GUAMA")</f>
        <v>REG DE INTEGRA DO GUAMA</v>
      </c>
      <c r="B1009" s="1" t="str">
        <f ca="1">IFERROR(__xludf.DUMMYFUNCTION("""COMPUTED_VALUE"""),"DRE SANTA IZABEL DO PARA")</f>
        <v>DRE SANTA IZABEL DO PARA</v>
      </c>
      <c r="C1009" s="2" t="str">
        <f ca="1">IFERROR(__xludf.DUMMYFUNCTION("""COMPUTED_VALUE"""),"DRE - SANTA IZABEL DO PARA")</f>
        <v>DRE - SANTA IZABEL DO PARA</v>
      </c>
      <c r="D1009" s="1"/>
      <c r="E1009" s="2" t="str">
        <f ca="1">IFERROR(__xludf.DUMMYFUNCTION("""COMPUTED_VALUE"""),"DRE - SANTA IZABEL DO PARA")</f>
        <v>DRE - SANTA IZABEL DO PARA</v>
      </c>
      <c r="F1009" s="1">
        <f ca="1">IFERROR(__xludf.DUMMYFUNCTION("""COMPUTED_VALUE"""),3)</f>
        <v>3</v>
      </c>
      <c r="G1009" s="1" t="str">
        <f ca="1">IFERROR(__xludf.DUMMYFUNCTION("""COMPUTED_VALUE"""),"DRE SANTA IZABEL DO PARA")</f>
        <v>DRE SANTA IZABEL DO PARA</v>
      </c>
      <c r="H1009" s="1" t="str">
        <f ca="1">IFERROR(__xludf.DUMMYFUNCTION("""COMPUTED_VALUE"""),"11A URE - SANTA IZABEL DO PARA")</f>
        <v>11A URE - SANTA IZABEL DO PARA</v>
      </c>
      <c r="I1009" s="1"/>
      <c r="J1009" s="1" t="str">
        <f ca="1">IFERROR(__xludf.DUMMYFUNCTION("""COMPUTED_VALUE"""),"COLARES")</f>
        <v>COLARES</v>
      </c>
      <c r="K1009" s="1">
        <f ca="1">IFERROR(__xludf.DUMMYFUNCTION("""COMPUTED_VALUE"""),15048462)</f>
        <v>15048462</v>
      </c>
      <c r="L1009" s="2" t="str">
        <f ca="1">IFERROR(__xludf.DUMMYFUNCTION("""COMPUTED_VALUE"""),"001920921510000")</f>
        <v>001920921510000</v>
      </c>
      <c r="M1009" s="2" t="str">
        <f ca="1">IFERROR(__xludf.DUMMYFUNCTION("""COMPUTED_VALUE"""),"1920921510000")</f>
        <v>1920921510000</v>
      </c>
      <c r="N1009" s="1" t="str">
        <f ca="1">IFERROR(__xludf.DUMMYFUNCTION("""COMPUTED_VALUE"""),"EEEF BARAO DE GUAJARA")</f>
        <v>EEEF BARAO DE GUAJARA</v>
      </c>
      <c r="O1009" s="1"/>
      <c r="P1009" s="1"/>
      <c r="Q1009" s="1" t="s">
        <v>1023</v>
      </c>
    </row>
    <row r="1010" spans="1:17" x14ac:dyDescent="0.25">
      <c r="A1010" s="2" t="str">
        <f ca="1">IFERROR(__xludf.DUMMYFUNCTION("""COMPUTED_VALUE"""),"REG DE INTEGRA DO GUAMA")</f>
        <v>REG DE INTEGRA DO GUAMA</v>
      </c>
      <c r="B1010" s="1" t="str">
        <f ca="1">IFERROR(__xludf.DUMMYFUNCTION("""COMPUTED_VALUE"""),"DRE SANTA IZABEL DO PARA")</f>
        <v>DRE SANTA IZABEL DO PARA</v>
      </c>
      <c r="C1010" s="2" t="str">
        <f ca="1">IFERROR(__xludf.DUMMYFUNCTION("""COMPUTED_VALUE"""),"DRE - SANTA IZABEL DO PARA")</f>
        <v>DRE - SANTA IZABEL DO PARA</v>
      </c>
      <c r="D1010" s="1"/>
      <c r="E1010" s="2" t="str">
        <f ca="1">IFERROR(__xludf.DUMMYFUNCTION("""COMPUTED_VALUE"""),"DRE - SANTA IZABEL DO PARA")</f>
        <v>DRE - SANTA IZABEL DO PARA</v>
      </c>
      <c r="F1010" s="1">
        <f ca="1">IFERROR(__xludf.DUMMYFUNCTION("""COMPUTED_VALUE"""),3)</f>
        <v>3</v>
      </c>
      <c r="G1010" s="1" t="str">
        <f ca="1">IFERROR(__xludf.DUMMYFUNCTION("""COMPUTED_VALUE"""),"DRE SANTA IZABEL DO PARA")</f>
        <v>DRE SANTA IZABEL DO PARA</v>
      </c>
      <c r="H1010" s="1" t="str">
        <f ca="1">IFERROR(__xludf.DUMMYFUNCTION("""COMPUTED_VALUE"""),"11A URE - SANTA IZABEL DO PARA")</f>
        <v>11A URE - SANTA IZABEL DO PARA</v>
      </c>
      <c r="I1010" s="1"/>
      <c r="J1010" s="1" t="str">
        <f ca="1">IFERROR(__xludf.DUMMYFUNCTION("""COMPUTED_VALUE"""),"COLARES")</f>
        <v>COLARES</v>
      </c>
      <c r="K1010" s="1">
        <f ca="1">IFERROR(__xludf.DUMMYFUNCTION("""COMPUTED_VALUE"""),15048489)</f>
        <v>15048489</v>
      </c>
      <c r="L1010" s="2" t="str">
        <f ca="1">IFERROR(__xludf.DUMMYFUNCTION("""COMPUTED_VALUE"""),"001920921400000")</f>
        <v>001920921400000</v>
      </c>
      <c r="M1010" s="2" t="str">
        <f ca="1">IFERROR(__xludf.DUMMYFUNCTION("""COMPUTED_VALUE"""),"1920921400000")</f>
        <v>1920921400000</v>
      </c>
      <c r="N1010" s="1" t="str">
        <f ca="1">IFERROR(__xludf.DUMMYFUNCTION("""COMPUTED_VALUE"""),"EEEF DR JOSE MALCHER")</f>
        <v>EEEF DR JOSE MALCHER</v>
      </c>
      <c r="O1010" s="1"/>
      <c r="P1010" s="1"/>
      <c r="Q1010" s="1" t="s">
        <v>1023</v>
      </c>
    </row>
    <row r="1011" spans="1:17" x14ac:dyDescent="0.25">
      <c r="A1011" s="2" t="str">
        <f ca="1">IFERROR(__xludf.DUMMYFUNCTION("""COMPUTED_VALUE"""),"REG DE INTEGRA DO GUAMA")</f>
        <v>REG DE INTEGRA DO GUAMA</v>
      </c>
      <c r="B1011" s="1" t="str">
        <f ca="1">IFERROR(__xludf.DUMMYFUNCTION("""COMPUTED_VALUE"""),"DRE SANTA IZABEL DO PARA")</f>
        <v>DRE SANTA IZABEL DO PARA</v>
      </c>
      <c r="C1011" s="2" t="str">
        <f ca="1">IFERROR(__xludf.DUMMYFUNCTION("""COMPUTED_VALUE"""),"DRE - SANTA IZABEL DO PARA")</f>
        <v>DRE - SANTA IZABEL DO PARA</v>
      </c>
      <c r="D1011" s="1"/>
      <c r="E1011" s="2" t="str">
        <f ca="1">IFERROR(__xludf.DUMMYFUNCTION("""COMPUTED_VALUE"""),"DRE - SANTA IZABEL DO PARA")</f>
        <v>DRE - SANTA IZABEL DO PARA</v>
      </c>
      <c r="F1011" s="1">
        <f ca="1">IFERROR(__xludf.DUMMYFUNCTION("""COMPUTED_VALUE"""),3)</f>
        <v>3</v>
      </c>
      <c r="G1011" s="1" t="str">
        <f ca="1">IFERROR(__xludf.DUMMYFUNCTION("""COMPUTED_VALUE"""),"DRE SANTA IZABEL DO PARA")</f>
        <v>DRE SANTA IZABEL DO PARA</v>
      </c>
      <c r="H1011" s="1" t="str">
        <f ca="1">IFERROR(__xludf.DUMMYFUNCTION("""COMPUTED_VALUE"""),"11A URE - SANTA IZABEL DO PARA")</f>
        <v>11A URE - SANTA IZABEL DO PARA</v>
      </c>
      <c r="I1011" s="1"/>
      <c r="J1011" s="1" t="str">
        <f ca="1">IFERROR(__xludf.DUMMYFUNCTION("""COMPUTED_VALUE"""),"COLARES")</f>
        <v>COLARES</v>
      </c>
      <c r="K1011" s="1">
        <f ca="1">IFERROR(__xludf.DUMMYFUNCTION("""COMPUTED_VALUE"""),15048560)</f>
        <v>15048560</v>
      </c>
      <c r="L1011" s="2" t="str">
        <f ca="1">IFERROR(__xludf.DUMMYFUNCTION("""COMPUTED_VALUE"""),"001920921480000")</f>
        <v>001920921480000</v>
      </c>
      <c r="M1011" s="2" t="str">
        <f ca="1">IFERROR(__xludf.DUMMYFUNCTION("""COMPUTED_VALUE"""),"1920921480000")</f>
        <v>1920921480000</v>
      </c>
      <c r="N1011" s="1" t="str">
        <f ca="1">IFERROR(__xludf.DUMMYFUNCTION("""COMPUTED_VALUE"""),"EEEF LUCIOLA BRASIL")</f>
        <v>EEEF LUCIOLA BRASIL</v>
      </c>
      <c r="O1011" s="1"/>
      <c r="P1011" s="1"/>
      <c r="Q1011" s="1" t="s">
        <v>1023</v>
      </c>
    </row>
    <row r="1012" spans="1:17" x14ac:dyDescent="0.25">
      <c r="A1012" s="2" t="str">
        <f ca="1">IFERROR(__xludf.DUMMYFUNCTION("""COMPUTED_VALUE"""),"REG DE INTEGRA DO GUAMA")</f>
        <v>REG DE INTEGRA DO GUAMA</v>
      </c>
      <c r="B1012" s="1" t="str">
        <f ca="1">IFERROR(__xludf.DUMMYFUNCTION("""COMPUTED_VALUE"""),"DRE SANTA IZABEL DO PARA")</f>
        <v>DRE SANTA IZABEL DO PARA</v>
      </c>
      <c r="C1012" s="2" t="str">
        <f ca="1">IFERROR(__xludf.DUMMYFUNCTION("""COMPUTED_VALUE"""),"DRE - SANTA IZABEL DO PARA")</f>
        <v>DRE - SANTA IZABEL DO PARA</v>
      </c>
      <c r="D1012" s="1"/>
      <c r="E1012" s="2" t="str">
        <f ca="1">IFERROR(__xludf.DUMMYFUNCTION("""COMPUTED_VALUE"""),"DRE - SANTA IZABEL DO PARA")</f>
        <v>DRE - SANTA IZABEL DO PARA</v>
      </c>
      <c r="F1012" s="1">
        <f ca="1">IFERROR(__xludf.DUMMYFUNCTION("""COMPUTED_VALUE"""),3)</f>
        <v>3</v>
      </c>
      <c r="G1012" s="1" t="str">
        <f ca="1">IFERROR(__xludf.DUMMYFUNCTION("""COMPUTED_VALUE"""),"DRE SANTA IZABEL DO PARA")</f>
        <v>DRE SANTA IZABEL DO PARA</v>
      </c>
      <c r="H1012" s="1" t="str">
        <f ca="1">IFERROR(__xludf.DUMMYFUNCTION("""COMPUTED_VALUE"""),"11A URE - SANTA IZABEL DO PARA")</f>
        <v>11A URE - SANTA IZABEL DO PARA</v>
      </c>
      <c r="I1012" s="1"/>
      <c r="J1012" s="1" t="str">
        <f ca="1">IFERROR(__xludf.DUMMYFUNCTION("""COMPUTED_VALUE"""),"COLARES")</f>
        <v>COLARES</v>
      </c>
      <c r="K1012" s="1">
        <f ca="1">IFERROR(__xludf.DUMMYFUNCTION("""COMPUTED_VALUE"""),15048543)</f>
        <v>15048543</v>
      </c>
      <c r="L1012" s="2" t="str">
        <f ca="1">IFERROR(__xludf.DUMMYFUNCTION("""COMPUTED_VALUE"""),"001920921460000")</f>
        <v>001920921460000</v>
      </c>
      <c r="M1012" s="2" t="str">
        <f ca="1">IFERROR(__xludf.DUMMYFUNCTION("""COMPUTED_VALUE"""),"1920921460000")</f>
        <v>1920921460000</v>
      </c>
      <c r="N1012" s="1" t="str">
        <f ca="1">IFERROR(__xludf.DUMMYFUNCTION("""COMPUTED_VALUE"""),"EEEF MAGALHAES BARATA")</f>
        <v>EEEF MAGALHAES BARATA</v>
      </c>
      <c r="O1012" s="1"/>
      <c r="P1012" s="1"/>
      <c r="Q1012" s="1" t="s">
        <v>1023</v>
      </c>
    </row>
    <row r="1013" spans="1:17" x14ac:dyDescent="0.25">
      <c r="A1013" s="2" t="str">
        <f ca="1">IFERROR(__xludf.DUMMYFUNCTION("""COMPUTED_VALUE"""),"REG DE INTEGRA DO GUAMA")</f>
        <v>REG DE INTEGRA DO GUAMA</v>
      </c>
      <c r="B1013" s="1" t="str">
        <f ca="1">IFERROR(__xludf.DUMMYFUNCTION("""COMPUTED_VALUE"""),"DRE SANTA IZABEL DO PARA")</f>
        <v>DRE SANTA IZABEL DO PARA</v>
      </c>
      <c r="C1013" s="2" t="str">
        <f ca="1">IFERROR(__xludf.DUMMYFUNCTION("""COMPUTED_VALUE"""),"DRE - SANTA IZABEL DO PARA")</f>
        <v>DRE - SANTA IZABEL DO PARA</v>
      </c>
      <c r="D1013" s="1"/>
      <c r="E1013" s="2" t="str">
        <f ca="1">IFERROR(__xludf.DUMMYFUNCTION("""COMPUTED_VALUE"""),"DRE - SANTA IZABEL DO PARA")</f>
        <v>DRE - SANTA IZABEL DO PARA</v>
      </c>
      <c r="F1013" s="1">
        <f ca="1">IFERROR(__xludf.DUMMYFUNCTION("""COMPUTED_VALUE"""),3)</f>
        <v>3</v>
      </c>
      <c r="G1013" s="1" t="str">
        <f ca="1">IFERROR(__xludf.DUMMYFUNCTION("""COMPUTED_VALUE"""),"DRE SANTA IZABEL DO PARA")</f>
        <v>DRE SANTA IZABEL DO PARA</v>
      </c>
      <c r="H1013" s="1" t="str">
        <f ca="1">IFERROR(__xludf.DUMMYFUNCTION("""COMPUTED_VALUE"""),"11A URE - SANTA IZABEL DO PARA")</f>
        <v>11A URE - SANTA IZABEL DO PARA</v>
      </c>
      <c r="I1013" s="1"/>
      <c r="J1013" s="1" t="str">
        <f ca="1">IFERROR(__xludf.DUMMYFUNCTION("""COMPUTED_VALUE"""),"COLARES")</f>
        <v>COLARES</v>
      </c>
      <c r="K1013" s="1">
        <f ca="1">IFERROR(__xludf.DUMMYFUNCTION("""COMPUTED_VALUE"""),15048470)</f>
        <v>15048470</v>
      </c>
      <c r="L1013" s="2" t="str">
        <f ca="1">IFERROR(__xludf.DUMMYFUNCTION("""COMPUTED_VALUE"""),"001920921410000")</f>
        <v>001920921410000</v>
      </c>
      <c r="M1013" s="2" t="str">
        <f ca="1">IFERROR(__xludf.DUMMYFUNCTION("""COMPUTED_VALUE"""),"1920921410000")</f>
        <v>1920921410000</v>
      </c>
      <c r="N1013" s="1" t="str">
        <f ca="1">IFERROR(__xludf.DUMMYFUNCTION("""COMPUTED_VALUE"""),"EEEFM NORMA GUILHON")</f>
        <v>EEEFM NORMA GUILHON</v>
      </c>
      <c r="O1013" s="1"/>
      <c r="P1013" s="1"/>
      <c r="Q1013" s="1" t="s">
        <v>1023</v>
      </c>
    </row>
    <row r="1014" spans="1:17" x14ac:dyDescent="0.25">
      <c r="A1014" s="2" t="str">
        <f ca="1">IFERROR(__xludf.DUMMYFUNCTION("""COMPUTED_VALUE"""),"REG DE INTEGRA DO GUAMA")</f>
        <v>REG DE INTEGRA DO GUAMA</v>
      </c>
      <c r="B1014" s="1" t="str">
        <f ca="1">IFERROR(__xludf.DUMMYFUNCTION("""COMPUTED_VALUE"""),"DRE SANTA IZABEL DO PARA")</f>
        <v>DRE SANTA IZABEL DO PARA</v>
      </c>
      <c r="C1014" s="2" t="str">
        <f ca="1">IFERROR(__xludf.DUMMYFUNCTION("""COMPUTED_VALUE"""),"DRE - SANTA IZABEL DO PARA")</f>
        <v>DRE - SANTA IZABEL DO PARA</v>
      </c>
      <c r="D1014" s="1"/>
      <c r="E1014" s="2" t="str">
        <f ca="1">IFERROR(__xludf.DUMMYFUNCTION("""COMPUTED_VALUE"""),"DRE - SANTA IZABEL DO PARA")</f>
        <v>DRE - SANTA IZABEL DO PARA</v>
      </c>
      <c r="F1014" s="1">
        <f ca="1">IFERROR(__xludf.DUMMYFUNCTION("""COMPUTED_VALUE"""),3)</f>
        <v>3</v>
      </c>
      <c r="G1014" s="1" t="str">
        <f ca="1">IFERROR(__xludf.DUMMYFUNCTION("""COMPUTED_VALUE"""),"DRE SANTA IZABEL DO PARA")</f>
        <v>DRE SANTA IZABEL DO PARA</v>
      </c>
      <c r="H1014" s="1" t="str">
        <f ca="1">IFERROR(__xludf.DUMMYFUNCTION("""COMPUTED_VALUE"""),"11A URE - SANTA IZABEL DO PARA")</f>
        <v>11A URE - SANTA IZABEL DO PARA</v>
      </c>
      <c r="I1014" s="1"/>
      <c r="J1014" s="1" t="str">
        <f ca="1">IFERROR(__xludf.DUMMYFUNCTION("""COMPUTED_VALUE"""),"COLARES")</f>
        <v>COLARES</v>
      </c>
      <c r="K1014" s="1">
        <f ca="1">IFERROR(__xludf.DUMMYFUNCTION("""COMPUTED_VALUE"""),15048500)</f>
        <v>15048500</v>
      </c>
      <c r="L1014" s="2" t="str">
        <f ca="1">IFERROR(__xludf.DUMMYFUNCTION("""COMPUTED_VALUE"""),"001920921440000")</f>
        <v>001920921440000</v>
      </c>
      <c r="M1014" s="2" t="str">
        <f ca="1">IFERROR(__xludf.DUMMYFUNCTION("""COMPUTED_VALUE"""),"1920921440000")</f>
        <v>1920921440000</v>
      </c>
      <c r="N1014" s="1" t="str">
        <f ca="1">IFERROR(__xludf.DUMMYFUNCTION("""COMPUTED_VALUE"""),"EEEFM PRINCESA LEOPOLDINA")</f>
        <v>EEEFM PRINCESA LEOPOLDINA</v>
      </c>
      <c r="O1014" s="1"/>
      <c r="P1014" s="1"/>
      <c r="Q1014" s="1" t="s">
        <v>1023</v>
      </c>
    </row>
    <row r="1015" spans="1:17" x14ac:dyDescent="0.25">
      <c r="A1015" s="2" t="str">
        <f ca="1">IFERROR(__xludf.DUMMYFUNCTION("""COMPUTED_VALUE"""),"REG DE INTEGRA DO RIO CAPIM")</f>
        <v>REG DE INTEGRA DO RIO CAPIM</v>
      </c>
      <c r="B1015" s="1" t="str">
        <f ca="1">IFERROR(__xludf.DUMMYFUNCTION("""COMPUTED_VALUE"""),"DRE SANTA IZABEL DO PARA")</f>
        <v>DRE SANTA IZABEL DO PARA</v>
      </c>
      <c r="C1015" s="2" t="str">
        <f ca="1">IFERROR(__xludf.DUMMYFUNCTION("""COMPUTED_VALUE"""),"DRE - SANTA IZABEL DO PARA")</f>
        <v>DRE - SANTA IZABEL DO PARA</v>
      </c>
      <c r="D1015" s="1"/>
      <c r="E1015" s="2" t="str">
        <f ca="1">IFERROR(__xludf.DUMMYFUNCTION("""COMPUTED_VALUE"""),"DRE - SANTA IZABEL DO PARA")</f>
        <v>DRE - SANTA IZABEL DO PARA</v>
      </c>
      <c r="F1015" s="1">
        <f ca="1">IFERROR(__xludf.DUMMYFUNCTION("""COMPUTED_VALUE"""),3)</f>
        <v>3</v>
      </c>
      <c r="G1015" s="1"/>
      <c r="H1015" s="1" t="str">
        <f ca="1">IFERROR(__xludf.DUMMYFUNCTION("""COMPUTED_VALUE"""),"11A URE - SANTA IZABEL DO PARA")</f>
        <v>11A URE - SANTA IZABEL DO PARA</v>
      </c>
      <c r="I1015" s="1"/>
      <c r="J1015" s="1" t="str">
        <f ca="1">IFERROR(__xludf.DUMMYFUNCTION("""COMPUTED_VALUE"""),"CONCORDIA DO PARA")</f>
        <v>CONCORDIA DO PARA</v>
      </c>
      <c r="K1015" s="1">
        <f ca="1">IFERROR(__xludf.DUMMYFUNCTION("""COMPUTED_VALUE"""),15177505)</f>
        <v>15177505</v>
      </c>
      <c r="L1015" s="2" t="str">
        <f ca="1">IFERROR(__xludf.DUMMYFUNCTION("""COMPUTED_VALUE"""),"001920917250006")</f>
        <v>001920917250006</v>
      </c>
      <c r="M1015" s="2" t="str">
        <f ca="1">IFERROR(__xludf.DUMMYFUNCTION("""COMPUTED_VALUE"""),"1920917250006")</f>
        <v>1920917250006</v>
      </c>
      <c r="N1015" s="1" t="str">
        <f ca="1">IFERROR(__xludf.DUMMYFUNCTION("""COMPUTED_VALUE"""),"ANEXO RURAL AMABILIO ALVES PEREIRA")</f>
        <v>ANEXO RURAL AMABILIO ALVES PEREIRA</v>
      </c>
      <c r="O1015" s="1"/>
      <c r="P1015" s="1"/>
      <c r="Q1015" s="1" t="s">
        <v>1023</v>
      </c>
    </row>
    <row r="1016" spans="1:17" x14ac:dyDescent="0.25">
      <c r="A1016" s="2" t="str">
        <f ca="1">IFERROR(__xludf.DUMMYFUNCTION("""COMPUTED_VALUE"""),"REG DE INTEGRA DO RIO CAPIM")</f>
        <v>REG DE INTEGRA DO RIO CAPIM</v>
      </c>
      <c r="B1016" s="1" t="str">
        <f ca="1">IFERROR(__xludf.DUMMYFUNCTION("""COMPUTED_VALUE"""),"DRE SANTA IZABEL DO PARA")</f>
        <v>DRE SANTA IZABEL DO PARA</v>
      </c>
      <c r="C1016" s="2" t="str">
        <f ca="1">IFERROR(__xludf.DUMMYFUNCTION("""COMPUTED_VALUE"""),"DRE - SANTA IZABEL DO PARA")</f>
        <v>DRE - SANTA IZABEL DO PARA</v>
      </c>
      <c r="D1016" s="1"/>
      <c r="E1016" s="2" t="str">
        <f ca="1">IFERROR(__xludf.DUMMYFUNCTION("""COMPUTED_VALUE"""),"DRE - SANTA IZABEL DO PARA")</f>
        <v>DRE - SANTA IZABEL DO PARA</v>
      </c>
      <c r="F1016" s="1">
        <f ca="1">IFERROR(__xludf.DUMMYFUNCTION("""COMPUTED_VALUE"""),3)</f>
        <v>3</v>
      </c>
      <c r="G1016" s="1" t="str">
        <f ca="1">IFERROR(__xludf.DUMMYFUNCTION("""COMPUTED_VALUE"""),"DRE SANTA IZABEL DO PARA")</f>
        <v>DRE SANTA IZABEL DO PARA</v>
      </c>
      <c r="H1016" s="1" t="str">
        <f ca="1">IFERROR(__xludf.DUMMYFUNCTION("""COMPUTED_VALUE"""),"11A URE - SANTA IZABEL DO PARA")</f>
        <v>11A URE - SANTA IZABEL DO PARA</v>
      </c>
      <c r="I1016" s="1"/>
      <c r="J1016" s="1" t="str">
        <f ca="1">IFERROR(__xludf.DUMMYFUNCTION("""COMPUTED_VALUE"""),"CONCORDIA DO PARA")</f>
        <v>CONCORDIA DO PARA</v>
      </c>
      <c r="K1016" s="1">
        <f ca="1">IFERROR(__xludf.DUMMYFUNCTION("""COMPUTED_VALUE"""),15081052)</f>
        <v>15081052</v>
      </c>
      <c r="L1016" s="2" t="str">
        <f ca="1">IFERROR(__xludf.DUMMYFUNCTION("""COMPUTED_VALUE"""),"001920930060000")</f>
        <v>001920930060000</v>
      </c>
      <c r="M1016" s="2" t="str">
        <f ca="1">IFERROR(__xludf.DUMMYFUNCTION("""COMPUTED_VALUE"""),"1920930060000")</f>
        <v>1920930060000</v>
      </c>
      <c r="N1016" s="1" t="str">
        <f ca="1">IFERROR(__xludf.DUMMYFUNCTION("""COMPUTED_VALUE"""),"EEEF ALOISIO DA COSTA CHAVES")</f>
        <v>EEEF ALOISIO DA COSTA CHAVES</v>
      </c>
      <c r="O1016" s="1"/>
      <c r="P1016" s="1"/>
      <c r="Q1016" s="1" t="s">
        <v>1023</v>
      </c>
    </row>
    <row r="1017" spans="1:17" x14ac:dyDescent="0.25">
      <c r="A1017" s="2" t="str">
        <f ca="1">IFERROR(__xludf.DUMMYFUNCTION("""COMPUTED_VALUE"""),"REG DE INTEGRA DO RIO CAPIM")</f>
        <v>REG DE INTEGRA DO RIO CAPIM</v>
      </c>
      <c r="B1017" s="1" t="str">
        <f ca="1">IFERROR(__xludf.DUMMYFUNCTION("""COMPUTED_VALUE"""),"DRE SANTA IZABEL DO PARA")</f>
        <v>DRE SANTA IZABEL DO PARA</v>
      </c>
      <c r="C1017" s="2" t="str">
        <f ca="1">IFERROR(__xludf.DUMMYFUNCTION("""COMPUTED_VALUE"""),"DRE - SANTA IZABEL DO PARA")</f>
        <v>DRE - SANTA IZABEL DO PARA</v>
      </c>
      <c r="D1017" s="1"/>
      <c r="E1017" s="2" t="str">
        <f ca="1">IFERROR(__xludf.DUMMYFUNCTION("""COMPUTED_VALUE"""),"DRE - SANTA IZABEL DO PARA")</f>
        <v>DRE - SANTA IZABEL DO PARA</v>
      </c>
      <c r="F1017" s="1">
        <f ca="1">IFERROR(__xludf.DUMMYFUNCTION("""COMPUTED_VALUE"""),3)</f>
        <v>3</v>
      </c>
      <c r="G1017" s="1" t="str">
        <f ca="1">IFERROR(__xludf.DUMMYFUNCTION("""COMPUTED_VALUE"""),"DRE SANTA IZABEL DO PARA")</f>
        <v>DRE SANTA IZABEL DO PARA</v>
      </c>
      <c r="H1017" s="1" t="str">
        <f ca="1">IFERROR(__xludf.DUMMYFUNCTION("""COMPUTED_VALUE"""),"11A URE - SANTA IZABEL DO PARA")</f>
        <v>11A URE - SANTA IZABEL DO PARA</v>
      </c>
      <c r="I1017" s="1"/>
      <c r="J1017" s="1" t="str">
        <f ca="1">IFERROR(__xludf.DUMMYFUNCTION("""COMPUTED_VALUE"""),"CONCORDIA DO PARA")</f>
        <v>CONCORDIA DO PARA</v>
      </c>
      <c r="K1017" s="1">
        <f ca="1">IFERROR(__xludf.DUMMYFUNCTION("""COMPUTED_VALUE"""),15081044)</f>
        <v>15081044</v>
      </c>
      <c r="L1017" s="2" t="str">
        <f ca="1">IFERROR(__xludf.DUMMYFUNCTION("""COMPUTED_VALUE"""),"001920917250000")</f>
        <v>001920917250000</v>
      </c>
      <c r="M1017" s="2" t="str">
        <f ca="1">IFERROR(__xludf.DUMMYFUNCTION("""COMPUTED_VALUE"""),"1920917250000")</f>
        <v>1920917250000</v>
      </c>
      <c r="N1017" s="1" t="str">
        <f ca="1">IFERROR(__xludf.DUMMYFUNCTION("""COMPUTED_VALUE"""),"EEEFM AMABILIO ALVES PEREIRA")</f>
        <v>EEEFM AMABILIO ALVES PEREIRA</v>
      </c>
      <c r="O1017" s="1"/>
      <c r="P1017" s="1"/>
      <c r="Q1017" s="1" t="s">
        <v>1023</v>
      </c>
    </row>
    <row r="1018" spans="1:17" x14ac:dyDescent="0.25">
      <c r="A1018" s="2" t="str">
        <f ca="1">IFERROR(__xludf.DUMMYFUNCTION("""COMPUTED_VALUE"""),"REG DE INTEGRA DO RIO CAPIM")</f>
        <v>REG DE INTEGRA DO RIO CAPIM</v>
      </c>
      <c r="B1018" s="1" t="str">
        <f ca="1">IFERROR(__xludf.DUMMYFUNCTION("""COMPUTED_VALUE"""),"DRE SANTA IZABEL DO PARA")</f>
        <v>DRE SANTA IZABEL DO PARA</v>
      </c>
      <c r="C1018" s="2" t="str">
        <f ca="1">IFERROR(__xludf.DUMMYFUNCTION("""COMPUTED_VALUE"""),"DRE - SANTA IZABEL DO PARA")</f>
        <v>DRE - SANTA IZABEL DO PARA</v>
      </c>
      <c r="D1018" s="1"/>
      <c r="E1018" s="2" t="str">
        <f ca="1">IFERROR(__xludf.DUMMYFUNCTION("""COMPUTED_VALUE"""),"DRE - SANTA IZABEL DO PARA")</f>
        <v>DRE - SANTA IZABEL DO PARA</v>
      </c>
      <c r="F1018" s="1"/>
      <c r="G1018" s="1"/>
      <c r="H1018" s="1" t="str">
        <f ca="1">IFERROR(__xludf.DUMMYFUNCTION("""COMPUTED_VALUE"""),"11A URE - SANTA IZABEL DO PARA")</f>
        <v>11A URE - SANTA IZABEL DO PARA</v>
      </c>
      <c r="I1018" s="1"/>
      <c r="J1018" s="1" t="str">
        <f ca="1">IFERROR(__xludf.DUMMYFUNCTION("""COMPUTED_VALUE"""),"CONCORDIA DO PARA")</f>
        <v>CONCORDIA DO PARA</v>
      </c>
      <c r="K1018" s="1"/>
      <c r="L1018" s="2" t="str">
        <f ca="1">IFERROR(__xludf.DUMMYFUNCTION("""COMPUTED_VALUE"""),"001921011000000")</f>
        <v>001921011000000</v>
      </c>
      <c r="M1018" s="2" t="str">
        <f ca="1">IFERROR(__xludf.DUMMYFUNCTION("""COMPUTED_VALUE"""),"1921011000000")</f>
        <v>1921011000000</v>
      </c>
      <c r="N1018" s="1" t="str">
        <f ca="1">IFERROR(__xludf.DUMMYFUNCTION("""COMPUTED_VALUE"""),"ESCOLA ESTADUAL RURAL DE CONCORDIA DO PARA")</f>
        <v>ESCOLA ESTADUAL RURAL DE CONCORDIA DO PARA</v>
      </c>
      <c r="O1018" s="1"/>
      <c r="P1018" s="1"/>
      <c r="Q1018" s="1" t="s">
        <v>1023</v>
      </c>
    </row>
    <row r="1019" spans="1:17" x14ac:dyDescent="0.25">
      <c r="A1019" s="2" t="str">
        <f ca="1">IFERROR(__xludf.DUMMYFUNCTION("""COMPUTED_VALUE"""),"REG DE INTEGRA DO GUAMA")</f>
        <v>REG DE INTEGRA DO GUAMA</v>
      </c>
      <c r="B1019" s="1" t="str">
        <f ca="1">IFERROR(__xludf.DUMMYFUNCTION("""COMPUTED_VALUE"""),"DRE SANTA IZABEL DO PARA")</f>
        <v>DRE SANTA IZABEL DO PARA</v>
      </c>
      <c r="C1019" s="2" t="str">
        <f ca="1">IFERROR(__xludf.DUMMYFUNCTION("""COMPUTED_VALUE"""),"DRE - SANTA IZABEL DO PARA")</f>
        <v>DRE - SANTA IZABEL DO PARA</v>
      </c>
      <c r="D1019" s="1"/>
      <c r="E1019" s="2" t="str">
        <f ca="1">IFERROR(__xludf.DUMMYFUNCTION("""COMPUTED_VALUE"""),"DRE - SANTA IZABEL DO PARA")</f>
        <v>DRE - SANTA IZABEL DO PARA</v>
      </c>
      <c r="F1019" s="1">
        <f ca="1">IFERROR(__xludf.DUMMYFUNCTION("""COMPUTED_VALUE"""),3)</f>
        <v>3</v>
      </c>
      <c r="G1019" s="1" t="str">
        <f ca="1">IFERROR(__xludf.DUMMYFUNCTION("""COMPUTED_VALUE"""),"DRE SANTA IZABEL DO PARA")</f>
        <v>DRE SANTA IZABEL DO PARA</v>
      </c>
      <c r="H1019" s="1" t="str">
        <f ca="1">IFERROR(__xludf.DUMMYFUNCTION("""COMPUTED_VALUE"""),"11A URE - SANTA IZABEL DO PARA")</f>
        <v>11A URE - SANTA IZABEL DO PARA</v>
      </c>
      <c r="I1019" s="1"/>
      <c r="J1019" s="1" t="str">
        <f ca="1">IFERROR(__xludf.DUMMYFUNCTION("""COMPUTED_VALUE"""),"SANTA IZABEL DO PARA")</f>
        <v>SANTA IZABEL DO PARA</v>
      </c>
      <c r="K1019" s="1"/>
      <c r="L1019" s="2" t="str">
        <f ca="1">IFERROR(__xludf.DUMMYFUNCTION("""COMPUTED_VALUE"""),"001920900110000")</f>
        <v>001920900110000</v>
      </c>
      <c r="M1019" s="2" t="str">
        <f ca="1">IFERROR(__xludf.DUMMYFUNCTION("""COMPUTED_VALUE"""),"1920900110000")</f>
        <v>1920900110000</v>
      </c>
      <c r="N1019" s="1" t="str">
        <f ca="1">IFERROR(__xludf.DUMMYFUNCTION("""COMPUTED_VALUE"""),"11 URE")</f>
        <v>11 URE</v>
      </c>
      <c r="O1019" s="1"/>
      <c r="P1019" s="1"/>
      <c r="Q1019" s="1" t="s">
        <v>1023</v>
      </c>
    </row>
    <row r="1020" spans="1:17" x14ac:dyDescent="0.25">
      <c r="A1020" s="2" t="str">
        <f ca="1">IFERROR(__xludf.DUMMYFUNCTION("""COMPUTED_VALUE"""),"REG DE INTEGRA DO GUAMA")</f>
        <v>REG DE INTEGRA DO GUAMA</v>
      </c>
      <c r="B1020" s="1" t="str">
        <f ca="1">IFERROR(__xludf.DUMMYFUNCTION("""COMPUTED_VALUE"""),"DRE SANTA IZABEL DO PARA")</f>
        <v>DRE SANTA IZABEL DO PARA</v>
      </c>
      <c r="C1020" s="2" t="str">
        <f ca="1">IFERROR(__xludf.DUMMYFUNCTION("""COMPUTED_VALUE"""),"DRE - SANTA IZABEL DO PARA")</f>
        <v>DRE - SANTA IZABEL DO PARA</v>
      </c>
      <c r="D1020" s="1"/>
      <c r="E1020" s="2" t="str">
        <f ca="1">IFERROR(__xludf.DUMMYFUNCTION("""COMPUTED_VALUE"""),"DRE - SANTA IZABEL DO PARA")</f>
        <v>DRE - SANTA IZABEL DO PARA</v>
      </c>
      <c r="F1020" s="1">
        <f ca="1">IFERROR(__xludf.DUMMYFUNCTION("""COMPUTED_VALUE"""),3)</f>
        <v>3</v>
      </c>
      <c r="G1020" s="1" t="str">
        <f ca="1">IFERROR(__xludf.DUMMYFUNCTION("""COMPUTED_VALUE"""),"DRE SANTA IZABEL DO PARA")</f>
        <v>DRE SANTA IZABEL DO PARA</v>
      </c>
      <c r="H1020" s="1" t="str">
        <f ca="1">IFERROR(__xludf.DUMMYFUNCTION("""COMPUTED_VALUE"""),"11A URE - SANTA IZABEL DO PARA")</f>
        <v>11A URE - SANTA IZABEL DO PARA</v>
      </c>
      <c r="I1020" s="1"/>
      <c r="J1020" s="1" t="str">
        <f ca="1">IFERROR(__xludf.DUMMYFUNCTION("""COMPUTED_VALUE"""),"SANTA IZABEL DO PARA")</f>
        <v>SANTA IZABEL DO PARA</v>
      </c>
      <c r="K1020" s="1">
        <f ca="1">IFERROR(__xludf.DUMMYFUNCTION("""COMPUTED_VALUE"""),15046982)</f>
        <v>15046982</v>
      </c>
      <c r="L1020" s="2" t="str">
        <f ca="1">IFERROR(__xludf.DUMMYFUNCTION("""COMPUTED_VALUE"""),"001920924420001")</f>
        <v>001920924420001</v>
      </c>
      <c r="M1020" s="2" t="str">
        <f ca="1">IFERROR(__xludf.DUMMYFUNCTION("""COMPUTED_VALUE"""),"1920924420001")</f>
        <v>1920924420001</v>
      </c>
      <c r="N1020" s="1" t="str">
        <f ca="1">IFERROR(__xludf.DUMMYFUNCTION("""COMPUTED_VALUE"""),"EE CENTRO DE TREINAMENTO PROFIS GEOVANNI EMMI")</f>
        <v>EE CENTRO DE TREINAMENTO PROFIS GEOVANNI EMMI</v>
      </c>
      <c r="O1020" s="1"/>
      <c r="P1020" s="1"/>
      <c r="Q1020" s="1" t="s">
        <v>1023</v>
      </c>
    </row>
    <row r="1021" spans="1:17" x14ac:dyDescent="0.25">
      <c r="A1021" s="2" t="str">
        <f ca="1">IFERROR(__xludf.DUMMYFUNCTION("""COMPUTED_VALUE"""),"REG DE INTEGRA DO GUAMA")</f>
        <v>REG DE INTEGRA DO GUAMA</v>
      </c>
      <c r="B1021" s="1" t="str">
        <f ca="1">IFERROR(__xludf.DUMMYFUNCTION("""COMPUTED_VALUE"""),"DRE SANTA IZABEL DO PARA")</f>
        <v>DRE SANTA IZABEL DO PARA</v>
      </c>
      <c r="C1021" s="2" t="str">
        <f ca="1">IFERROR(__xludf.DUMMYFUNCTION("""COMPUTED_VALUE"""),"DRE - SANTA IZABEL DO PARA")</f>
        <v>DRE - SANTA IZABEL DO PARA</v>
      </c>
      <c r="D1021" s="1"/>
      <c r="E1021" s="2" t="str">
        <f ca="1">IFERROR(__xludf.DUMMYFUNCTION("""COMPUTED_VALUE"""),"DRE - SANTA IZABEL DO PARA")</f>
        <v>DRE - SANTA IZABEL DO PARA</v>
      </c>
      <c r="F1021" s="1">
        <f ca="1">IFERROR(__xludf.DUMMYFUNCTION("""COMPUTED_VALUE"""),3)</f>
        <v>3</v>
      </c>
      <c r="G1021" s="1" t="str">
        <f ca="1">IFERROR(__xludf.DUMMYFUNCTION("""COMPUTED_VALUE"""),"DRE SANTA IZABEL DO PARA")</f>
        <v>DRE SANTA IZABEL DO PARA</v>
      </c>
      <c r="H1021" s="1" t="str">
        <f ca="1">IFERROR(__xludf.DUMMYFUNCTION("""COMPUTED_VALUE"""),"11A URE - SANTA IZABEL DO PARA")</f>
        <v>11A URE - SANTA IZABEL DO PARA</v>
      </c>
      <c r="I1021" s="1"/>
      <c r="J1021" s="1" t="str">
        <f ca="1">IFERROR(__xludf.DUMMYFUNCTION("""COMPUTED_VALUE"""),"SANTA IZABEL DO PARA")</f>
        <v>SANTA IZABEL DO PARA</v>
      </c>
      <c r="K1021" s="1">
        <f ca="1">IFERROR(__xludf.DUMMYFUNCTION("""COMPUTED_VALUE"""),15168727)</f>
        <v>15168727</v>
      </c>
      <c r="L1021" s="2" t="str">
        <f ca="1">IFERROR(__xludf.DUMMYFUNCTION("""COMPUTED_VALUE"""),"001920938200000")</f>
        <v>001920938200000</v>
      </c>
      <c r="M1021" s="2" t="str">
        <f ca="1">IFERROR(__xludf.DUMMYFUNCTION("""COMPUTED_VALUE"""),"1920938200000")</f>
        <v>1920938200000</v>
      </c>
      <c r="N1021" s="1" t="str">
        <f ca="1">IFERROR(__xludf.DUMMYFUNCTION("""COMPUTED_VALUE"""),"EEEFM ROBERTO CARLOS NUNES BARROSO")</f>
        <v>EEEFM ROBERTO CARLOS NUNES BARROSO</v>
      </c>
      <c r="O1021" s="1"/>
      <c r="P1021" s="1"/>
      <c r="Q1021" s="1" t="s">
        <v>1023</v>
      </c>
    </row>
    <row r="1022" spans="1:17" x14ac:dyDescent="0.25">
      <c r="A1022" s="2" t="str">
        <f ca="1">IFERROR(__xludf.DUMMYFUNCTION("""COMPUTED_VALUE"""),"REG DE INTEGRA DO GUAMA")</f>
        <v>REG DE INTEGRA DO GUAMA</v>
      </c>
      <c r="B1022" s="1" t="str">
        <f ca="1">IFERROR(__xludf.DUMMYFUNCTION("""COMPUTED_VALUE"""),"DRE SANTA IZABEL DO PARA")</f>
        <v>DRE SANTA IZABEL DO PARA</v>
      </c>
      <c r="C1022" s="2" t="str">
        <f ca="1">IFERROR(__xludf.DUMMYFUNCTION("""COMPUTED_VALUE"""),"DRE - SANTA IZABEL DO PARA")</f>
        <v>DRE - SANTA IZABEL DO PARA</v>
      </c>
      <c r="D1022" s="1"/>
      <c r="E1022" s="2" t="str">
        <f ca="1">IFERROR(__xludf.DUMMYFUNCTION("""COMPUTED_VALUE"""),"DRE - SANTA IZABEL DO PARA")</f>
        <v>DRE - SANTA IZABEL DO PARA</v>
      </c>
      <c r="F1022" s="1">
        <f ca="1">IFERROR(__xludf.DUMMYFUNCTION("""COMPUTED_VALUE"""),3)</f>
        <v>3</v>
      </c>
      <c r="G1022" s="1" t="str">
        <f ca="1">IFERROR(__xludf.DUMMYFUNCTION("""COMPUTED_VALUE"""),"DRE SANTA IZABEL DO PARA")</f>
        <v>DRE SANTA IZABEL DO PARA</v>
      </c>
      <c r="H1022" s="1" t="str">
        <f ca="1">IFERROR(__xludf.DUMMYFUNCTION("""COMPUTED_VALUE"""),"11A URE - SANTA IZABEL DO PARA")</f>
        <v>11A URE - SANTA IZABEL DO PARA</v>
      </c>
      <c r="I1022" s="1"/>
      <c r="J1022" s="1" t="str">
        <f ca="1">IFERROR(__xludf.DUMMYFUNCTION("""COMPUTED_VALUE"""),"SANTA IZABEL DO PARA")</f>
        <v>SANTA IZABEL DO PARA</v>
      </c>
      <c r="K1022" s="1">
        <f ca="1">IFERROR(__xludf.DUMMYFUNCTION("""COMPUTED_VALUE"""),15047040)</f>
        <v>15047040</v>
      </c>
      <c r="L1022" s="2" t="str">
        <f ca="1">IFERROR(__xludf.DUMMYFUNCTION("""COMPUTED_VALUE"""),"001920924420000")</f>
        <v>001920924420000</v>
      </c>
      <c r="M1022" s="2" t="str">
        <f ca="1">IFERROR(__xludf.DUMMYFUNCTION("""COMPUTED_VALUE"""),"1920924420000")</f>
        <v>1920924420000</v>
      </c>
      <c r="N1022" s="1" t="str">
        <f ca="1">IFERROR(__xludf.DUMMYFUNCTION("""COMPUTED_VALUE"""),"EEEM ANTONIO LEMOS")</f>
        <v>EEEM ANTONIO LEMOS</v>
      </c>
      <c r="O1022" s="1"/>
      <c r="P1022" s="1"/>
      <c r="Q1022" s="1" t="s">
        <v>1023</v>
      </c>
    </row>
    <row r="1023" spans="1:17" x14ac:dyDescent="0.25">
      <c r="A1023" s="2" t="str">
        <f ca="1">IFERROR(__xludf.DUMMYFUNCTION("""COMPUTED_VALUE"""),"REG DE INTEGRA DO GUAMA")</f>
        <v>REG DE INTEGRA DO GUAMA</v>
      </c>
      <c r="B1023" s="1" t="str">
        <f ca="1">IFERROR(__xludf.DUMMYFUNCTION("""COMPUTED_VALUE"""),"DRE SANTA IZABEL DO PARA")</f>
        <v>DRE SANTA IZABEL DO PARA</v>
      </c>
      <c r="C1023" s="2" t="str">
        <f ca="1">IFERROR(__xludf.DUMMYFUNCTION("""COMPUTED_VALUE"""),"DRE - SANTA IZABEL DO PARA")</f>
        <v>DRE - SANTA IZABEL DO PARA</v>
      </c>
      <c r="D1023" s="1"/>
      <c r="E1023" s="2" t="str">
        <f ca="1">IFERROR(__xludf.DUMMYFUNCTION("""COMPUTED_VALUE"""),"DRE - SANTA IZABEL DO PARA")</f>
        <v>DRE - SANTA IZABEL DO PARA</v>
      </c>
      <c r="F1023" s="1">
        <f ca="1">IFERROR(__xludf.DUMMYFUNCTION("""COMPUTED_VALUE"""),3)</f>
        <v>3</v>
      </c>
      <c r="G1023" s="1" t="str">
        <f ca="1">IFERROR(__xludf.DUMMYFUNCTION("""COMPUTED_VALUE"""),"DRE SANTA IZABEL DO PARA")</f>
        <v>DRE SANTA IZABEL DO PARA</v>
      </c>
      <c r="H1023" s="1" t="str">
        <f ca="1">IFERROR(__xludf.DUMMYFUNCTION("""COMPUTED_VALUE"""),"11A URE - SANTA IZABEL DO PARA")</f>
        <v>11A URE - SANTA IZABEL DO PARA</v>
      </c>
      <c r="I1023" s="1"/>
      <c r="J1023" s="1" t="str">
        <f ca="1">IFERROR(__xludf.DUMMYFUNCTION("""COMPUTED_VALUE"""),"SANTA IZABEL DO PARA")</f>
        <v>SANTA IZABEL DO PARA</v>
      </c>
      <c r="K1023" s="1">
        <f ca="1">IFERROR(__xludf.DUMMYFUNCTION("""COMPUTED_VALUE"""),15150534)</f>
        <v>15150534</v>
      </c>
      <c r="L1023" s="2" t="str">
        <f ca="1">IFERROR(__xludf.DUMMYFUNCTION("""COMPUTED_VALUE"""),"001920929080000")</f>
        <v>001920929080000</v>
      </c>
      <c r="M1023" s="2" t="str">
        <f ca="1">IFERROR(__xludf.DUMMYFUNCTION("""COMPUTED_VALUE"""),"1920929080000")</f>
        <v>1920929080000</v>
      </c>
      <c r="N1023" s="1" t="str">
        <f ca="1">IFERROR(__xludf.DUMMYFUNCTION("""COMPUTED_VALUE"""),"EEEM IRMA ALBERTINA LEITAO")</f>
        <v>EEEM IRMA ALBERTINA LEITAO</v>
      </c>
      <c r="O1023" s="1"/>
      <c r="P1023" s="1"/>
      <c r="Q1023" s="1" t="s">
        <v>1023</v>
      </c>
    </row>
    <row r="1024" spans="1:17" x14ac:dyDescent="0.25">
      <c r="A1024" s="2" t="str">
        <f ca="1">IFERROR(__xludf.DUMMYFUNCTION("""COMPUTED_VALUE"""),"REG DE INTEGRA DO GUAMA")</f>
        <v>REG DE INTEGRA DO GUAMA</v>
      </c>
      <c r="B1024" s="1" t="str">
        <f ca="1">IFERROR(__xludf.DUMMYFUNCTION("""COMPUTED_VALUE"""),"DRE SANTA IZABEL DO PARA")</f>
        <v>DRE SANTA IZABEL DO PARA</v>
      </c>
      <c r="C1024" s="2" t="str">
        <f ca="1">IFERROR(__xludf.DUMMYFUNCTION("""COMPUTED_VALUE"""),"DRE - SANTA IZABEL DO PARA")</f>
        <v>DRE - SANTA IZABEL DO PARA</v>
      </c>
      <c r="D1024" s="1"/>
      <c r="E1024" s="2" t="str">
        <f ca="1">IFERROR(__xludf.DUMMYFUNCTION("""COMPUTED_VALUE"""),"DRE - SANTA IZABEL DO PARA")</f>
        <v>DRE - SANTA IZABEL DO PARA</v>
      </c>
      <c r="F1024" s="1">
        <f ca="1">IFERROR(__xludf.DUMMYFUNCTION("""COMPUTED_VALUE"""),3)</f>
        <v>3</v>
      </c>
      <c r="G1024" s="1" t="str">
        <f ca="1">IFERROR(__xludf.DUMMYFUNCTION("""COMPUTED_VALUE"""),"DRE SANTA IZABEL DO PARA")</f>
        <v>DRE SANTA IZABEL DO PARA</v>
      </c>
      <c r="H1024" s="1" t="str">
        <f ca="1">IFERROR(__xludf.DUMMYFUNCTION("""COMPUTED_VALUE"""),"11A URE - SANTA IZABEL DO PARA")</f>
        <v>11A URE - SANTA IZABEL DO PARA</v>
      </c>
      <c r="I1024" s="1"/>
      <c r="J1024" s="1" t="str">
        <f ca="1">IFERROR(__xludf.DUMMYFUNCTION("""COMPUTED_VALUE"""),"SANTA IZABEL DO PARA")</f>
        <v>SANTA IZABEL DO PARA</v>
      </c>
      <c r="K1024" s="1">
        <f ca="1">IFERROR(__xludf.DUMMYFUNCTION("""COMPUTED_VALUE"""),15047423)</f>
        <v>15047423</v>
      </c>
      <c r="L1024" s="2" t="str">
        <f ca="1">IFERROR(__xludf.DUMMYFUNCTION("""COMPUTED_VALUE"""),"001920921700000")</f>
        <v>001920921700000</v>
      </c>
      <c r="M1024" s="2" t="str">
        <f ca="1">IFERROR(__xludf.DUMMYFUNCTION("""COMPUTED_VALUE"""),"1920921700000")</f>
        <v>1920921700000</v>
      </c>
      <c r="N1024" s="1" t="str">
        <f ca="1">IFERROR(__xludf.DUMMYFUNCTION("""COMPUTED_VALUE"""),"EEEM MAGALHAES BARATA")</f>
        <v>EEEM MAGALHAES BARATA</v>
      </c>
      <c r="O1024" s="1"/>
      <c r="P1024" s="1"/>
      <c r="Q1024" s="1" t="s">
        <v>1023</v>
      </c>
    </row>
    <row r="1025" spans="1:17" x14ac:dyDescent="0.25">
      <c r="A1025" s="2" t="str">
        <f ca="1">IFERROR(__xludf.DUMMYFUNCTION("""COMPUTED_VALUE"""),"REG DE INTEGRA DO GUAMA")</f>
        <v>REG DE INTEGRA DO GUAMA</v>
      </c>
      <c r="B1025" s="1" t="str">
        <f ca="1">IFERROR(__xludf.DUMMYFUNCTION("""COMPUTED_VALUE"""),"DRE SANTA IZABEL DO PARA")</f>
        <v>DRE SANTA IZABEL DO PARA</v>
      </c>
      <c r="C1025" s="2" t="str">
        <f ca="1">IFERROR(__xludf.DUMMYFUNCTION("""COMPUTED_VALUE"""),"DRE - SANTA IZABEL DO PARA")</f>
        <v>DRE - SANTA IZABEL DO PARA</v>
      </c>
      <c r="D1025" s="1"/>
      <c r="E1025" s="2" t="str">
        <f ca="1">IFERROR(__xludf.DUMMYFUNCTION("""COMPUTED_VALUE"""),"DRE - SANTA IZABEL DO PARA")</f>
        <v>DRE - SANTA IZABEL DO PARA</v>
      </c>
      <c r="F1025" s="1">
        <f ca="1">IFERROR(__xludf.DUMMYFUNCTION("""COMPUTED_VALUE"""),3)</f>
        <v>3</v>
      </c>
      <c r="G1025" s="1" t="str">
        <f ca="1">IFERROR(__xludf.DUMMYFUNCTION("""COMPUTED_VALUE"""),"DRE SANTA IZABEL DO PARA")</f>
        <v>DRE SANTA IZABEL DO PARA</v>
      </c>
      <c r="H1025" s="1" t="str">
        <f ca="1">IFERROR(__xludf.DUMMYFUNCTION("""COMPUTED_VALUE"""),"11A URE - SANTA IZABEL DO PARA")</f>
        <v>11A URE - SANTA IZABEL DO PARA</v>
      </c>
      <c r="I1025" s="1"/>
      <c r="J1025" s="1" t="str">
        <f ca="1">IFERROR(__xludf.DUMMYFUNCTION("""COMPUTED_VALUE"""),"SANTA IZABEL DO PARA")</f>
        <v>SANTA IZABEL DO PARA</v>
      </c>
      <c r="K1025" s="1">
        <f ca="1">IFERROR(__xludf.DUMMYFUNCTION("""COMPUTED_VALUE"""),15561836)</f>
        <v>15561836</v>
      </c>
      <c r="L1025" s="2" t="str">
        <f ca="1">IFERROR(__xludf.DUMMYFUNCTION("""COMPUTED_VALUE"""),"001920929930000")</f>
        <v>001920929930000</v>
      </c>
      <c r="M1025" s="2" t="str">
        <f ca="1">IFERROR(__xludf.DUMMYFUNCTION("""COMPUTED_VALUE"""),"1920929930000")</f>
        <v>1920929930000</v>
      </c>
      <c r="N1025" s="1" t="str">
        <f ca="1">IFERROR(__xludf.DUMMYFUNCTION("""COMPUTED_VALUE"""),"EEEM PROFA MARIETA EMMI")</f>
        <v>EEEM PROFA MARIETA EMMI</v>
      </c>
      <c r="O1025" s="1"/>
      <c r="P1025" s="1"/>
      <c r="Q1025" s="1" t="s">
        <v>1023</v>
      </c>
    </row>
    <row r="1026" spans="1:17" x14ac:dyDescent="0.25">
      <c r="A1026" s="2" t="str">
        <f ca="1">IFERROR(__xludf.DUMMYFUNCTION("""COMPUTED_VALUE"""),"REG DE INTEGRA DO GUAMA")</f>
        <v>REG DE INTEGRA DO GUAMA</v>
      </c>
      <c r="B1026" s="1" t="str">
        <f ca="1">IFERROR(__xludf.DUMMYFUNCTION("""COMPUTED_VALUE"""),"DRE SANTA IZABEL DO PARA")</f>
        <v>DRE SANTA IZABEL DO PARA</v>
      </c>
      <c r="C1026" s="2" t="str">
        <f ca="1">IFERROR(__xludf.DUMMYFUNCTION("""COMPUTED_VALUE"""),"DRE - SANTA IZABEL DO PARA")</f>
        <v>DRE - SANTA IZABEL DO PARA</v>
      </c>
      <c r="D1026" s="1"/>
      <c r="E1026" s="2" t="str">
        <f ca="1">IFERROR(__xludf.DUMMYFUNCTION("""COMPUTED_VALUE"""),"DRE - SANTA IZABEL DO PARA")</f>
        <v>DRE - SANTA IZABEL DO PARA</v>
      </c>
      <c r="F1026" s="1">
        <f ca="1">IFERROR(__xludf.DUMMYFUNCTION("""COMPUTED_VALUE"""),3)</f>
        <v>3</v>
      </c>
      <c r="G1026" s="1" t="str">
        <f ca="1">IFERROR(__xludf.DUMMYFUNCTION("""COMPUTED_VALUE"""),"DRE SANTA IZABEL DO PARA")</f>
        <v>DRE SANTA IZABEL DO PARA</v>
      </c>
      <c r="H1026" s="1" t="str">
        <f ca="1">IFERROR(__xludf.DUMMYFUNCTION("""COMPUTED_VALUE"""),"11A URE - SANTA IZABEL DO PARA")</f>
        <v>11A URE - SANTA IZABEL DO PARA</v>
      </c>
      <c r="I1026" s="1"/>
      <c r="J1026" s="1" t="str">
        <f ca="1">IFERROR(__xludf.DUMMYFUNCTION("""COMPUTED_VALUE"""),"SANTA IZABEL DO PARA")</f>
        <v>SANTA IZABEL DO PARA</v>
      </c>
      <c r="K1026" s="1">
        <f ca="1">IFERROR(__xludf.DUMMYFUNCTION("""COMPUTED_VALUE"""),15175413)</f>
        <v>15175413</v>
      </c>
      <c r="L1026" s="2" t="str">
        <f ca="1">IFERROR(__xludf.DUMMYFUNCTION("""COMPUTED_VALUE"""),"001920947000000")</f>
        <v>001920947000000</v>
      </c>
      <c r="M1026" s="2" t="str">
        <f ca="1">IFERROR(__xludf.DUMMYFUNCTION("""COMPUTED_VALUE"""),"1920947000000")</f>
        <v>1920947000000</v>
      </c>
      <c r="N1026" s="1" t="str">
        <f ca="1">IFERROR(__xludf.DUMMYFUNCTION("""COMPUTED_VALUE"""),"EEEM PROFESSORA ELZA DE OLIVEIRA MAIA")</f>
        <v>EEEM PROFESSORA ELZA DE OLIVEIRA MAIA</v>
      </c>
      <c r="O1026" s="1"/>
      <c r="P1026" s="1"/>
      <c r="Q1026" s="1" t="s">
        <v>1023</v>
      </c>
    </row>
    <row r="1027" spans="1:17" x14ac:dyDescent="0.25">
      <c r="A1027" s="2" t="str">
        <f ca="1">IFERROR(__xludf.DUMMYFUNCTION("""COMPUTED_VALUE"""),"REG DE INTEGRA DO GUAMA")</f>
        <v>REG DE INTEGRA DO GUAMA</v>
      </c>
      <c r="B1027" s="1" t="str">
        <f ca="1">IFERROR(__xludf.DUMMYFUNCTION("""COMPUTED_VALUE"""),"DRE SANTA IZABEL DO PARA")</f>
        <v>DRE SANTA IZABEL DO PARA</v>
      </c>
      <c r="C1027" s="2" t="str">
        <f ca="1">IFERROR(__xludf.DUMMYFUNCTION("""COMPUTED_VALUE"""),"DRE - SANTA IZABEL DO PARA")</f>
        <v>DRE - SANTA IZABEL DO PARA</v>
      </c>
      <c r="D1027" s="1"/>
      <c r="E1027" s="2" t="str">
        <f ca="1">IFERROR(__xludf.DUMMYFUNCTION("""COMPUTED_VALUE"""),"DRE - SANTA IZABEL DO PARA")</f>
        <v>DRE - SANTA IZABEL DO PARA</v>
      </c>
      <c r="F1027" s="1">
        <f ca="1">IFERROR(__xludf.DUMMYFUNCTION("""COMPUTED_VALUE"""),3)</f>
        <v>3</v>
      </c>
      <c r="G1027" s="1"/>
      <c r="H1027" s="1" t="str">
        <f ca="1">IFERROR(__xludf.DUMMYFUNCTION("""COMPUTED_VALUE"""),"11A URE - SANTA IZABEL DO PARA")</f>
        <v>11A URE - SANTA IZABEL DO PARA</v>
      </c>
      <c r="I1027" s="1"/>
      <c r="J1027" s="1" t="str">
        <f ca="1">IFERROR(__xludf.DUMMYFUNCTION("""COMPUTED_VALUE"""),"SANTO ANTONIO DO TAUA")</f>
        <v>SANTO ANTONIO DO TAUA</v>
      </c>
      <c r="K1027" s="1">
        <f ca="1">IFERROR(__xludf.DUMMYFUNCTION("""COMPUTED_VALUE"""),15177548)</f>
        <v>15177548</v>
      </c>
      <c r="L1027" s="2" t="str">
        <f ca="1">IFERROR(__xludf.DUMMYFUNCTION("""COMPUTED_VALUE"""),"001920921540001")</f>
        <v>001920921540001</v>
      </c>
      <c r="M1027" s="2" t="str">
        <f ca="1">IFERROR(__xludf.DUMMYFUNCTION("""COMPUTED_VALUE"""),"1920921540001")</f>
        <v>1920921540001</v>
      </c>
      <c r="N1027" s="1" t="str">
        <f ca="1">IFERROR(__xludf.DUMMYFUNCTION("""COMPUTED_VALUE"""),"ANEXO RURAL INACIO MOURA")</f>
        <v>ANEXO RURAL INACIO MOURA</v>
      </c>
      <c r="O1027" s="1"/>
      <c r="P1027" s="1"/>
      <c r="Q1027" s="1" t="s">
        <v>1023</v>
      </c>
    </row>
    <row r="1028" spans="1:17" x14ac:dyDescent="0.25">
      <c r="A1028" s="2" t="str">
        <f ca="1">IFERROR(__xludf.DUMMYFUNCTION("""COMPUTED_VALUE"""),"REG DE INTEGRA DO GUAMA")</f>
        <v>REG DE INTEGRA DO GUAMA</v>
      </c>
      <c r="B1028" s="1" t="str">
        <f ca="1">IFERROR(__xludf.DUMMYFUNCTION("""COMPUTED_VALUE"""),"DRE SANTA IZABEL DO PARA")</f>
        <v>DRE SANTA IZABEL DO PARA</v>
      </c>
      <c r="C1028" s="2" t="str">
        <f ca="1">IFERROR(__xludf.DUMMYFUNCTION("""COMPUTED_VALUE"""),"DRE - SANTA IZABEL DO PARA")</f>
        <v>DRE - SANTA IZABEL DO PARA</v>
      </c>
      <c r="D1028" s="1"/>
      <c r="E1028" s="2" t="str">
        <f ca="1">IFERROR(__xludf.DUMMYFUNCTION("""COMPUTED_VALUE"""),"DRE - SANTA IZABEL DO PARA")</f>
        <v>DRE - SANTA IZABEL DO PARA</v>
      </c>
      <c r="F1028" s="1">
        <f ca="1">IFERROR(__xludf.DUMMYFUNCTION("""COMPUTED_VALUE"""),3)</f>
        <v>3</v>
      </c>
      <c r="G1028" s="1" t="str">
        <f ca="1">IFERROR(__xludf.DUMMYFUNCTION("""COMPUTED_VALUE"""),"DRE SANTA IZABEL DO PARA")</f>
        <v>DRE SANTA IZABEL DO PARA</v>
      </c>
      <c r="H1028" s="1" t="str">
        <f ca="1">IFERROR(__xludf.DUMMYFUNCTION("""COMPUTED_VALUE"""),"11A URE - SANTA IZABEL DO PARA")</f>
        <v>11A URE - SANTA IZABEL DO PARA</v>
      </c>
      <c r="I1028" s="1"/>
      <c r="J1028" s="1" t="str">
        <f ca="1">IFERROR(__xludf.DUMMYFUNCTION("""COMPUTED_VALUE"""),"SANTO ANTONIO DO TAUA")</f>
        <v>SANTO ANTONIO DO TAUA</v>
      </c>
      <c r="K1028" s="1">
        <f ca="1">IFERROR(__xludf.DUMMYFUNCTION("""COMPUTED_VALUE"""),15578011)</f>
        <v>15578011</v>
      </c>
      <c r="L1028" s="2" t="str">
        <f ca="1">IFERROR(__xludf.DUMMYFUNCTION("""COMPUTED_VALUE"""),"001920936040000")</f>
        <v>001920936040000</v>
      </c>
      <c r="M1028" s="2" t="str">
        <f ca="1">IFERROR(__xludf.DUMMYFUNCTION("""COMPUTED_VALUE"""),"1920936040000")</f>
        <v>1920936040000</v>
      </c>
      <c r="N1028" s="1" t="str">
        <f ca="1">IFERROR(__xludf.DUMMYFUNCTION("""COMPUTED_VALUE"""),"EEEM CELSO RODRIGUES")</f>
        <v>EEEM CELSO RODRIGUES</v>
      </c>
      <c r="O1028" s="1"/>
      <c r="P1028" s="1"/>
      <c r="Q1028" s="1" t="s">
        <v>1023</v>
      </c>
    </row>
    <row r="1029" spans="1:17" x14ac:dyDescent="0.25">
      <c r="A1029" s="2" t="str">
        <f ca="1">IFERROR(__xludf.DUMMYFUNCTION("""COMPUTED_VALUE"""),"REG DE INTEGRA DO GUAMA")</f>
        <v>REG DE INTEGRA DO GUAMA</v>
      </c>
      <c r="B1029" s="1" t="str">
        <f ca="1">IFERROR(__xludf.DUMMYFUNCTION("""COMPUTED_VALUE"""),"DRE SANTA IZABEL DO PARA")</f>
        <v>DRE SANTA IZABEL DO PARA</v>
      </c>
      <c r="C1029" s="2" t="str">
        <f ca="1">IFERROR(__xludf.DUMMYFUNCTION("""COMPUTED_VALUE"""),"DRE - SANTA IZABEL DO PARA")</f>
        <v>DRE - SANTA IZABEL DO PARA</v>
      </c>
      <c r="D1029" s="1"/>
      <c r="E1029" s="2" t="str">
        <f ca="1">IFERROR(__xludf.DUMMYFUNCTION("""COMPUTED_VALUE"""),"DRE - SANTA IZABEL DO PARA")</f>
        <v>DRE - SANTA IZABEL DO PARA</v>
      </c>
      <c r="F1029" s="1">
        <f ca="1">IFERROR(__xludf.DUMMYFUNCTION("""COMPUTED_VALUE"""),3)</f>
        <v>3</v>
      </c>
      <c r="G1029" s="1" t="str">
        <f ca="1">IFERROR(__xludf.DUMMYFUNCTION("""COMPUTED_VALUE"""),"DRE SANTA IZABEL DO PARA")</f>
        <v>DRE SANTA IZABEL DO PARA</v>
      </c>
      <c r="H1029" s="1" t="str">
        <f ca="1">IFERROR(__xludf.DUMMYFUNCTION("""COMPUTED_VALUE"""),"11A URE - SANTA IZABEL DO PARA")</f>
        <v>11A URE - SANTA IZABEL DO PARA</v>
      </c>
      <c r="I1029" s="1"/>
      <c r="J1029" s="1" t="str">
        <f ca="1">IFERROR(__xludf.DUMMYFUNCTION("""COMPUTED_VALUE"""),"SANTO ANTONIO DO TAUA")</f>
        <v>SANTO ANTONIO DO TAUA</v>
      </c>
      <c r="K1029" s="1">
        <f ca="1">IFERROR(__xludf.DUMMYFUNCTION("""COMPUTED_VALUE"""),15047849)</f>
        <v>15047849</v>
      </c>
      <c r="L1029" s="2" t="str">
        <f ca="1">IFERROR(__xludf.DUMMYFUNCTION("""COMPUTED_VALUE"""),"001920921540000")</f>
        <v>001920921540000</v>
      </c>
      <c r="M1029" s="2" t="str">
        <f ca="1">IFERROR(__xludf.DUMMYFUNCTION("""COMPUTED_VALUE"""),"1920921540000")</f>
        <v>1920921540000</v>
      </c>
      <c r="N1029" s="1" t="str">
        <f ca="1">IFERROR(__xludf.DUMMYFUNCTION("""COMPUTED_VALUE"""),"EEEM INACIO MOURA SEDE")</f>
        <v>EEEM INACIO MOURA SEDE</v>
      </c>
      <c r="O1029" s="1"/>
      <c r="P1029" s="1"/>
      <c r="Q1029" s="1" t="s">
        <v>1023</v>
      </c>
    </row>
    <row r="1030" spans="1:17" x14ac:dyDescent="0.25">
      <c r="A1030" s="2" t="str">
        <f ca="1">IFERROR(__xludf.DUMMYFUNCTION("""COMPUTED_VALUE"""),"REG DE INTEGRA DO GUAMA")</f>
        <v>REG DE INTEGRA DO GUAMA</v>
      </c>
      <c r="B1030" s="1" t="str">
        <f ca="1">IFERROR(__xludf.DUMMYFUNCTION("""COMPUTED_VALUE"""),"DRE SANTA IZABEL DO PARA")</f>
        <v>DRE SANTA IZABEL DO PARA</v>
      </c>
      <c r="C1030" s="2" t="str">
        <f ca="1">IFERROR(__xludf.DUMMYFUNCTION("""COMPUTED_VALUE"""),"DRE - SANTA IZABEL DO PARA")</f>
        <v>DRE - SANTA IZABEL DO PARA</v>
      </c>
      <c r="D1030" s="1"/>
      <c r="E1030" s="2" t="str">
        <f ca="1">IFERROR(__xludf.DUMMYFUNCTION("""COMPUTED_VALUE"""),"DRE - SANTA IZABEL DO PARA")</f>
        <v>DRE - SANTA IZABEL DO PARA</v>
      </c>
      <c r="F1030" s="1"/>
      <c r="G1030" s="1"/>
      <c r="H1030" s="1" t="str">
        <f ca="1">IFERROR(__xludf.DUMMYFUNCTION("""COMPUTED_VALUE"""),"11A URE - SANTA IZABEL DO PARA")</f>
        <v>11A URE - SANTA IZABEL DO PARA</v>
      </c>
      <c r="I1030" s="1"/>
      <c r="J1030" s="1" t="str">
        <f ca="1">IFERROR(__xludf.DUMMYFUNCTION("""COMPUTED_VALUE"""),"SANTO ANTONIO DO TAUA")</f>
        <v>SANTO ANTONIO DO TAUA</v>
      </c>
      <c r="K1030" s="1"/>
      <c r="L1030" s="2" t="str">
        <f ca="1">IFERROR(__xludf.DUMMYFUNCTION("""COMPUTED_VALUE"""),"001921012000000")</f>
        <v>001921012000000</v>
      </c>
      <c r="M1030" s="2" t="str">
        <f ca="1">IFERROR(__xludf.DUMMYFUNCTION("""COMPUTED_VALUE"""),"1921012000000")</f>
        <v>1921012000000</v>
      </c>
      <c r="N1030" s="1" t="str">
        <f ca="1">IFERROR(__xludf.DUMMYFUNCTION("""COMPUTED_VALUE"""),"ESCOLA ESTADUAL RURAL DE SANTO ANTONIO DO TAUA")</f>
        <v>ESCOLA ESTADUAL RURAL DE SANTO ANTONIO DO TAUA</v>
      </c>
      <c r="O1030" s="1"/>
      <c r="P1030" s="1"/>
      <c r="Q1030" s="1" t="s">
        <v>1023</v>
      </c>
    </row>
    <row r="1031" spans="1:17" x14ac:dyDescent="0.25">
      <c r="A1031" s="2" t="str">
        <f ca="1">IFERROR(__xludf.DUMMYFUNCTION("""COMPUTED_VALUE"""),"REG DE INTEGRA DO GUAMA")</f>
        <v>REG DE INTEGRA DO GUAMA</v>
      </c>
      <c r="B1031" s="1" t="str">
        <f ca="1">IFERROR(__xludf.DUMMYFUNCTION("""COMPUTED_VALUE"""),"DRE SANTA IZABEL DO PARA")</f>
        <v>DRE SANTA IZABEL DO PARA</v>
      </c>
      <c r="C1031" s="2" t="str">
        <f ca="1">IFERROR(__xludf.DUMMYFUNCTION("""COMPUTED_VALUE"""),"DRE - SANTA IZABEL DO PARA")</f>
        <v>DRE - SANTA IZABEL DO PARA</v>
      </c>
      <c r="D1031" s="1"/>
      <c r="E1031" s="2" t="str">
        <f ca="1">IFERROR(__xludf.DUMMYFUNCTION("""COMPUTED_VALUE"""),"DRE - SANTA IZABEL DO PARA")</f>
        <v>DRE - SANTA IZABEL DO PARA</v>
      </c>
      <c r="F1031" s="1">
        <f ca="1">IFERROR(__xludf.DUMMYFUNCTION("""COMPUTED_VALUE"""),3)</f>
        <v>3</v>
      </c>
      <c r="G1031" s="1" t="str">
        <f ca="1">IFERROR(__xludf.DUMMYFUNCTION("""COMPUTED_VALUE"""),"DRE SANTA IZABEL DO PARA")</f>
        <v>DRE SANTA IZABEL DO PARA</v>
      </c>
      <c r="H1031" s="1" t="str">
        <f ca="1">IFERROR(__xludf.DUMMYFUNCTION("""COMPUTED_VALUE"""),"11A URE - SANTA IZABEL DO PARA")</f>
        <v>11A URE - SANTA IZABEL DO PARA</v>
      </c>
      <c r="I1031" s="1"/>
      <c r="J1031" s="1" t="str">
        <f ca="1">IFERROR(__xludf.DUMMYFUNCTION("""COMPUTED_VALUE"""),"SANTO ANTONIO DO TAUA")</f>
        <v>SANTO ANTONIO DO TAUA</v>
      </c>
      <c r="K1031" s="1">
        <f ca="1">IFERROR(__xludf.DUMMYFUNCTION("""COMPUTED_VALUE"""),15518205)</f>
        <v>15518205</v>
      </c>
      <c r="L1031" s="2" t="str">
        <f ca="1">IFERROR(__xludf.DUMMYFUNCTION("""COMPUTED_VALUE"""),"001920935080000")</f>
        <v>001920935080000</v>
      </c>
      <c r="M1031" s="2" t="str">
        <f ca="1">IFERROR(__xludf.DUMMYFUNCTION("""COMPUTED_VALUE"""),"1920935080000")</f>
        <v>1920935080000</v>
      </c>
      <c r="N1031" s="1" t="str">
        <f ca="1">IFERROR(__xludf.DUMMYFUNCTION("""COMPUTED_VALUE"""),"UTE PROFÃƒÂ‚Ã‚Âª MARLI ALMEIDA FONTENELLE DE CASTRO")</f>
        <v>UTE PROFÃƒÂ‚Ã‚Âª MARLI ALMEIDA FONTENELLE DE CASTRO</v>
      </c>
      <c r="O1031" s="1"/>
      <c r="P1031" s="1"/>
      <c r="Q1031" s="1" t="s">
        <v>1023</v>
      </c>
    </row>
    <row r="1032" spans="1:17" x14ac:dyDescent="0.25">
      <c r="A1032" s="2" t="str">
        <f ca="1">IFERROR(__xludf.DUMMYFUNCTION("""COMPUTED_VALUE"""),"REG DE INTEGRA DO GUAMA")</f>
        <v>REG DE INTEGRA DO GUAMA</v>
      </c>
      <c r="B1032" s="1" t="str">
        <f ca="1">IFERROR(__xludf.DUMMYFUNCTION("""COMPUTED_VALUE"""),"DRE SANTA IZABEL DO PARA")</f>
        <v>DRE SANTA IZABEL DO PARA</v>
      </c>
      <c r="C1032" s="2" t="str">
        <f ca="1">IFERROR(__xludf.DUMMYFUNCTION("""COMPUTED_VALUE"""),"DRE - SANTA IZABEL DO PARA")</f>
        <v>DRE - SANTA IZABEL DO PARA</v>
      </c>
      <c r="D1032" s="1"/>
      <c r="E1032" s="2" t="str">
        <f ca="1">IFERROR(__xludf.DUMMYFUNCTION("""COMPUTED_VALUE"""),"DRE - SANTA IZABEL DO PARA")</f>
        <v>DRE - SANTA IZABEL DO PARA</v>
      </c>
      <c r="F1032" s="1">
        <f ca="1">IFERROR(__xludf.DUMMYFUNCTION("""COMPUTED_VALUE"""),3)</f>
        <v>3</v>
      </c>
      <c r="G1032" s="1" t="str">
        <f ca="1">IFERROR(__xludf.DUMMYFUNCTION("""COMPUTED_VALUE"""),"DRE SANTA IZABEL DO PARA")</f>
        <v>DRE SANTA IZABEL DO PARA</v>
      </c>
      <c r="H1032" s="1" t="str">
        <f ca="1">IFERROR(__xludf.DUMMYFUNCTION("""COMPUTED_VALUE"""),"11A URE - SANTA IZABEL DO PARA")</f>
        <v>11A URE - SANTA IZABEL DO PARA</v>
      </c>
      <c r="I1032" s="1"/>
      <c r="J1032" s="1" t="str">
        <f ca="1">IFERROR(__xludf.DUMMYFUNCTION("""COMPUTED_VALUE"""),"SAO CAETANO DE ODIVELAS")</f>
        <v>SAO CAETANO DE ODIVELAS</v>
      </c>
      <c r="K1032" s="1">
        <f ca="1">IFERROR(__xludf.DUMMYFUNCTION("""COMPUTED_VALUE"""),15052761)</f>
        <v>15052761</v>
      </c>
      <c r="L1032" s="2" t="str">
        <f ca="1">IFERROR(__xludf.DUMMYFUNCTION("""COMPUTED_VALUE"""),"001920928140000")</f>
        <v>001920928140000</v>
      </c>
      <c r="M1032" s="2" t="str">
        <f ca="1">IFERROR(__xludf.DUMMYFUNCTION("""COMPUTED_VALUE"""),"1920928140000")</f>
        <v>1920928140000</v>
      </c>
      <c r="N1032" s="1" t="str">
        <f ca="1">IFERROR(__xludf.DUMMYFUNCTION("""COMPUTED_VALUE"""),"EEEF ROSA ROCHA ALMEIDA")</f>
        <v>EEEF ROSA ROCHA ALMEIDA</v>
      </c>
      <c r="O1032" s="1"/>
      <c r="P1032" s="1"/>
      <c r="Q1032" s="1" t="s">
        <v>1023</v>
      </c>
    </row>
    <row r="1033" spans="1:17" x14ac:dyDescent="0.25">
      <c r="A1033" s="2" t="str">
        <f ca="1">IFERROR(__xludf.DUMMYFUNCTION("""COMPUTED_VALUE"""),"REG DE INTEGRA DO GUAMA")</f>
        <v>REG DE INTEGRA DO GUAMA</v>
      </c>
      <c r="B1033" s="1" t="str">
        <f ca="1">IFERROR(__xludf.DUMMYFUNCTION("""COMPUTED_VALUE"""),"DRE SANTA IZABEL DO PARA")</f>
        <v>DRE SANTA IZABEL DO PARA</v>
      </c>
      <c r="C1033" s="2" t="str">
        <f ca="1">IFERROR(__xludf.DUMMYFUNCTION("""COMPUTED_VALUE"""),"DRE - SANTA IZABEL DO PARA")</f>
        <v>DRE - SANTA IZABEL DO PARA</v>
      </c>
      <c r="D1033" s="1"/>
      <c r="E1033" s="2" t="str">
        <f ca="1">IFERROR(__xludf.DUMMYFUNCTION("""COMPUTED_VALUE"""),"DRE - SANTA IZABEL DO PARA")</f>
        <v>DRE - SANTA IZABEL DO PARA</v>
      </c>
      <c r="F1033" s="1">
        <f ca="1">IFERROR(__xludf.DUMMYFUNCTION("""COMPUTED_VALUE"""),3)</f>
        <v>3</v>
      </c>
      <c r="G1033" s="1" t="str">
        <f ca="1">IFERROR(__xludf.DUMMYFUNCTION("""COMPUTED_VALUE"""),"DRE SANTA IZABEL DO PARA")</f>
        <v>DRE SANTA IZABEL DO PARA</v>
      </c>
      <c r="H1033" s="1" t="str">
        <f ca="1">IFERROR(__xludf.DUMMYFUNCTION("""COMPUTED_VALUE"""),"11A URE - SANTA IZABEL DO PARA")</f>
        <v>11A URE - SANTA IZABEL DO PARA</v>
      </c>
      <c r="I1033" s="1"/>
      <c r="J1033" s="1" t="str">
        <f ca="1">IFERROR(__xludf.DUMMYFUNCTION("""COMPUTED_VALUE"""),"SAO CAETANO DE ODIVELAS")</f>
        <v>SAO CAETANO DE ODIVELAS</v>
      </c>
      <c r="K1033" s="1">
        <f ca="1">IFERROR(__xludf.DUMMYFUNCTION("""COMPUTED_VALUE"""),15052737)</f>
        <v>15052737</v>
      </c>
      <c r="L1033" s="2" t="str">
        <f ca="1">IFERROR(__xludf.DUMMYFUNCTION("""COMPUTED_VALUE"""),"001920920810000")</f>
        <v>001920920810000</v>
      </c>
      <c r="M1033" s="2" t="str">
        <f ca="1">IFERROR(__xludf.DUMMYFUNCTION("""COMPUTED_VALUE"""),"1920920810000")</f>
        <v>1920920810000</v>
      </c>
      <c r="N1033" s="1" t="str">
        <f ca="1">IFERROR(__xludf.DUMMYFUNCTION("""COMPUTED_VALUE"""),"EEEFM DESEMBARGADOR OSVALDO BRITO DE FARIAS SEDE")</f>
        <v>EEEFM DESEMBARGADOR OSVALDO BRITO DE FARIAS SEDE</v>
      </c>
      <c r="O1033" s="1"/>
      <c r="P1033" s="1"/>
      <c r="Q1033" s="1" t="s">
        <v>1023</v>
      </c>
    </row>
    <row r="1034" spans="1:17" x14ac:dyDescent="0.25">
      <c r="A1034" s="2" t="str">
        <f ca="1">IFERROR(__xludf.DUMMYFUNCTION("""COMPUTED_VALUE"""),"REG DE INTEGRA DO RIO CAPIM")</f>
        <v>REG DE INTEGRA DO RIO CAPIM</v>
      </c>
      <c r="B1034" s="1" t="str">
        <f ca="1">IFERROR(__xludf.DUMMYFUNCTION("""COMPUTED_VALUE"""),"DRE SANTA IZABEL DO PARA")</f>
        <v>DRE SANTA IZABEL DO PARA</v>
      </c>
      <c r="C1034" s="2" t="str">
        <f ca="1">IFERROR(__xludf.DUMMYFUNCTION("""COMPUTED_VALUE"""),"DRE - SANTA IZABEL DO PARA")</f>
        <v>DRE - SANTA IZABEL DO PARA</v>
      </c>
      <c r="D1034" s="1"/>
      <c r="E1034" s="2" t="str">
        <f ca="1">IFERROR(__xludf.DUMMYFUNCTION("""COMPUTED_VALUE"""),"DRE - SANTA IZABEL DO PARA")</f>
        <v>DRE - SANTA IZABEL DO PARA</v>
      </c>
      <c r="F1034" s="1">
        <f ca="1">IFERROR(__xludf.DUMMYFUNCTION("""COMPUTED_VALUE"""),3)</f>
        <v>3</v>
      </c>
      <c r="G1034" s="1"/>
      <c r="H1034" s="1" t="str">
        <f ca="1">IFERROR(__xludf.DUMMYFUNCTION("""COMPUTED_VALUE"""),"11A URE - SANTA IZABEL DO PARA")</f>
        <v>11A URE - SANTA IZABEL DO PARA</v>
      </c>
      <c r="I1034" s="1"/>
      <c r="J1034" s="1" t="str">
        <f ca="1">IFERROR(__xludf.DUMMYFUNCTION("""COMPUTED_VALUE"""),"TOME ACU")</f>
        <v>TOME ACU</v>
      </c>
      <c r="K1034" s="1">
        <f ca="1">IFERROR(__xludf.DUMMYFUNCTION("""COMPUTED_VALUE"""),15177610)</f>
        <v>15177610</v>
      </c>
      <c r="L1034" s="2" t="str">
        <f ca="1">IFERROR(__xludf.DUMMYFUNCTION("""COMPUTED_VALUE"""),"001920917370003")</f>
        <v>001920917370003</v>
      </c>
      <c r="M1034" s="2" t="str">
        <f ca="1">IFERROR(__xludf.DUMMYFUNCTION("""COMPUTED_VALUE"""),"1920917370003")</f>
        <v>1920917370003</v>
      </c>
      <c r="N1034" s="1" t="str">
        <f ca="1">IFERROR(__xludf.DUMMYFUNCTION("""COMPUTED_VALUE"""),"ANEXO RURAL ANTONIO BRASIL")</f>
        <v>ANEXO RURAL ANTONIO BRASIL</v>
      </c>
      <c r="O1034" s="1"/>
      <c r="P1034" s="1"/>
      <c r="Q1034" s="1" t="s">
        <v>1023</v>
      </c>
    </row>
    <row r="1035" spans="1:17" x14ac:dyDescent="0.25">
      <c r="A1035" s="2" t="str">
        <f ca="1">IFERROR(__xludf.DUMMYFUNCTION("""COMPUTED_VALUE"""),"REG DE INTEGRA DO RIO CAPIM")</f>
        <v>REG DE INTEGRA DO RIO CAPIM</v>
      </c>
      <c r="B1035" s="1" t="str">
        <f ca="1">IFERROR(__xludf.DUMMYFUNCTION("""COMPUTED_VALUE"""),"DRE SANTA IZABEL DO PARA")</f>
        <v>DRE SANTA IZABEL DO PARA</v>
      </c>
      <c r="C1035" s="2" t="str">
        <f ca="1">IFERROR(__xludf.DUMMYFUNCTION("""COMPUTED_VALUE"""),"DRE - SANTA IZABEL DO PARA")</f>
        <v>DRE - SANTA IZABEL DO PARA</v>
      </c>
      <c r="D1035" s="1"/>
      <c r="E1035" s="2" t="str">
        <f ca="1">IFERROR(__xludf.DUMMYFUNCTION("""COMPUTED_VALUE"""),"DRE - SANTA IZABEL DO PARA")</f>
        <v>DRE - SANTA IZABEL DO PARA</v>
      </c>
      <c r="F1035" s="1">
        <f ca="1">IFERROR(__xludf.DUMMYFUNCTION("""COMPUTED_VALUE"""),3)</f>
        <v>3</v>
      </c>
      <c r="G1035" s="1" t="str">
        <f ca="1">IFERROR(__xludf.DUMMYFUNCTION("""COMPUTED_VALUE"""),"DRE SANTA IZABEL DO PARA")</f>
        <v>DRE SANTA IZABEL DO PARA</v>
      </c>
      <c r="H1035" s="1" t="str">
        <f ca="1">IFERROR(__xludf.DUMMYFUNCTION("""COMPUTED_VALUE"""),"11A URE - SANTA IZABEL DO PARA")</f>
        <v>11A URE - SANTA IZABEL DO PARA</v>
      </c>
      <c r="I1035" s="1"/>
      <c r="J1035" s="1" t="str">
        <f ca="1">IFERROR(__xludf.DUMMYFUNCTION("""COMPUTED_VALUE"""),"TOME ACU")</f>
        <v>TOME ACU</v>
      </c>
      <c r="K1035" s="1">
        <f ca="1">IFERROR(__xludf.DUMMYFUNCTION("""COMPUTED_VALUE"""),15085490)</f>
        <v>15085490</v>
      </c>
      <c r="L1035" s="2" t="str">
        <f ca="1">IFERROR(__xludf.DUMMYFUNCTION("""COMPUTED_VALUE"""),"001920917370000")</f>
        <v>001920917370000</v>
      </c>
      <c r="M1035" s="2" t="str">
        <f ca="1">IFERROR(__xludf.DUMMYFUNCTION("""COMPUTED_VALUE"""),"1920917370000")</f>
        <v>1920917370000</v>
      </c>
      <c r="N1035" s="1" t="str">
        <f ca="1">IFERROR(__xludf.DUMMYFUNCTION("""COMPUTED_VALUE"""),"EEEM ANTONIO BRASIL")</f>
        <v>EEEM ANTONIO BRASIL</v>
      </c>
      <c r="O1035" s="1"/>
      <c r="P1035" s="1"/>
      <c r="Q1035" s="1" t="s">
        <v>1023</v>
      </c>
    </row>
    <row r="1036" spans="1:17" x14ac:dyDescent="0.25">
      <c r="A1036" s="2" t="str">
        <f ca="1">IFERROR(__xludf.DUMMYFUNCTION("""COMPUTED_VALUE"""),"REG DE INTEGRA DO RIO CAPIM")</f>
        <v>REG DE INTEGRA DO RIO CAPIM</v>
      </c>
      <c r="B1036" s="1" t="str">
        <f ca="1">IFERROR(__xludf.DUMMYFUNCTION("""COMPUTED_VALUE"""),"DRE SANTA IZABEL DO PARA")</f>
        <v>DRE SANTA IZABEL DO PARA</v>
      </c>
      <c r="C1036" s="2" t="str">
        <f ca="1">IFERROR(__xludf.DUMMYFUNCTION("""COMPUTED_VALUE"""),"DRE - SANTA IZABEL DO PARA")</f>
        <v>DRE - SANTA IZABEL DO PARA</v>
      </c>
      <c r="D1036" s="1"/>
      <c r="E1036" s="2" t="str">
        <f ca="1">IFERROR(__xludf.DUMMYFUNCTION("""COMPUTED_VALUE"""),"DRE - SANTA IZABEL DO PARA")</f>
        <v>DRE - SANTA IZABEL DO PARA</v>
      </c>
      <c r="F1036" s="1">
        <f ca="1">IFERROR(__xludf.DUMMYFUNCTION("""COMPUTED_VALUE"""),3)</f>
        <v>3</v>
      </c>
      <c r="G1036" s="1" t="str">
        <f ca="1">IFERROR(__xludf.DUMMYFUNCTION("""COMPUTED_VALUE"""),"DRE SANTA IZABEL DO PARA")</f>
        <v>DRE SANTA IZABEL DO PARA</v>
      </c>
      <c r="H1036" s="1" t="str">
        <f ca="1">IFERROR(__xludf.DUMMYFUNCTION("""COMPUTED_VALUE"""),"11A URE - SANTA IZABEL DO PARA")</f>
        <v>11A URE - SANTA IZABEL DO PARA</v>
      </c>
      <c r="I1036" s="1"/>
      <c r="J1036" s="1" t="str">
        <f ca="1">IFERROR(__xludf.DUMMYFUNCTION("""COMPUTED_VALUE"""),"TOME ACU")</f>
        <v>TOME ACU</v>
      </c>
      <c r="K1036" s="1">
        <f ca="1">IFERROR(__xludf.DUMMYFUNCTION("""COMPUTED_VALUE"""),15085520)</f>
        <v>15085520</v>
      </c>
      <c r="L1036" s="2" t="str">
        <f ca="1">IFERROR(__xludf.DUMMYFUNCTION("""COMPUTED_VALUE"""),"001920917390000")</f>
        <v>001920917390000</v>
      </c>
      <c r="M1036" s="2" t="str">
        <f ca="1">IFERROR(__xludf.DUMMYFUNCTION("""COMPUTED_VALUE"""),"1920917390000")</f>
        <v>1920917390000</v>
      </c>
      <c r="N1036" s="1" t="str">
        <f ca="1">IFERROR(__xludf.DUMMYFUNCTION("""COMPUTED_VALUE"""),"EEEM DR FABIO LUZ")</f>
        <v>EEEM DR FABIO LUZ</v>
      </c>
      <c r="O1036" s="1"/>
      <c r="P1036" s="1"/>
      <c r="Q1036" s="1" t="s">
        <v>1023</v>
      </c>
    </row>
    <row r="1037" spans="1:17" x14ac:dyDescent="0.25">
      <c r="A1037" s="2" t="str">
        <f ca="1">IFERROR(__xludf.DUMMYFUNCTION("""COMPUTED_VALUE"""),"REG DE INTEGRA DO RIO CAPIM")</f>
        <v>REG DE INTEGRA DO RIO CAPIM</v>
      </c>
      <c r="B1037" s="1" t="str">
        <f ca="1">IFERROR(__xludf.DUMMYFUNCTION("""COMPUTED_VALUE"""),"DRE SANTA IZABEL DO PARA")</f>
        <v>DRE SANTA IZABEL DO PARA</v>
      </c>
      <c r="C1037" s="2" t="str">
        <f ca="1">IFERROR(__xludf.DUMMYFUNCTION("""COMPUTED_VALUE"""),"DRE - SANTA IZABEL DO PARA")</f>
        <v>DRE - SANTA IZABEL DO PARA</v>
      </c>
      <c r="D1037" s="1"/>
      <c r="E1037" s="2" t="str">
        <f ca="1">IFERROR(__xludf.DUMMYFUNCTION("""COMPUTED_VALUE"""),"DRE - SANTA IZABEL DO PARA")</f>
        <v>DRE - SANTA IZABEL DO PARA</v>
      </c>
      <c r="F1037" s="1">
        <f ca="1">IFERROR(__xludf.DUMMYFUNCTION("""COMPUTED_VALUE"""),3)</f>
        <v>3</v>
      </c>
      <c r="G1037" s="1" t="str">
        <f ca="1">IFERROR(__xludf.DUMMYFUNCTION("""COMPUTED_VALUE"""),"DRE SANTA IZABEL DO PARA")</f>
        <v>DRE SANTA IZABEL DO PARA</v>
      </c>
      <c r="H1037" s="1" t="str">
        <f ca="1">IFERROR(__xludf.DUMMYFUNCTION("""COMPUTED_VALUE"""),"11A URE - SANTA IZABEL DO PARA")</f>
        <v>11A URE - SANTA IZABEL DO PARA</v>
      </c>
      <c r="I1037" s="1"/>
      <c r="J1037" s="1" t="str">
        <f ca="1">IFERROR(__xludf.DUMMYFUNCTION("""COMPUTED_VALUE"""),"TOME ACU")</f>
        <v>TOME ACU</v>
      </c>
      <c r="K1037" s="1"/>
      <c r="L1037" s="2" t="str">
        <f ca="1">IFERROR(__xludf.DUMMYFUNCTION("""COMPUTED_VALUE"""),"001920956000000")</f>
        <v>001920956000000</v>
      </c>
      <c r="M1037" s="2" t="str">
        <f ca="1">IFERROR(__xludf.DUMMYFUNCTION("""COMPUTED_VALUE"""),"1920956000000")</f>
        <v>1920956000000</v>
      </c>
      <c r="N1037" s="1" t="str">
        <f ca="1">IFERROR(__xludf.DUMMYFUNCTION("""COMPUTED_VALUE"""),"EEEM PROF ANNA ROSA MORAES MACIEL")</f>
        <v>EEEM PROF ANNA ROSA MORAES MACIEL</v>
      </c>
      <c r="O1037" s="1"/>
      <c r="P1037" s="1"/>
      <c r="Q1037" s="1" t="s">
        <v>1023</v>
      </c>
    </row>
    <row r="1038" spans="1:17" x14ac:dyDescent="0.25">
      <c r="A1038" s="2" t="str">
        <f ca="1">IFERROR(__xludf.DUMMYFUNCTION("""COMPUTED_VALUE"""),"REG DE INTEGRA DO RIO CAPIM")</f>
        <v>REG DE INTEGRA DO RIO CAPIM</v>
      </c>
      <c r="B1038" s="1" t="str">
        <f ca="1">IFERROR(__xludf.DUMMYFUNCTION("""COMPUTED_VALUE"""),"DRE SANTA IZABEL DO PARA")</f>
        <v>DRE SANTA IZABEL DO PARA</v>
      </c>
      <c r="C1038" s="2" t="str">
        <f ca="1">IFERROR(__xludf.DUMMYFUNCTION("""COMPUTED_VALUE"""),"DRE - SANTA IZABEL DO PARA")</f>
        <v>DRE - SANTA IZABEL DO PARA</v>
      </c>
      <c r="D1038" s="1"/>
      <c r="E1038" s="2" t="str">
        <f ca="1">IFERROR(__xludf.DUMMYFUNCTION("""COMPUTED_VALUE"""),"DRE - SANTA IZABEL DO PARA")</f>
        <v>DRE - SANTA IZABEL DO PARA</v>
      </c>
      <c r="F1038" s="1"/>
      <c r="G1038" s="1"/>
      <c r="H1038" s="1" t="str">
        <f ca="1">IFERROR(__xludf.DUMMYFUNCTION("""COMPUTED_VALUE"""),"11A URE - SANTA IZABEL DO PARA")</f>
        <v>11A URE - SANTA IZABEL DO PARA</v>
      </c>
      <c r="I1038" s="1"/>
      <c r="J1038" s="1" t="str">
        <f ca="1">IFERROR(__xludf.DUMMYFUNCTION("""COMPUTED_VALUE"""),"TOME ACU")</f>
        <v>TOME ACU</v>
      </c>
      <c r="K1038" s="1"/>
      <c r="L1038" s="2" t="str">
        <f ca="1">IFERROR(__xludf.DUMMYFUNCTION("""COMPUTED_VALUE"""),"001921013000000")</f>
        <v>001921013000000</v>
      </c>
      <c r="M1038" s="2" t="str">
        <f ca="1">IFERROR(__xludf.DUMMYFUNCTION("""COMPUTED_VALUE"""),"1921013000000")</f>
        <v>1921013000000</v>
      </c>
      <c r="N1038" s="1" t="str">
        <f ca="1">IFERROR(__xludf.DUMMYFUNCTION("""COMPUTED_VALUE"""),"ESCOLA ESTADUAL RURAL DE TOME")</f>
        <v>ESCOLA ESTADUAL RURAL DE TOME</v>
      </c>
      <c r="O1038" s="1"/>
      <c r="P1038" s="1"/>
      <c r="Q1038" s="1" t="s">
        <v>1023</v>
      </c>
    </row>
    <row r="1039" spans="1:17" x14ac:dyDescent="0.25">
      <c r="A1039" s="2" t="str">
        <f ca="1">IFERROR(__xludf.DUMMYFUNCTION("""COMPUTED_VALUE"""),"REG DE INTEGRA DO GUAMA")</f>
        <v>REG DE INTEGRA DO GUAMA</v>
      </c>
      <c r="B1039" s="1" t="str">
        <f ca="1">IFERROR(__xludf.DUMMYFUNCTION("""COMPUTED_VALUE"""),"DRE SANTA IZABEL DO PARA")</f>
        <v>DRE SANTA IZABEL DO PARA</v>
      </c>
      <c r="C1039" s="2" t="str">
        <f ca="1">IFERROR(__xludf.DUMMYFUNCTION("""COMPUTED_VALUE"""),"DRE - SANTA IZABEL DO PARA")</f>
        <v>DRE - SANTA IZABEL DO PARA</v>
      </c>
      <c r="D1039" s="1"/>
      <c r="E1039" s="2" t="str">
        <f ca="1">IFERROR(__xludf.DUMMYFUNCTION("""COMPUTED_VALUE"""),"DRE - SANTA IZABEL DO PARA")</f>
        <v>DRE - SANTA IZABEL DO PARA</v>
      </c>
      <c r="F1039" s="1">
        <f ca="1">IFERROR(__xludf.DUMMYFUNCTION("""COMPUTED_VALUE"""),3)</f>
        <v>3</v>
      </c>
      <c r="G1039" s="1" t="str">
        <f ca="1">IFERROR(__xludf.DUMMYFUNCTION("""COMPUTED_VALUE"""),"DRE SANTA IZABEL DO PARA")</f>
        <v>DRE SANTA IZABEL DO PARA</v>
      </c>
      <c r="H1039" s="1" t="str">
        <f ca="1">IFERROR(__xludf.DUMMYFUNCTION("""COMPUTED_VALUE"""),"11A URE - SANTA IZABEL DO PARA")</f>
        <v>11A URE - SANTA IZABEL DO PARA</v>
      </c>
      <c r="I1039" s="1"/>
      <c r="J1039" s="1" t="str">
        <f ca="1">IFERROR(__xludf.DUMMYFUNCTION("""COMPUTED_VALUE"""),"VIGIA")</f>
        <v>VIGIA</v>
      </c>
      <c r="K1039" s="1">
        <f ca="1">IFERROR(__xludf.DUMMYFUNCTION("""COMPUTED_VALUE"""),15054357)</f>
        <v>15054357</v>
      </c>
      <c r="L1039" s="2" t="str">
        <f ca="1">IFERROR(__xludf.DUMMYFUNCTION("""COMPUTED_VALUE"""),"001920921340000")</f>
        <v>001920921340000</v>
      </c>
      <c r="M1039" s="2" t="str">
        <f ca="1">IFERROR(__xludf.DUMMYFUNCTION("""COMPUTED_VALUE"""),"1920921340000")</f>
        <v>1920921340000</v>
      </c>
      <c r="N1039" s="1" t="str">
        <f ca="1">IFERROR(__xludf.DUMMYFUNCTION("""COMPUTED_VALUE"""),"EEEF BARAO DO GUAJARA")</f>
        <v>EEEF BARAO DO GUAJARA</v>
      </c>
      <c r="O1039" s="1"/>
      <c r="P1039" s="1"/>
      <c r="Q1039" s="1" t="s">
        <v>1023</v>
      </c>
    </row>
    <row r="1040" spans="1:17" x14ac:dyDescent="0.25">
      <c r="A1040" s="2" t="str">
        <f ca="1">IFERROR(__xludf.DUMMYFUNCTION("""COMPUTED_VALUE"""),"REG DE INTEGRA DO GUAMA")</f>
        <v>REG DE INTEGRA DO GUAMA</v>
      </c>
      <c r="B1040" s="1" t="str">
        <f ca="1">IFERROR(__xludf.DUMMYFUNCTION("""COMPUTED_VALUE"""),"DRE SANTA IZABEL DO PARA")</f>
        <v>DRE SANTA IZABEL DO PARA</v>
      </c>
      <c r="C1040" s="2" t="str">
        <f ca="1">IFERROR(__xludf.DUMMYFUNCTION("""COMPUTED_VALUE"""),"DRE - SANTA IZABEL DO PARA")</f>
        <v>DRE - SANTA IZABEL DO PARA</v>
      </c>
      <c r="D1040" s="1"/>
      <c r="E1040" s="2" t="str">
        <f ca="1">IFERROR(__xludf.DUMMYFUNCTION("""COMPUTED_VALUE"""),"DRE - SANTA IZABEL DO PARA")</f>
        <v>DRE - SANTA IZABEL DO PARA</v>
      </c>
      <c r="F1040" s="1">
        <f ca="1">IFERROR(__xludf.DUMMYFUNCTION("""COMPUTED_VALUE"""),3)</f>
        <v>3</v>
      </c>
      <c r="G1040" s="1" t="str">
        <f ca="1">IFERROR(__xludf.DUMMYFUNCTION("""COMPUTED_VALUE"""),"DRE SANTA IZABEL DO PARA")</f>
        <v>DRE SANTA IZABEL DO PARA</v>
      </c>
      <c r="H1040" s="1" t="str">
        <f ca="1">IFERROR(__xludf.DUMMYFUNCTION("""COMPUTED_VALUE"""),"11A URE - SANTA IZABEL DO PARA")</f>
        <v>11A URE - SANTA IZABEL DO PARA</v>
      </c>
      <c r="I1040" s="1"/>
      <c r="J1040" s="1" t="str">
        <f ca="1">IFERROR(__xludf.DUMMYFUNCTION("""COMPUTED_VALUE"""),"VIGIA")</f>
        <v>VIGIA</v>
      </c>
      <c r="K1040" s="1">
        <f ca="1">IFERROR(__xludf.DUMMYFUNCTION("""COMPUTED_VALUE"""),15054365)</f>
        <v>15054365</v>
      </c>
      <c r="L1040" s="2" t="str">
        <f ca="1">IFERROR(__xludf.DUMMYFUNCTION("""COMPUTED_VALUE"""),"001920921130000")</f>
        <v>001920921130000</v>
      </c>
      <c r="M1040" s="2" t="str">
        <f ca="1">IFERROR(__xludf.DUMMYFUNCTION("""COMPUTED_VALUE"""),"1920921130000")</f>
        <v>1920921130000</v>
      </c>
      <c r="N1040" s="1" t="str">
        <f ca="1">IFERROR(__xludf.DUMMYFUNCTION("""COMPUTED_VALUE"""),"EEEF CASTILHO FRANCA")</f>
        <v>EEEF CASTILHO FRANCA</v>
      </c>
      <c r="O1040" s="1"/>
      <c r="P1040" s="1"/>
      <c r="Q1040" s="1" t="s">
        <v>1023</v>
      </c>
    </row>
    <row r="1041" spans="1:17" x14ac:dyDescent="0.25">
      <c r="A1041" s="2" t="str">
        <f ca="1">IFERROR(__xludf.DUMMYFUNCTION("""COMPUTED_VALUE"""),"REG DE INTEGRA DO GUAMA")</f>
        <v>REG DE INTEGRA DO GUAMA</v>
      </c>
      <c r="B1041" s="1" t="str">
        <f ca="1">IFERROR(__xludf.DUMMYFUNCTION("""COMPUTED_VALUE"""),"DRE SANTA IZABEL DO PARA")</f>
        <v>DRE SANTA IZABEL DO PARA</v>
      </c>
      <c r="C1041" s="2" t="str">
        <f ca="1">IFERROR(__xludf.DUMMYFUNCTION("""COMPUTED_VALUE"""),"DRE - SANTA IZABEL DO PARA")</f>
        <v>DRE - SANTA IZABEL DO PARA</v>
      </c>
      <c r="D1041" s="1"/>
      <c r="E1041" s="2" t="str">
        <f ca="1">IFERROR(__xludf.DUMMYFUNCTION("""COMPUTED_VALUE"""),"DRE - SANTA IZABEL DO PARA")</f>
        <v>DRE - SANTA IZABEL DO PARA</v>
      </c>
      <c r="F1041" s="1">
        <f ca="1">IFERROR(__xludf.DUMMYFUNCTION("""COMPUTED_VALUE"""),3)</f>
        <v>3</v>
      </c>
      <c r="G1041" s="1" t="str">
        <f ca="1">IFERROR(__xludf.DUMMYFUNCTION("""COMPUTED_VALUE"""),"DRE SANTA IZABEL DO PARA")</f>
        <v>DRE SANTA IZABEL DO PARA</v>
      </c>
      <c r="H1041" s="1" t="str">
        <f ca="1">IFERROR(__xludf.DUMMYFUNCTION("""COMPUTED_VALUE"""),"11A URE - SANTA IZABEL DO PARA")</f>
        <v>11A URE - SANTA IZABEL DO PARA</v>
      </c>
      <c r="I1041" s="1"/>
      <c r="J1041" s="1" t="str">
        <f ca="1">IFERROR(__xludf.DUMMYFUNCTION("""COMPUTED_VALUE"""),"VIGIA")</f>
        <v>VIGIA</v>
      </c>
      <c r="K1041" s="1">
        <f ca="1">IFERROR(__xludf.DUMMYFUNCTION("""COMPUTED_VALUE"""),15054390)</f>
        <v>15054390</v>
      </c>
      <c r="L1041" s="2" t="str">
        <f ca="1">IFERROR(__xludf.DUMMYFUNCTION("""COMPUTED_VALUE"""),"001920921100000")</f>
        <v>001920921100000</v>
      </c>
      <c r="M1041" s="2" t="str">
        <f ca="1">IFERROR(__xludf.DUMMYFUNCTION("""COMPUTED_VALUE"""),"1920921100000")</f>
        <v>1920921100000</v>
      </c>
      <c r="N1041" s="1" t="str">
        <f ca="1">IFERROR(__xludf.DUMMYFUNCTION("""COMPUTED_VALUE"""),"EEEF PROFA ESTER NUNES BIBAS")</f>
        <v>EEEF PROFA ESTER NUNES BIBAS</v>
      </c>
      <c r="O1041" s="1"/>
      <c r="P1041" s="1"/>
      <c r="Q1041" s="1" t="s">
        <v>1023</v>
      </c>
    </row>
    <row r="1042" spans="1:17" x14ac:dyDescent="0.25">
      <c r="A1042" s="2" t="str">
        <f ca="1">IFERROR(__xludf.DUMMYFUNCTION("""COMPUTED_VALUE"""),"REG DE INTEGRA DO GUAMA")</f>
        <v>REG DE INTEGRA DO GUAMA</v>
      </c>
      <c r="B1042" s="1" t="str">
        <f ca="1">IFERROR(__xludf.DUMMYFUNCTION("""COMPUTED_VALUE"""),"DRE SANTA IZABEL DO PARA")</f>
        <v>DRE SANTA IZABEL DO PARA</v>
      </c>
      <c r="C1042" s="2" t="str">
        <f ca="1">IFERROR(__xludf.DUMMYFUNCTION("""COMPUTED_VALUE"""),"DRE - SANTA IZABEL DO PARA")</f>
        <v>DRE - SANTA IZABEL DO PARA</v>
      </c>
      <c r="D1042" s="1"/>
      <c r="E1042" s="2" t="str">
        <f ca="1">IFERROR(__xludf.DUMMYFUNCTION("""COMPUTED_VALUE"""),"DRE - SANTA IZABEL DO PARA")</f>
        <v>DRE - SANTA IZABEL DO PARA</v>
      </c>
      <c r="F1042" s="1">
        <f ca="1">IFERROR(__xludf.DUMMYFUNCTION("""COMPUTED_VALUE"""),3)</f>
        <v>3</v>
      </c>
      <c r="G1042" s="1" t="str">
        <f ca="1">IFERROR(__xludf.DUMMYFUNCTION("""COMPUTED_VALUE"""),"DRE SANTA IZABEL DO PARA")</f>
        <v>DRE SANTA IZABEL DO PARA</v>
      </c>
      <c r="H1042" s="1" t="str">
        <f ca="1">IFERROR(__xludf.DUMMYFUNCTION("""COMPUTED_VALUE"""),"11A URE - SANTA IZABEL DO PARA")</f>
        <v>11A URE - SANTA IZABEL DO PARA</v>
      </c>
      <c r="I1042" s="1"/>
      <c r="J1042" s="1" t="str">
        <f ca="1">IFERROR(__xludf.DUMMYFUNCTION("""COMPUTED_VALUE"""),"VIGIA")</f>
        <v>VIGIA</v>
      </c>
      <c r="K1042" s="1">
        <f ca="1">IFERROR(__xludf.DUMMYFUNCTION("""COMPUTED_VALUE"""),15054888)</f>
        <v>15054888</v>
      </c>
      <c r="L1042" s="2" t="str">
        <f ca="1">IFERROR(__xludf.DUMMYFUNCTION("""COMPUTED_VALUE"""),"001920921290000")</f>
        <v>001920921290000</v>
      </c>
      <c r="M1042" s="2" t="str">
        <f ca="1">IFERROR(__xludf.DUMMYFUNCTION("""COMPUTED_VALUE"""),"1920921290000")</f>
        <v>1920921290000</v>
      </c>
      <c r="N1042" s="1" t="str">
        <f ca="1">IFERROR(__xludf.DUMMYFUNCTION("""COMPUTED_VALUE"""),"EEEFM ATATEUA DA BARRETA")</f>
        <v>EEEFM ATATEUA DA BARRETA</v>
      </c>
      <c r="O1042" s="1"/>
      <c r="P1042" s="1"/>
      <c r="Q1042" s="1" t="s">
        <v>1023</v>
      </c>
    </row>
    <row r="1043" spans="1:17" x14ac:dyDescent="0.25">
      <c r="A1043" s="2" t="str">
        <f ca="1">IFERROR(__xludf.DUMMYFUNCTION("""COMPUTED_VALUE"""),"REG DE INTEGRA DO GUAMA")</f>
        <v>REG DE INTEGRA DO GUAMA</v>
      </c>
      <c r="B1043" s="1" t="str">
        <f ca="1">IFERROR(__xludf.DUMMYFUNCTION("""COMPUTED_VALUE"""),"DRE SANTA IZABEL DO PARA")</f>
        <v>DRE SANTA IZABEL DO PARA</v>
      </c>
      <c r="C1043" s="2" t="str">
        <f ca="1">IFERROR(__xludf.DUMMYFUNCTION("""COMPUTED_VALUE"""),"DRE - SANTA IZABEL DO PARA")</f>
        <v>DRE - SANTA IZABEL DO PARA</v>
      </c>
      <c r="D1043" s="1"/>
      <c r="E1043" s="2" t="str">
        <f ca="1">IFERROR(__xludf.DUMMYFUNCTION("""COMPUTED_VALUE"""),"DRE - SANTA IZABEL DO PARA")</f>
        <v>DRE - SANTA IZABEL DO PARA</v>
      </c>
      <c r="F1043" s="1">
        <f ca="1">IFERROR(__xludf.DUMMYFUNCTION("""COMPUTED_VALUE"""),3)</f>
        <v>3</v>
      </c>
      <c r="G1043" s="1" t="str">
        <f ca="1">IFERROR(__xludf.DUMMYFUNCTION("""COMPUTED_VALUE"""),"DRE SANTA IZABEL DO PARA")</f>
        <v>DRE SANTA IZABEL DO PARA</v>
      </c>
      <c r="H1043" s="1" t="str">
        <f ca="1">IFERROR(__xludf.DUMMYFUNCTION("""COMPUTED_VALUE"""),"11A URE - SANTA IZABEL DO PARA")</f>
        <v>11A URE - SANTA IZABEL DO PARA</v>
      </c>
      <c r="I1043" s="1"/>
      <c r="J1043" s="1" t="str">
        <f ca="1">IFERROR(__xludf.DUMMYFUNCTION("""COMPUTED_VALUE"""),"VIGIA")</f>
        <v>VIGIA</v>
      </c>
      <c r="K1043" s="1">
        <f ca="1">IFERROR(__xludf.DUMMYFUNCTION("""COMPUTED_VALUE"""),15054373)</f>
        <v>15054373</v>
      </c>
      <c r="L1043" s="2" t="str">
        <f ca="1">IFERROR(__xludf.DUMMYFUNCTION("""COMPUTED_VALUE"""),"001920921200000")</f>
        <v>001920921200000</v>
      </c>
      <c r="M1043" s="2" t="str">
        <f ca="1">IFERROR(__xludf.DUMMYFUNCTION("""COMPUTED_VALUE"""),"1920921200000")</f>
        <v>1920921200000</v>
      </c>
      <c r="N1043" s="1" t="str">
        <f ca="1">IFERROR(__xludf.DUMMYFUNCTION("""COMPUTED_VALUE"""),"EEEFM PENHA LONGA")</f>
        <v>EEEFM PENHA LONGA</v>
      </c>
      <c r="O1043" s="1"/>
      <c r="P1043" s="1"/>
      <c r="Q1043" s="1" t="s">
        <v>1023</v>
      </c>
    </row>
    <row r="1044" spans="1:17" x14ac:dyDescent="0.25">
      <c r="A1044" s="2" t="str">
        <f ca="1">IFERROR(__xludf.DUMMYFUNCTION("""COMPUTED_VALUE"""),"REG DE INTEGRA DO GUAMA")</f>
        <v>REG DE INTEGRA DO GUAMA</v>
      </c>
      <c r="B1044" s="1" t="str">
        <f ca="1">IFERROR(__xludf.DUMMYFUNCTION("""COMPUTED_VALUE"""),"DRE SANTA IZABEL DO PARA")</f>
        <v>DRE SANTA IZABEL DO PARA</v>
      </c>
      <c r="C1044" s="2" t="str">
        <f ca="1">IFERROR(__xludf.DUMMYFUNCTION("""COMPUTED_VALUE"""),"DRE - SANTA IZABEL DO PARA")</f>
        <v>DRE - SANTA IZABEL DO PARA</v>
      </c>
      <c r="D1044" s="1"/>
      <c r="E1044" s="2" t="str">
        <f ca="1">IFERROR(__xludf.DUMMYFUNCTION("""COMPUTED_VALUE"""),"DRE - SANTA IZABEL DO PARA")</f>
        <v>DRE - SANTA IZABEL DO PARA</v>
      </c>
      <c r="F1044" s="1">
        <f ca="1">IFERROR(__xludf.DUMMYFUNCTION("""COMPUTED_VALUE"""),3)</f>
        <v>3</v>
      </c>
      <c r="G1044" s="1" t="str">
        <f ca="1">IFERROR(__xludf.DUMMYFUNCTION("""COMPUTED_VALUE"""),"DRE SANTA IZABEL DO PARA")</f>
        <v>DRE SANTA IZABEL DO PARA</v>
      </c>
      <c r="H1044" s="1" t="str">
        <f ca="1">IFERROR(__xludf.DUMMYFUNCTION("""COMPUTED_VALUE"""),"11A URE - SANTA IZABEL DO PARA")</f>
        <v>11A URE - SANTA IZABEL DO PARA</v>
      </c>
      <c r="I1044" s="1"/>
      <c r="J1044" s="1" t="str">
        <f ca="1">IFERROR(__xludf.DUMMYFUNCTION("""COMPUTED_VALUE"""),"VIGIA")</f>
        <v>VIGIA</v>
      </c>
      <c r="K1044" s="1">
        <f ca="1">IFERROR(__xludf.DUMMYFUNCTION("""COMPUTED_VALUE"""),15054381)</f>
        <v>15054381</v>
      </c>
      <c r="L1044" s="2" t="str">
        <f ca="1">IFERROR(__xludf.DUMMYFUNCTION("""COMPUTED_VALUE"""),"001920921090000")</f>
        <v>001920921090000</v>
      </c>
      <c r="M1044" s="2" t="str">
        <f ca="1">IFERROR(__xludf.DUMMYFUNCTION("""COMPUTED_VALUE"""),"1920921090000")</f>
        <v>1920921090000</v>
      </c>
      <c r="N1044" s="1" t="str">
        <f ca="1">IFERROR(__xludf.DUMMYFUNCTION("""COMPUTED_VALUE"""),"EEEFM PRESIDENTE KENNEDY")</f>
        <v>EEEFM PRESIDENTE KENNEDY</v>
      </c>
      <c r="O1044" s="1"/>
      <c r="P1044" s="1"/>
      <c r="Q1044" s="1" t="s">
        <v>1023</v>
      </c>
    </row>
    <row r="1045" spans="1:17" x14ac:dyDescent="0.25">
      <c r="A1045" s="2" t="str">
        <f ca="1">IFERROR(__xludf.DUMMYFUNCTION("""COMPUTED_VALUE"""),"REG DE INTEGRA DO GUAMA")</f>
        <v>REG DE INTEGRA DO GUAMA</v>
      </c>
      <c r="B1045" s="1" t="str">
        <f ca="1">IFERROR(__xludf.DUMMYFUNCTION("""COMPUTED_VALUE"""),"DRE SANTA IZABEL DO PARA")</f>
        <v>DRE SANTA IZABEL DO PARA</v>
      </c>
      <c r="C1045" s="2" t="str">
        <f ca="1">IFERROR(__xludf.DUMMYFUNCTION("""COMPUTED_VALUE"""),"DRE - SANTA IZABEL DO PARA")</f>
        <v>DRE - SANTA IZABEL DO PARA</v>
      </c>
      <c r="D1045" s="1"/>
      <c r="E1045" s="2" t="str">
        <f ca="1">IFERROR(__xludf.DUMMYFUNCTION("""COMPUTED_VALUE"""),"DRE - SANTA IZABEL DO PARA")</f>
        <v>DRE - SANTA IZABEL DO PARA</v>
      </c>
      <c r="F1045" s="1">
        <f ca="1">IFERROR(__xludf.DUMMYFUNCTION("""COMPUTED_VALUE"""),3)</f>
        <v>3</v>
      </c>
      <c r="G1045" s="1" t="str">
        <f ca="1">IFERROR(__xludf.DUMMYFUNCTION("""COMPUTED_VALUE"""),"DRE SANTA IZABEL DO PARA")</f>
        <v>DRE SANTA IZABEL DO PARA</v>
      </c>
      <c r="H1045" s="1" t="str">
        <f ca="1">IFERROR(__xludf.DUMMYFUNCTION("""COMPUTED_VALUE"""),"11A URE - SANTA IZABEL DO PARA")</f>
        <v>11A URE - SANTA IZABEL DO PARA</v>
      </c>
      <c r="I1045" s="1"/>
      <c r="J1045" s="1" t="str">
        <f ca="1">IFERROR(__xludf.DUMMYFUNCTION("""COMPUTED_VALUE"""),"VIGIA")</f>
        <v>VIGIA</v>
      </c>
      <c r="K1045" s="1">
        <f ca="1">IFERROR(__xludf.DUMMYFUNCTION("""COMPUTED_VALUE"""),15138963)</f>
        <v>15138963</v>
      </c>
      <c r="L1045" s="2" t="str">
        <f ca="1">IFERROR(__xludf.DUMMYFUNCTION("""COMPUTED_VALUE"""),"001920928740000")</f>
        <v>001920928740000</v>
      </c>
      <c r="M1045" s="2" t="str">
        <f ca="1">IFERROR(__xludf.DUMMYFUNCTION("""COMPUTED_VALUE"""),"1920928740000")</f>
        <v>1920928740000</v>
      </c>
      <c r="N1045" s="1" t="str">
        <f ca="1">IFERROR(__xludf.DUMMYFUNCTION("""COMPUTED_VALUE"""),"EEEFM SANTA ROSA")</f>
        <v>EEEFM SANTA ROSA</v>
      </c>
      <c r="O1045" s="1"/>
      <c r="P1045" s="1"/>
      <c r="Q1045" s="1" t="s">
        <v>1023</v>
      </c>
    </row>
    <row r="1046" spans="1:17" x14ac:dyDescent="0.25">
      <c r="A1046" s="2" t="str">
        <f ca="1">IFERROR(__xludf.DUMMYFUNCTION("""COMPUTED_VALUE"""),"REG DE INTEGRA DO GUAMA")</f>
        <v>REG DE INTEGRA DO GUAMA</v>
      </c>
      <c r="B1046" s="1" t="str">
        <f ca="1">IFERROR(__xludf.DUMMYFUNCTION("""COMPUTED_VALUE"""),"DRE SANTA IZABEL DO PARA")</f>
        <v>DRE SANTA IZABEL DO PARA</v>
      </c>
      <c r="C1046" s="2" t="str">
        <f ca="1">IFERROR(__xludf.DUMMYFUNCTION("""COMPUTED_VALUE"""),"DRE - SANTA IZABEL DO PARA")</f>
        <v>DRE - SANTA IZABEL DO PARA</v>
      </c>
      <c r="D1046" s="1"/>
      <c r="E1046" s="2" t="str">
        <f ca="1">IFERROR(__xludf.DUMMYFUNCTION("""COMPUTED_VALUE"""),"DRE - SANTA IZABEL DO PARA")</f>
        <v>DRE - SANTA IZABEL DO PARA</v>
      </c>
      <c r="F1046" s="1">
        <f ca="1">IFERROR(__xludf.DUMMYFUNCTION("""COMPUTED_VALUE"""),3)</f>
        <v>3</v>
      </c>
      <c r="G1046" s="1" t="str">
        <f ca="1">IFERROR(__xludf.DUMMYFUNCTION("""COMPUTED_VALUE"""),"DRE SANTA IZABEL DO PARA")</f>
        <v>DRE SANTA IZABEL DO PARA</v>
      </c>
      <c r="H1046" s="1" t="str">
        <f ca="1">IFERROR(__xludf.DUMMYFUNCTION("""COMPUTED_VALUE"""),"11A URE - SANTA IZABEL DO PARA")</f>
        <v>11A URE - SANTA IZABEL DO PARA</v>
      </c>
      <c r="I1046" s="1"/>
      <c r="J1046" s="1" t="str">
        <f ca="1">IFERROR(__xludf.DUMMYFUNCTION("""COMPUTED_VALUE"""),"VIGIA")</f>
        <v>VIGIA</v>
      </c>
      <c r="K1046" s="1">
        <f ca="1">IFERROR(__xludf.DUMMYFUNCTION("""COMPUTED_VALUE"""),15054870)</f>
        <v>15054870</v>
      </c>
      <c r="L1046" s="2" t="str">
        <f ca="1">IFERROR(__xludf.DUMMYFUNCTION("""COMPUTED_VALUE"""),"001920921120000")</f>
        <v>001920921120000</v>
      </c>
      <c r="M1046" s="2" t="str">
        <f ca="1">IFERROR(__xludf.DUMMYFUNCTION("""COMPUTED_VALUE"""),"1920921120000")</f>
        <v>1920921120000</v>
      </c>
      <c r="N1046" s="1" t="str">
        <f ca="1">IFERROR(__xludf.DUMMYFUNCTION("""COMPUTED_VALUE"""),"EEEFM TAURIANO GIL DE SOUSA")</f>
        <v>EEEFM TAURIANO GIL DE SOUSA</v>
      </c>
      <c r="O1046" s="1"/>
      <c r="P1046" s="1"/>
      <c r="Q1046" s="1" t="s">
        <v>1023</v>
      </c>
    </row>
    <row r="1047" spans="1:17" x14ac:dyDescent="0.25">
      <c r="A1047" s="2" t="str">
        <f ca="1">IFERROR(__xludf.DUMMYFUNCTION("""COMPUTED_VALUE"""),"REG DE INTEGRA DO GUAMA")</f>
        <v>REG DE INTEGRA DO GUAMA</v>
      </c>
      <c r="B1047" s="1" t="str">
        <f ca="1">IFERROR(__xludf.DUMMYFUNCTION("""COMPUTED_VALUE"""),"DRE SANTA IZABEL DO PARA")</f>
        <v>DRE SANTA IZABEL DO PARA</v>
      </c>
      <c r="C1047" s="2" t="str">
        <f ca="1">IFERROR(__xludf.DUMMYFUNCTION("""COMPUTED_VALUE"""),"DRE - SANTA IZABEL DO PARA")</f>
        <v>DRE - SANTA IZABEL DO PARA</v>
      </c>
      <c r="D1047" s="1"/>
      <c r="E1047" s="2" t="str">
        <f ca="1">IFERROR(__xludf.DUMMYFUNCTION("""COMPUTED_VALUE"""),"DRE - SANTA IZABEL DO PARA")</f>
        <v>DRE - SANTA IZABEL DO PARA</v>
      </c>
      <c r="F1047" s="1">
        <f ca="1">IFERROR(__xludf.DUMMYFUNCTION("""COMPUTED_VALUE"""),3)</f>
        <v>3</v>
      </c>
      <c r="G1047" s="1" t="str">
        <f ca="1">IFERROR(__xludf.DUMMYFUNCTION("""COMPUTED_VALUE"""),"DRE SANTA IZABEL DO PARA")</f>
        <v>DRE SANTA IZABEL DO PARA</v>
      </c>
      <c r="H1047" s="1" t="str">
        <f ca="1">IFERROR(__xludf.DUMMYFUNCTION("""COMPUTED_VALUE"""),"11A URE - SANTA IZABEL DO PARA")</f>
        <v>11A URE - SANTA IZABEL DO PARA</v>
      </c>
      <c r="I1047" s="1"/>
      <c r="J1047" s="1" t="str">
        <f ca="1">IFERROR(__xludf.DUMMYFUNCTION("""COMPUTED_VALUE"""),"VIGIA")</f>
        <v>VIGIA</v>
      </c>
      <c r="K1047" s="1">
        <f ca="1">IFERROR(__xludf.DUMMYFUNCTION("""COMPUTED_VALUE"""),15054420)</f>
        <v>15054420</v>
      </c>
      <c r="L1047" s="2" t="str">
        <f ca="1">IFERROR(__xludf.DUMMYFUNCTION("""COMPUTED_VALUE"""),"001920921390000")</f>
        <v>001920921390000</v>
      </c>
      <c r="M1047" s="2" t="str">
        <f ca="1">IFERROR(__xludf.DUMMYFUNCTION("""COMPUTED_VALUE"""),"1920921390000")</f>
        <v>1920921390000</v>
      </c>
      <c r="N1047" s="1" t="str">
        <f ca="1">IFERROR(__xludf.DUMMYFUNCTION("""COMPUTED_VALUE"""),"EEEM BERTOLDO NUNES")</f>
        <v>EEEM BERTOLDO NUNES</v>
      </c>
      <c r="O1047" s="1"/>
      <c r="P1047" s="1"/>
      <c r="Q1047" s="1" t="s">
        <v>1023</v>
      </c>
    </row>
    <row r="1048" spans="1:17" x14ac:dyDescent="0.25">
      <c r="A1048" s="2" t="str">
        <f ca="1">IFERROR(__xludf.DUMMYFUNCTION("""COMPUTED_VALUE"""),"REG DE INTEGRA DO GUAMA")</f>
        <v>REG DE INTEGRA DO GUAMA</v>
      </c>
      <c r="B1048" s="1" t="str">
        <f ca="1">IFERROR(__xludf.DUMMYFUNCTION("""COMPUTED_VALUE"""),"DRE SANTA IZABEL DO PARA")</f>
        <v>DRE SANTA IZABEL DO PARA</v>
      </c>
      <c r="C1048" s="2" t="str">
        <f ca="1">IFERROR(__xludf.DUMMYFUNCTION("""COMPUTED_VALUE"""),"DRE - SANTA IZABEL DO PARA")</f>
        <v>DRE - SANTA IZABEL DO PARA</v>
      </c>
      <c r="D1048" s="1"/>
      <c r="E1048" s="2" t="str">
        <f ca="1">IFERROR(__xludf.DUMMYFUNCTION("""COMPUTED_VALUE"""),"DRE - SANTA IZABEL DO PARA")</f>
        <v>DRE - SANTA IZABEL DO PARA</v>
      </c>
      <c r="F1048" s="1">
        <f ca="1">IFERROR(__xludf.DUMMYFUNCTION("""COMPUTED_VALUE"""),3)</f>
        <v>3</v>
      </c>
      <c r="G1048" s="1" t="str">
        <f ca="1">IFERROR(__xludf.DUMMYFUNCTION("""COMPUTED_VALUE"""),"DRE SANTA IZABEL DO PARA")</f>
        <v>DRE SANTA IZABEL DO PARA</v>
      </c>
      <c r="H1048" s="1" t="str">
        <f ca="1">IFERROR(__xludf.DUMMYFUNCTION("""COMPUTED_VALUE"""),"11A URE - SANTA IZABEL DO PARA")</f>
        <v>11A URE - SANTA IZABEL DO PARA</v>
      </c>
      <c r="I1048" s="1"/>
      <c r="J1048" s="1" t="str">
        <f ca="1">IFERROR(__xludf.DUMMYFUNCTION("""COMPUTED_VALUE"""),"VIGIA")</f>
        <v>VIGIA</v>
      </c>
      <c r="K1048" s="1">
        <f ca="1">IFERROR(__xludf.DUMMYFUNCTION("""COMPUTED_VALUE"""),15165990)</f>
        <v>15165990</v>
      </c>
      <c r="L1048" s="2" t="str">
        <f ca="1">IFERROR(__xludf.DUMMYFUNCTION("""COMPUTED_VALUE"""),"001920937760000")</f>
        <v>001920937760000</v>
      </c>
      <c r="M1048" s="2" t="str">
        <f ca="1">IFERROR(__xludf.DUMMYFUNCTION("""COMPUTED_VALUE"""),"1920937760000")</f>
        <v>1920937760000</v>
      </c>
      <c r="N1048" s="1" t="str">
        <f ca="1">IFERROR(__xludf.DUMMYFUNCTION("""COMPUTED_VALUE"""),"EETEPA  VIGIA DE NAZARE")</f>
        <v>EETEPA  VIGIA DE NAZARE</v>
      </c>
      <c r="O1048" s="1"/>
      <c r="P1048" s="1"/>
      <c r="Q1048" s="1" t="s">
        <v>1023</v>
      </c>
    </row>
    <row r="1049" spans="1:17" x14ac:dyDescent="0.25">
      <c r="A1049" s="2" t="str">
        <f ca="1">IFERROR(__xludf.DUMMYFUNCTION("""COMPUTED_VALUE"""),"REG DE INTEGRA DO BAIXO AMAZON")</f>
        <v>REG DE INTEGRA DO BAIXO AMAZON</v>
      </c>
      <c r="B1049" s="1" t="str">
        <f ca="1">IFERROR(__xludf.DUMMYFUNCTION("""COMPUTED_VALUE"""),"DRE SANTAREM")</f>
        <v>DRE SANTAREM</v>
      </c>
      <c r="C1049" s="2" t="str">
        <f ca="1">IFERROR(__xludf.DUMMYFUNCTION("""COMPUTED_VALUE"""),"DRE - SANTAREM")</f>
        <v>DRE - SANTAREM</v>
      </c>
      <c r="D1049" s="1"/>
      <c r="E1049" s="2" t="str">
        <f ca="1">IFERROR(__xludf.DUMMYFUNCTION("""COMPUTED_VALUE"""),"DRE - SANTAREM")</f>
        <v>DRE - SANTAREM</v>
      </c>
      <c r="F1049" s="1">
        <f ca="1">IFERROR(__xludf.DUMMYFUNCTION("""COMPUTED_VALUE"""),3)</f>
        <v>3</v>
      </c>
      <c r="G1049" s="1"/>
      <c r="H1049" s="1" t="str">
        <f ca="1">IFERROR(__xludf.DUMMYFUNCTION("""COMPUTED_VALUE"""),"05A URE - SANTAREM")</f>
        <v>05A URE - SANTAREM</v>
      </c>
      <c r="I1049" s="1"/>
      <c r="J1049" s="1" t="str">
        <f ca="1">IFERROR(__xludf.DUMMYFUNCTION("""COMPUTED_VALUE"""),"BELTERRA")</f>
        <v>BELTERRA</v>
      </c>
      <c r="K1049" s="1">
        <f ca="1">IFERROR(__xludf.DUMMYFUNCTION("""COMPUTED_VALUE"""),15177378)</f>
        <v>15177378</v>
      </c>
      <c r="L1049" s="2" t="str">
        <f ca="1">IFERROR(__xludf.DUMMYFUNCTION("""COMPUTED_VALUE"""),"001920902960001")</f>
        <v>001920902960001</v>
      </c>
      <c r="M1049" s="2" t="str">
        <f ca="1">IFERROR(__xludf.DUMMYFUNCTION("""COMPUTED_VALUE"""),"1920902960001")</f>
        <v>1920902960001</v>
      </c>
      <c r="N1049" s="1" t="str">
        <f ca="1">IFERROR(__xludf.DUMMYFUNCTION("""COMPUTED_VALUE"""),"ANEXO RURAL WALDEMAR MAUES")</f>
        <v>ANEXO RURAL WALDEMAR MAUES</v>
      </c>
      <c r="O1049" s="1"/>
      <c r="P1049" s="1"/>
      <c r="Q1049" s="1" t="s">
        <v>1067</v>
      </c>
    </row>
    <row r="1050" spans="1:17" x14ac:dyDescent="0.25">
      <c r="A1050" s="2" t="str">
        <f ca="1">IFERROR(__xludf.DUMMYFUNCTION("""COMPUTED_VALUE"""),"REG DE INTEGRA DO BAIXO AMAZON")</f>
        <v>REG DE INTEGRA DO BAIXO AMAZON</v>
      </c>
      <c r="B1050" s="1" t="str">
        <f ca="1">IFERROR(__xludf.DUMMYFUNCTION("""COMPUTED_VALUE"""),"DRE SANTAREM")</f>
        <v>DRE SANTAREM</v>
      </c>
      <c r="C1050" s="2" t="str">
        <f ca="1">IFERROR(__xludf.DUMMYFUNCTION("""COMPUTED_VALUE"""),"DRE - SANTAREM")</f>
        <v>DRE - SANTAREM</v>
      </c>
      <c r="D1050" s="1"/>
      <c r="E1050" s="2" t="str">
        <f ca="1">IFERROR(__xludf.DUMMYFUNCTION("""COMPUTED_VALUE"""),"DRE - SANTAREM")</f>
        <v>DRE - SANTAREM</v>
      </c>
      <c r="F1050" s="1">
        <f ca="1">IFERROR(__xludf.DUMMYFUNCTION("""COMPUTED_VALUE"""),3)</f>
        <v>3</v>
      </c>
      <c r="G1050" s="1" t="str">
        <f ca="1">IFERROR(__xludf.DUMMYFUNCTION("""COMPUTED_VALUE"""),"DRE SANTAREM")</f>
        <v>DRE SANTAREM</v>
      </c>
      <c r="H1050" s="1" t="str">
        <f ca="1">IFERROR(__xludf.DUMMYFUNCTION("""COMPUTED_VALUE"""),"05A URE - SANTAREM")</f>
        <v>05A URE - SANTAREM</v>
      </c>
      <c r="I1050" s="1"/>
      <c r="J1050" s="1" t="str">
        <f ca="1">IFERROR(__xludf.DUMMYFUNCTION("""COMPUTED_VALUE"""),"BELTERRA")</f>
        <v>BELTERRA</v>
      </c>
      <c r="K1050" s="1">
        <f ca="1">IFERROR(__xludf.DUMMYFUNCTION("""COMPUTED_VALUE"""),15015785)</f>
        <v>15015785</v>
      </c>
      <c r="L1050" s="2" t="str">
        <f ca="1">IFERROR(__xludf.DUMMYFUNCTION("""COMPUTED_VALUE"""),"001920902960000")</f>
        <v>001920902960000</v>
      </c>
      <c r="M1050" s="2" t="str">
        <f ca="1">IFERROR(__xludf.DUMMYFUNCTION("""COMPUTED_VALUE"""),"1920902960000")</f>
        <v>1920902960000</v>
      </c>
      <c r="N1050" s="1" t="str">
        <f ca="1">IFERROR(__xludf.DUMMYFUNCTION("""COMPUTED_VALUE"""),"EEEM WALDEMAR MAUES")</f>
        <v>EEEM WALDEMAR MAUES</v>
      </c>
      <c r="O1050" s="1"/>
      <c r="P1050" s="1"/>
      <c r="Q1050" s="1" t="s">
        <v>1067</v>
      </c>
    </row>
    <row r="1051" spans="1:17" x14ac:dyDescent="0.25">
      <c r="A1051" s="2" t="str">
        <f ca="1">IFERROR(__xludf.DUMMYFUNCTION("""COMPUTED_VALUE"""),"REG DE INTEGRA DO BAIXO AMAZON")</f>
        <v>REG DE INTEGRA DO BAIXO AMAZON</v>
      </c>
      <c r="B1051" s="1" t="str">
        <f ca="1">IFERROR(__xludf.DUMMYFUNCTION("""COMPUTED_VALUE"""),"DRE SANTAREM")</f>
        <v>DRE SANTAREM</v>
      </c>
      <c r="C1051" s="2" t="str">
        <f ca="1">IFERROR(__xludf.DUMMYFUNCTION("""COMPUTED_VALUE"""),"DRE - SANTAREM")</f>
        <v>DRE - SANTAREM</v>
      </c>
      <c r="D1051" s="1"/>
      <c r="E1051" s="2" t="str">
        <f ca="1">IFERROR(__xludf.DUMMYFUNCTION("""COMPUTED_VALUE"""),"DRE - SANTAREM")</f>
        <v>DRE - SANTAREM</v>
      </c>
      <c r="F1051" s="1"/>
      <c r="G1051" s="1"/>
      <c r="H1051" s="1" t="str">
        <f ca="1">IFERROR(__xludf.DUMMYFUNCTION("""COMPUTED_VALUE"""),"05A URE - SANTAREM")</f>
        <v>05A URE - SANTAREM</v>
      </c>
      <c r="I1051" s="1"/>
      <c r="J1051" s="1" t="str">
        <f ca="1">IFERROR(__xludf.DUMMYFUNCTION("""COMPUTED_VALUE"""),"BELTERRA")</f>
        <v>BELTERRA</v>
      </c>
      <c r="K1051" s="1"/>
      <c r="L1051" s="2" t="str">
        <f ca="1">IFERROR(__xludf.DUMMYFUNCTION("""COMPUTED_VALUE"""),"001920985000000")</f>
        <v>001920985000000</v>
      </c>
      <c r="M1051" s="2" t="str">
        <f ca="1">IFERROR(__xludf.DUMMYFUNCTION("""COMPUTED_VALUE"""),"1920985000000")</f>
        <v>1920985000000</v>
      </c>
      <c r="N1051" s="1" t="str">
        <f ca="1">IFERROR(__xludf.DUMMYFUNCTION("""COMPUTED_VALUE"""),"ESCOLA ESTADUAL RURAL DE BELTERRA")</f>
        <v>ESCOLA ESTADUAL RURAL DE BELTERRA</v>
      </c>
      <c r="O1051" s="1"/>
      <c r="P1051" s="1"/>
      <c r="Q1051" s="1" t="s">
        <v>1067</v>
      </c>
    </row>
    <row r="1052" spans="1:17" x14ac:dyDescent="0.25">
      <c r="A1052" s="2" t="str">
        <f ca="1">IFERROR(__xludf.DUMMYFUNCTION("""COMPUTED_VALUE"""),"REG DE INTEGRA DO BAIXO AMAZON")</f>
        <v>REG DE INTEGRA DO BAIXO AMAZON</v>
      </c>
      <c r="B1052" s="1" t="str">
        <f ca="1">IFERROR(__xludf.DUMMYFUNCTION("""COMPUTED_VALUE"""),"DRE SANTAREM")</f>
        <v>DRE SANTAREM</v>
      </c>
      <c r="C1052" s="2" t="str">
        <f ca="1">IFERROR(__xludf.DUMMYFUNCTION("""COMPUTED_VALUE"""),"DRE - SANTAREM")</f>
        <v>DRE - SANTAREM</v>
      </c>
      <c r="D1052" s="1"/>
      <c r="E1052" s="2" t="str">
        <f ca="1">IFERROR(__xludf.DUMMYFUNCTION("""COMPUTED_VALUE"""),"DRE - SANTAREM")</f>
        <v>DRE - SANTAREM</v>
      </c>
      <c r="F1052" s="1">
        <f ca="1">IFERROR(__xludf.DUMMYFUNCTION("""COMPUTED_VALUE"""),3)</f>
        <v>3</v>
      </c>
      <c r="G1052" s="1"/>
      <c r="H1052" s="1" t="str">
        <f ca="1">IFERROR(__xludf.DUMMYFUNCTION("""COMPUTED_VALUE"""),"05A URE - SANTAREM")</f>
        <v>05A URE - SANTAREM</v>
      </c>
      <c r="I1052" s="1"/>
      <c r="J1052" s="1" t="str">
        <f ca="1">IFERROR(__xludf.DUMMYFUNCTION("""COMPUTED_VALUE"""),"MOJUI DOS CAMPOS")</f>
        <v>MOJUI DOS CAMPOS</v>
      </c>
      <c r="K1052" s="1">
        <f ca="1">IFERROR(__xludf.DUMMYFUNCTION("""COMPUTED_VALUE"""),15177556)</f>
        <v>15177556</v>
      </c>
      <c r="L1052" s="2" t="str">
        <f ca="1">IFERROR(__xludf.DUMMYFUNCTION("""COMPUTED_VALUE"""),"001920902930001")</f>
        <v>001920902930001</v>
      </c>
      <c r="M1052" s="2" t="str">
        <f ca="1">IFERROR(__xludf.DUMMYFUNCTION("""COMPUTED_VALUE"""),"1920902930001")</f>
        <v>1920902930001</v>
      </c>
      <c r="N1052" s="1" t="str">
        <f ca="1">IFERROR(__xludf.DUMMYFUNCTION("""COMPUTED_VALUE"""),"ANEXO RURAL GOV FERNANDO GUILHON")</f>
        <v>ANEXO RURAL GOV FERNANDO GUILHON</v>
      </c>
      <c r="O1052" s="1"/>
      <c r="P1052" s="1"/>
      <c r="Q1052" s="1" t="s">
        <v>1067</v>
      </c>
    </row>
    <row r="1053" spans="1:17" x14ac:dyDescent="0.25">
      <c r="A1053" s="2" t="str">
        <f ca="1">IFERROR(__xludf.DUMMYFUNCTION("""COMPUTED_VALUE"""),"REG DE INTEGRA DO BAIXO AMAZON")</f>
        <v>REG DE INTEGRA DO BAIXO AMAZON</v>
      </c>
      <c r="B1053" s="1" t="str">
        <f ca="1">IFERROR(__xludf.DUMMYFUNCTION("""COMPUTED_VALUE"""),"DRE SANTAREM")</f>
        <v>DRE SANTAREM</v>
      </c>
      <c r="C1053" s="2" t="str">
        <f ca="1">IFERROR(__xludf.DUMMYFUNCTION("""COMPUTED_VALUE"""),"DRE - SANTAREM")</f>
        <v>DRE - SANTAREM</v>
      </c>
      <c r="D1053" s="1"/>
      <c r="E1053" s="2" t="str">
        <f ca="1">IFERROR(__xludf.DUMMYFUNCTION("""COMPUTED_VALUE"""),"DRE - SANTAREM")</f>
        <v>DRE - SANTAREM</v>
      </c>
      <c r="F1053" s="1">
        <f ca="1">IFERROR(__xludf.DUMMYFUNCTION("""COMPUTED_VALUE"""),3)</f>
        <v>3</v>
      </c>
      <c r="G1053" s="1" t="str">
        <f ca="1">IFERROR(__xludf.DUMMYFUNCTION("""COMPUTED_VALUE"""),"DRE SANTAREM")</f>
        <v>DRE SANTAREM</v>
      </c>
      <c r="H1053" s="1" t="str">
        <f ca="1">IFERROR(__xludf.DUMMYFUNCTION("""COMPUTED_VALUE"""),"05A URE - SANTAREM")</f>
        <v>05A URE - SANTAREM</v>
      </c>
      <c r="I1053" s="1"/>
      <c r="J1053" s="1" t="str">
        <f ca="1">IFERROR(__xludf.DUMMYFUNCTION("""COMPUTED_VALUE"""),"MOJUI DOS CAMPOS")</f>
        <v>MOJUI DOS CAMPOS</v>
      </c>
      <c r="K1053" s="1">
        <f ca="1">IFERROR(__xludf.DUMMYFUNCTION("""COMPUTED_VALUE"""),15016668)</f>
        <v>15016668</v>
      </c>
      <c r="L1053" s="2" t="str">
        <f ca="1">IFERROR(__xludf.DUMMYFUNCTION("""COMPUTED_VALUE"""),"001920902930000")</f>
        <v>001920902930000</v>
      </c>
      <c r="M1053" s="2" t="str">
        <f ca="1">IFERROR(__xludf.DUMMYFUNCTION("""COMPUTED_VALUE"""),"1920902930000")</f>
        <v>1920902930000</v>
      </c>
      <c r="N1053" s="1" t="str">
        <f ca="1">IFERROR(__xludf.DUMMYFUNCTION("""COMPUTED_VALUE"""),"EEEFM GOV FERNANDO GUILHON")</f>
        <v>EEEFM GOV FERNANDO GUILHON</v>
      </c>
      <c r="O1053" s="1"/>
      <c r="P1053" s="1"/>
      <c r="Q1053" s="1" t="s">
        <v>1067</v>
      </c>
    </row>
    <row r="1054" spans="1:17" x14ac:dyDescent="0.25">
      <c r="A1054" s="2" t="str">
        <f ca="1">IFERROR(__xludf.DUMMYFUNCTION("""COMPUTED_VALUE"""),"REG DE INTEGRA DO BAIXO AMAZON")</f>
        <v>REG DE INTEGRA DO BAIXO AMAZON</v>
      </c>
      <c r="B1054" s="1" t="str">
        <f ca="1">IFERROR(__xludf.DUMMYFUNCTION("""COMPUTED_VALUE"""),"DRE SANTAREM")</f>
        <v>DRE SANTAREM</v>
      </c>
      <c r="C1054" s="2" t="str">
        <f ca="1">IFERROR(__xludf.DUMMYFUNCTION("""COMPUTED_VALUE"""),"DRE - SANTAREM")</f>
        <v>DRE - SANTAREM</v>
      </c>
      <c r="D1054" s="1"/>
      <c r="E1054" s="2" t="str">
        <f ca="1">IFERROR(__xludf.DUMMYFUNCTION("""COMPUTED_VALUE"""),"DRE - SANTAREM")</f>
        <v>DRE - SANTAREM</v>
      </c>
      <c r="F1054" s="1"/>
      <c r="G1054" s="1"/>
      <c r="H1054" s="1" t="str">
        <f ca="1">IFERROR(__xludf.DUMMYFUNCTION("""COMPUTED_VALUE"""),"05A URE - SANTAREM")</f>
        <v>05A URE - SANTAREM</v>
      </c>
      <c r="I1054" s="1"/>
      <c r="J1054" s="1" t="str">
        <f ca="1">IFERROR(__xludf.DUMMYFUNCTION("""COMPUTED_VALUE"""),"MOJUI DOS CAMPOS")</f>
        <v>MOJUI DOS CAMPOS</v>
      </c>
      <c r="K1054" s="1"/>
      <c r="L1054" s="2" t="str">
        <f ca="1">IFERROR(__xludf.DUMMYFUNCTION("""COMPUTED_VALUE"""),"001920986000000")</f>
        <v>001920986000000</v>
      </c>
      <c r="M1054" s="2" t="str">
        <f ca="1">IFERROR(__xludf.DUMMYFUNCTION("""COMPUTED_VALUE"""),"1920986000000")</f>
        <v>1920986000000</v>
      </c>
      <c r="N1054" s="1" t="str">
        <f ca="1">IFERROR(__xludf.DUMMYFUNCTION("""COMPUTED_VALUE"""),"ESCOLA ESTADUAL RURAL DE MOJUI DOS CAMPOS")</f>
        <v>ESCOLA ESTADUAL RURAL DE MOJUI DOS CAMPOS</v>
      </c>
      <c r="O1054" s="1"/>
      <c r="P1054" s="1"/>
      <c r="Q1054" s="1" t="s">
        <v>1067</v>
      </c>
    </row>
    <row r="1055" spans="1:17" x14ac:dyDescent="0.25">
      <c r="A1055" s="2" t="str">
        <f ca="1">IFERROR(__xludf.DUMMYFUNCTION("""COMPUTED_VALUE"""),"REG DE INTEGRA DO BAIXO AMAZON")</f>
        <v>REG DE INTEGRA DO BAIXO AMAZON</v>
      </c>
      <c r="B1055" s="1" t="str">
        <f ca="1">IFERROR(__xludf.DUMMYFUNCTION("""COMPUTED_VALUE"""),"DRE SANTAREM")</f>
        <v>DRE SANTAREM</v>
      </c>
      <c r="C1055" s="2" t="str">
        <f ca="1">IFERROR(__xludf.DUMMYFUNCTION("""COMPUTED_VALUE"""),"DRE - SANTAREM")</f>
        <v>DRE - SANTAREM</v>
      </c>
      <c r="D1055" s="1"/>
      <c r="E1055" s="2" t="str">
        <f ca="1">IFERROR(__xludf.DUMMYFUNCTION("""COMPUTED_VALUE"""),"DRE - SANTAREM")</f>
        <v>DRE - SANTAREM</v>
      </c>
      <c r="F1055" s="1">
        <f ca="1">IFERROR(__xludf.DUMMYFUNCTION("""COMPUTED_VALUE"""),3)</f>
        <v>3</v>
      </c>
      <c r="G1055" s="1" t="str">
        <f ca="1">IFERROR(__xludf.DUMMYFUNCTION("""COMPUTED_VALUE"""),"DRE SANTAREM")</f>
        <v>DRE SANTAREM</v>
      </c>
      <c r="H1055" s="1" t="str">
        <f ca="1">IFERROR(__xludf.DUMMYFUNCTION("""COMPUTED_VALUE"""),"05A URE - SANTAREM")</f>
        <v>05A URE - SANTAREM</v>
      </c>
      <c r="I1055" s="1"/>
      <c r="J1055" s="1" t="str">
        <f ca="1">IFERROR(__xludf.DUMMYFUNCTION("""COMPUTED_VALUE"""),"SANTAREM")</f>
        <v>SANTAREM</v>
      </c>
      <c r="K1055" s="1"/>
      <c r="L1055" s="2" t="str">
        <f ca="1">IFERROR(__xludf.DUMMYFUNCTION("""COMPUTED_VALUE"""),"001920900050000")</f>
        <v>001920900050000</v>
      </c>
      <c r="M1055" s="2" t="str">
        <f ca="1">IFERROR(__xludf.DUMMYFUNCTION("""COMPUTED_VALUE"""),"1920900050000")</f>
        <v>1920900050000</v>
      </c>
      <c r="N1055" s="1" t="str">
        <f ca="1">IFERROR(__xludf.DUMMYFUNCTION("""COMPUTED_VALUE"""),"5 URE")</f>
        <v>5 URE</v>
      </c>
      <c r="O1055" s="1"/>
      <c r="P1055" s="1"/>
      <c r="Q1055" s="1" t="s">
        <v>1067</v>
      </c>
    </row>
    <row r="1056" spans="1:17" x14ac:dyDescent="0.25">
      <c r="A1056" s="2" t="str">
        <f ca="1">IFERROR(__xludf.DUMMYFUNCTION("""COMPUTED_VALUE"""),"REG DE INTEGRA DO BAIXO AMAZON")</f>
        <v>REG DE INTEGRA DO BAIXO AMAZON</v>
      </c>
      <c r="B1056" s="1" t="str">
        <f ca="1">IFERROR(__xludf.DUMMYFUNCTION("""COMPUTED_VALUE"""),"DRE SANTAREM")</f>
        <v>DRE SANTAREM</v>
      </c>
      <c r="C1056" s="2" t="str">
        <f ca="1">IFERROR(__xludf.DUMMYFUNCTION("""COMPUTED_VALUE"""),"DRE - SANTAREM")</f>
        <v>DRE - SANTAREM</v>
      </c>
      <c r="D1056" s="1"/>
      <c r="E1056" s="2" t="str">
        <f ca="1">IFERROR(__xludf.DUMMYFUNCTION("""COMPUTED_VALUE"""),"DRE - SANTAREM")</f>
        <v>DRE - SANTAREM</v>
      </c>
      <c r="F1056" s="1">
        <f ca="1">IFERROR(__xludf.DUMMYFUNCTION("""COMPUTED_VALUE"""),3)</f>
        <v>3</v>
      </c>
      <c r="G1056" s="1"/>
      <c r="H1056" s="1" t="str">
        <f ca="1">IFERROR(__xludf.DUMMYFUNCTION("""COMPUTED_VALUE"""),"05A URE - SANTAREM")</f>
        <v>05A URE - SANTAREM</v>
      </c>
      <c r="I1056" s="1"/>
      <c r="J1056" s="1" t="str">
        <f ca="1">IFERROR(__xludf.DUMMYFUNCTION("""COMPUTED_VALUE"""),"SANTAREM")</f>
        <v>SANTAREM</v>
      </c>
      <c r="K1056" s="1">
        <f ca="1">IFERROR(__xludf.DUMMYFUNCTION("""COMPUTED_VALUE"""),15177734)</f>
        <v>15177734</v>
      </c>
      <c r="L1056" s="2" t="str">
        <f ca="1">IFERROR(__xludf.DUMMYFUNCTION("""COMPUTED_VALUE"""),"001920902720003")</f>
        <v>001920902720003</v>
      </c>
      <c r="M1056" s="2" t="str">
        <f ca="1">IFERROR(__xludf.DUMMYFUNCTION("""COMPUTED_VALUE"""),"1920902720003")</f>
        <v>1920902720003</v>
      </c>
      <c r="N1056" s="1" t="str">
        <f ca="1">IFERROR(__xludf.DUMMYFUNCTION("""COMPUTED_VALUE"""),"ANEXO RURAL SAO FELIPE")</f>
        <v>ANEXO RURAL SAO FELIPE</v>
      </c>
      <c r="O1056" s="1"/>
      <c r="P1056" s="1"/>
      <c r="Q1056" s="1" t="s">
        <v>1067</v>
      </c>
    </row>
    <row r="1057" spans="1:17" x14ac:dyDescent="0.25">
      <c r="A1057" s="2" t="str">
        <f ca="1">IFERROR(__xludf.DUMMYFUNCTION("""COMPUTED_VALUE"""),"REG DE INTEGRA DO BAIXO AMAZON")</f>
        <v>REG DE INTEGRA DO BAIXO AMAZON</v>
      </c>
      <c r="B1057" s="1" t="str">
        <f ca="1">IFERROR(__xludf.DUMMYFUNCTION("""COMPUTED_VALUE"""),"DRE SANTAREM")</f>
        <v>DRE SANTAREM</v>
      </c>
      <c r="C1057" s="2" t="str">
        <f ca="1">IFERROR(__xludf.DUMMYFUNCTION("""COMPUTED_VALUE"""),"DRE - SANTAREM")</f>
        <v>DRE - SANTAREM</v>
      </c>
      <c r="D1057" s="1"/>
      <c r="E1057" s="2" t="str">
        <f ca="1">IFERROR(__xludf.DUMMYFUNCTION("""COMPUTED_VALUE"""),"DRE - SANTAREM")</f>
        <v>DRE - SANTAREM</v>
      </c>
      <c r="F1057" s="1">
        <f ca="1">IFERROR(__xludf.DUMMYFUNCTION("""COMPUTED_VALUE"""),3)</f>
        <v>3</v>
      </c>
      <c r="G1057" s="1" t="str">
        <f ca="1">IFERROR(__xludf.DUMMYFUNCTION("""COMPUTED_VALUE"""),"DRE SANTAREM")</f>
        <v>DRE SANTAREM</v>
      </c>
      <c r="H1057" s="1" t="str">
        <f ca="1">IFERROR(__xludf.DUMMYFUNCTION("""COMPUTED_VALUE"""),"05A URE - SANTAREM")</f>
        <v>05A URE - SANTAREM</v>
      </c>
      <c r="I1057" s="1"/>
      <c r="J1057" s="1" t="str">
        <f ca="1">IFERROR(__xludf.DUMMYFUNCTION("""COMPUTED_VALUE"""),"SANTAREM")</f>
        <v>SANTAREM</v>
      </c>
      <c r="K1057" s="1">
        <f ca="1">IFERROR(__xludf.DUMMYFUNCTION("""COMPUTED_VALUE"""),15015564)</f>
        <v>15015564</v>
      </c>
      <c r="L1057" s="2" t="str">
        <f ca="1">IFERROR(__xludf.DUMMYFUNCTION("""COMPUTED_VALUE"""),"001920912850000")</f>
        <v>001920912850000</v>
      </c>
      <c r="M1057" s="2" t="str">
        <f ca="1">IFERROR(__xludf.DUMMYFUNCTION("""COMPUTED_VALUE"""),"1920912850000")</f>
        <v>1920912850000</v>
      </c>
      <c r="N1057" s="1" t="str">
        <f ca="1">IFERROR(__xludf.DUMMYFUNCTION("""COMPUTED_VALUE"""),"CENTRO DE EDUCACAO DE JOVENS E ADULTOS CEEJA SANTAREM")</f>
        <v>CENTRO DE EDUCACAO DE JOVENS E ADULTOS CEEJA SANTAREM</v>
      </c>
      <c r="O1057" s="1"/>
      <c r="P1057" s="1"/>
      <c r="Q1057" s="1" t="s">
        <v>1067</v>
      </c>
    </row>
    <row r="1058" spans="1:17" x14ac:dyDescent="0.25">
      <c r="A1058" s="2" t="str">
        <f ca="1">IFERROR(__xludf.DUMMYFUNCTION("""COMPUTED_VALUE"""),"REG DE INTEGRA DO BAIXO AMAZON")</f>
        <v>REG DE INTEGRA DO BAIXO AMAZON</v>
      </c>
      <c r="B1058" s="1" t="str">
        <f ca="1">IFERROR(__xludf.DUMMYFUNCTION("""COMPUTED_VALUE"""),"DRE SANTAREM")</f>
        <v>DRE SANTAREM</v>
      </c>
      <c r="C1058" s="2" t="str">
        <f ca="1">IFERROR(__xludf.DUMMYFUNCTION("""COMPUTED_VALUE"""),"DRE - SANTAREM")</f>
        <v>DRE - SANTAREM</v>
      </c>
      <c r="D1058" s="1"/>
      <c r="E1058" s="2" t="str">
        <f ca="1">IFERROR(__xludf.DUMMYFUNCTION("""COMPUTED_VALUE"""),"DRE - SANTAREM")</f>
        <v>DRE - SANTAREM</v>
      </c>
      <c r="F1058" s="1">
        <f ca="1">IFERROR(__xludf.DUMMYFUNCTION("""COMPUTED_VALUE"""),3)</f>
        <v>3</v>
      </c>
      <c r="G1058" s="1" t="str">
        <f ca="1">IFERROR(__xludf.DUMMYFUNCTION("""COMPUTED_VALUE"""),"DRE SANTAREM")</f>
        <v>DRE SANTAREM</v>
      </c>
      <c r="H1058" s="1" t="str">
        <f ca="1">IFERROR(__xludf.DUMMYFUNCTION("""COMPUTED_VALUE"""),"05A URE - SANTAREM")</f>
        <v>05A URE - SANTAREM</v>
      </c>
      <c r="I1058" s="1"/>
      <c r="J1058" s="1" t="str">
        <f ca="1">IFERROR(__xludf.DUMMYFUNCTION("""COMPUTED_VALUE"""),"SANTAREM")</f>
        <v>SANTAREM</v>
      </c>
      <c r="K1058" s="1">
        <f ca="1">IFERROR(__xludf.DUMMYFUNCTION("""COMPUTED_VALUE"""),15542475)</f>
        <v>15542475</v>
      </c>
      <c r="L1058" s="2" t="str">
        <f ca="1">IFERROR(__xludf.DUMMYFUNCTION("""COMPUTED_VALUE"""),"001920929620000")</f>
        <v>001920929620000</v>
      </c>
      <c r="M1058" s="2" t="str">
        <f ca="1">IFERROR(__xludf.DUMMYFUNCTION("""COMPUTED_VALUE"""),"1920929620000")</f>
        <v>1920929620000</v>
      </c>
      <c r="N1058" s="1" t="str">
        <f ca="1">IFERROR(__xludf.DUMMYFUNCTION("""COMPUTED_VALUE"""),"E.E.E.F.M.DOM TIAGO RYAN")</f>
        <v>E.E.E.F.M.DOM TIAGO RYAN</v>
      </c>
      <c r="O1058" s="1"/>
      <c r="P1058" s="1"/>
      <c r="Q1058" s="1" t="s">
        <v>1067</v>
      </c>
    </row>
    <row r="1059" spans="1:17" x14ac:dyDescent="0.25">
      <c r="A1059" s="2" t="str">
        <f ca="1">IFERROR(__xludf.DUMMYFUNCTION("""COMPUTED_VALUE"""),"REG DE INTEGRA DO BAIXO AMAZON")</f>
        <v>REG DE INTEGRA DO BAIXO AMAZON</v>
      </c>
      <c r="B1059" s="1" t="str">
        <f ca="1">IFERROR(__xludf.DUMMYFUNCTION("""COMPUTED_VALUE"""),"DRE SANTAREM")</f>
        <v>DRE SANTAREM</v>
      </c>
      <c r="C1059" s="2" t="str">
        <f ca="1">IFERROR(__xludf.DUMMYFUNCTION("""COMPUTED_VALUE"""),"DRE - SANTAREM")</f>
        <v>DRE - SANTAREM</v>
      </c>
      <c r="D1059" s="1"/>
      <c r="E1059" s="2" t="str">
        <f ca="1">IFERROR(__xludf.DUMMYFUNCTION("""COMPUTED_VALUE"""),"DRE - SANTAREM")</f>
        <v>DRE - SANTAREM</v>
      </c>
      <c r="F1059" s="1">
        <f ca="1">IFERROR(__xludf.DUMMYFUNCTION("""COMPUTED_VALUE"""),3)</f>
        <v>3</v>
      </c>
      <c r="G1059" s="1" t="str">
        <f ca="1">IFERROR(__xludf.DUMMYFUNCTION("""COMPUTED_VALUE"""),"DRE SANTAREM")</f>
        <v>DRE SANTAREM</v>
      </c>
      <c r="H1059" s="1" t="str">
        <f ca="1">IFERROR(__xludf.DUMMYFUNCTION("""COMPUTED_VALUE"""),"05A URE - SANTAREM")</f>
        <v>05A URE - SANTAREM</v>
      </c>
      <c r="I1059" s="1"/>
      <c r="J1059" s="1" t="str">
        <f ca="1">IFERROR(__xludf.DUMMYFUNCTION("""COMPUTED_VALUE"""),"SANTAREM")</f>
        <v>SANTAREM</v>
      </c>
      <c r="K1059" s="1">
        <f ca="1">IFERROR(__xludf.DUMMYFUNCTION("""COMPUTED_VALUE"""),15011402)</f>
        <v>15011402</v>
      </c>
      <c r="L1059" s="2" t="str">
        <f ca="1">IFERROR(__xludf.DUMMYFUNCTION("""COMPUTED_VALUE"""),"001920902730000")</f>
        <v>001920902730000</v>
      </c>
      <c r="M1059" s="2" t="str">
        <f ca="1">IFERROR(__xludf.DUMMYFUNCTION("""COMPUTED_VALUE"""),"1920902730000")</f>
        <v>1920902730000</v>
      </c>
      <c r="N1059" s="1" t="str">
        <f ca="1">IFERROR(__xludf.DUMMYFUNCTION("""COMPUTED_VALUE"""),"EEEF BARAO DO TAPAJOS")</f>
        <v>EEEF BARAO DO TAPAJOS</v>
      </c>
      <c r="O1059" s="1"/>
      <c r="P1059" s="1"/>
      <c r="Q1059" s="1" t="s">
        <v>1067</v>
      </c>
    </row>
    <row r="1060" spans="1:17" x14ac:dyDescent="0.25">
      <c r="A1060" s="2" t="str">
        <f ca="1">IFERROR(__xludf.DUMMYFUNCTION("""COMPUTED_VALUE"""),"REG DE INTEGRA DO BAIXO AMAZON")</f>
        <v>REG DE INTEGRA DO BAIXO AMAZON</v>
      </c>
      <c r="B1060" s="1" t="str">
        <f ca="1">IFERROR(__xludf.DUMMYFUNCTION("""COMPUTED_VALUE"""),"DRE SANTAREM")</f>
        <v>DRE SANTAREM</v>
      </c>
      <c r="C1060" s="2" t="str">
        <f ca="1">IFERROR(__xludf.DUMMYFUNCTION("""COMPUTED_VALUE"""),"DRE - SANTAREM")</f>
        <v>DRE - SANTAREM</v>
      </c>
      <c r="D1060" s="1"/>
      <c r="E1060" s="2" t="str">
        <f ca="1">IFERROR(__xludf.DUMMYFUNCTION("""COMPUTED_VALUE"""),"DRE - SANTAREM")</f>
        <v>DRE - SANTAREM</v>
      </c>
      <c r="F1060" s="1">
        <f ca="1">IFERROR(__xludf.DUMMYFUNCTION("""COMPUTED_VALUE"""),3)</f>
        <v>3</v>
      </c>
      <c r="G1060" s="1" t="str">
        <f ca="1">IFERROR(__xludf.DUMMYFUNCTION("""COMPUTED_VALUE"""),"DRE SANTAREM")</f>
        <v>DRE SANTAREM</v>
      </c>
      <c r="H1060" s="1" t="str">
        <f ca="1">IFERROR(__xludf.DUMMYFUNCTION("""COMPUTED_VALUE"""),"05A URE - SANTAREM")</f>
        <v>05A URE - SANTAREM</v>
      </c>
      <c r="I1060" s="1"/>
      <c r="J1060" s="1" t="str">
        <f ca="1">IFERROR(__xludf.DUMMYFUNCTION("""COMPUTED_VALUE"""),"SANTAREM")</f>
        <v>SANTAREM</v>
      </c>
      <c r="K1060" s="1">
        <f ca="1">IFERROR(__xludf.DUMMYFUNCTION("""COMPUTED_VALUE"""),15011593)</f>
        <v>15011593</v>
      </c>
      <c r="L1060" s="2" t="str">
        <f ca="1">IFERROR(__xludf.DUMMYFUNCTION("""COMPUTED_VALUE"""),"001920902750000")</f>
        <v>001920902750000</v>
      </c>
      <c r="M1060" s="2" t="str">
        <f ca="1">IFERROR(__xludf.DUMMYFUNCTION("""COMPUTED_VALUE"""),"1920902750000")</f>
        <v>1920902750000</v>
      </c>
      <c r="N1060" s="1" t="str">
        <f ca="1">IFERROR(__xludf.DUMMYFUNCTION("""COMPUTED_VALUE"""),"EEEF GONCALVES DIAS")</f>
        <v>EEEF GONCALVES DIAS</v>
      </c>
      <c r="O1060" s="1"/>
      <c r="P1060" s="1"/>
      <c r="Q1060" s="1" t="s">
        <v>1067</v>
      </c>
    </row>
    <row r="1061" spans="1:17" x14ac:dyDescent="0.25">
      <c r="A1061" s="2" t="str">
        <f ca="1">IFERROR(__xludf.DUMMYFUNCTION("""COMPUTED_VALUE"""),"REG DE INTEGRA DO BAIXO AMAZON")</f>
        <v>REG DE INTEGRA DO BAIXO AMAZON</v>
      </c>
      <c r="B1061" s="1" t="str">
        <f ca="1">IFERROR(__xludf.DUMMYFUNCTION("""COMPUTED_VALUE"""),"DRE SANTAREM")</f>
        <v>DRE SANTAREM</v>
      </c>
      <c r="C1061" s="2" t="str">
        <f ca="1">IFERROR(__xludf.DUMMYFUNCTION("""COMPUTED_VALUE"""),"DRE - SANTAREM")</f>
        <v>DRE - SANTAREM</v>
      </c>
      <c r="D1061" s="1"/>
      <c r="E1061" s="2" t="str">
        <f ca="1">IFERROR(__xludf.DUMMYFUNCTION("""COMPUTED_VALUE"""),"DRE - SANTAREM")</f>
        <v>DRE - SANTAREM</v>
      </c>
      <c r="F1061" s="1">
        <f ca="1">IFERROR(__xludf.DUMMYFUNCTION("""COMPUTED_VALUE"""),3)</f>
        <v>3</v>
      </c>
      <c r="G1061" s="1" t="str">
        <f ca="1">IFERROR(__xludf.DUMMYFUNCTION("""COMPUTED_VALUE"""),"DRE SANTAREM")</f>
        <v>DRE SANTAREM</v>
      </c>
      <c r="H1061" s="1" t="str">
        <f ca="1">IFERROR(__xludf.DUMMYFUNCTION("""COMPUTED_VALUE"""),"05A URE - SANTAREM")</f>
        <v>05A URE - SANTAREM</v>
      </c>
      <c r="I1061" s="1"/>
      <c r="J1061" s="1" t="str">
        <f ca="1">IFERROR(__xludf.DUMMYFUNCTION("""COMPUTED_VALUE"""),"SANTAREM")</f>
        <v>SANTAREM</v>
      </c>
      <c r="K1061" s="1">
        <f ca="1">IFERROR(__xludf.DUMMYFUNCTION("""COMPUTED_VALUE"""),15011321)</f>
        <v>15011321</v>
      </c>
      <c r="L1061" s="2" t="str">
        <f ca="1">IFERROR(__xludf.DUMMYFUNCTION("""COMPUTED_VALUE"""),"001920901460000")</f>
        <v>001920901460000</v>
      </c>
      <c r="M1061" s="2" t="str">
        <f ca="1">IFERROR(__xludf.DUMMYFUNCTION("""COMPUTED_VALUE"""),"1920901460000")</f>
        <v>1920901460000</v>
      </c>
      <c r="N1061" s="1" t="str">
        <f ca="1">IFERROR(__xludf.DUMMYFUNCTION("""COMPUTED_VALUE"""),"EEEF PROF ROMANA TAVARES LEAL")</f>
        <v>EEEF PROF ROMANA TAVARES LEAL</v>
      </c>
      <c r="O1061" s="1"/>
      <c r="P1061" s="1"/>
      <c r="Q1061" s="1" t="s">
        <v>1067</v>
      </c>
    </row>
    <row r="1062" spans="1:17" x14ac:dyDescent="0.25">
      <c r="A1062" s="2" t="str">
        <f ca="1">IFERROR(__xludf.DUMMYFUNCTION("""COMPUTED_VALUE"""),"REG DE INTEGRA DO BAIXO AMAZON")</f>
        <v>REG DE INTEGRA DO BAIXO AMAZON</v>
      </c>
      <c r="B1062" s="1" t="str">
        <f ca="1">IFERROR(__xludf.DUMMYFUNCTION("""COMPUTED_VALUE"""),"DRE SANTAREM")</f>
        <v>DRE SANTAREM</v>
      </c>
      <c r="C1062" s="2" t="str">
        <f ca="1">IFERROR(__xludf.DUMMYFUNCTION("""COMPUTED_VALUE"""),"DRE - SANTAREM")</f>
        <v>DRE - SANTAREM</v>
      </c>
      <c r="D1062" s="1"/>
      <c r="E1062" s="2" t="str">
        <f ca="1">IFERROR(__xludf.DUMMYFUNCTION("""COMPUTED_VALUE"""),"DRE - SANTAREM")</f>
        <v>DRE - SANTAREM</v>
      </c>
      <c r="F1062" s="1">
        <f ca="1">IFERROR(__xludf.DUMMYFUNCTION("""COMPUTED_VALUE"""),3)</f>
        <v>3</v>
      </c>
      <c r="G1062" s="1" t="str">
        <f ca="1">IFERROR(__xludf.DUMMYFUNCTION("""COMPUTED_VALUE"""),"DRE SANTAREM")</f>
        <v>DRE SANTAREM</v>
      </c>
      <c r="H1062" s="1" t="str">
        <f ca="1">IFERROR(__xludf.DUMMYFUNCTION("""COMPUTED_VALUE"""),"05A URE - SANTAREM")</f>
        <v>05A URE - SANTAREM</v>
      </c>
      <c r="I1062" s="1"/>
      <c r="J1062" s="1" t="str">
        <f ca="1">IFERROR(__xludf.DUMMYFUNCTION("""COMPUTED_VALUE"""),"SANTAREM")</f>
        <v>SANTAREM</v>
      </c>
      <c r="K1062" s="1">
        <f ca="1">IFERROR(__xludf.DUMMYFUNCTION("""COMPUTED_VALUE"""),15011712)</f>
        <v>15011712</v>
      </c>
      <c r="L1062" s="2" t="str">
        <f ca="1">IFERROR(__xludf.DUMMYFUNCTION("""COMPUTED_VALUE"""),"001920902790000")</f>
        <v>001920902790000</v>
      </c>
      <c r="M1062" s="2" t="str">
        <f ca="1">IFERROR(__xludf.DUMMYFUNCTION("""COMPUTED_VALUE"""),"1920902790000")</f>
        <v>1920902790000</v>
      </c>
      <c r="N1062" s="1" t="str">
        <f ca="1">IFERROR(__xludf.DUMMYFUNCTION("""COMPUTED_VALUE"""),"EEEF RICHARD HENNINGTON")</f>
        <v>EEEF RICHARD HENNINGTON</v>
      </c>
      <c r="O1062" s="1"/>
      <c r="P1062" s="1"/>
      <c r="Q1062" s="1" t="s">
        <v>1067</v>
      </c>
    </row>
    <row r="1063" spans="1:17" x14ac:dyDescent="0.25">
      <c r="A1063" s="2" t="str">
        <f ca="1">IFERROR(__xludf.DUMMYFUNCTION("""COMPUTED_VALUE"""),"REG DE INTEGRA DO BAIXO AMAZON")</f>
        <v>REG DE INTEGRA DO BAIXO AMAZON</v>
      </c>
      <c r="B1063" s="1" t="str">
        <f ca="1">IFERROR(__xludf.DUMMYFUNCTION("""COMPUTED_VALUE"""),"DRE SANTAREM")</f>
        <v>DRE SANTAREM</v>
      </c>
      <c r="C1063" s="2" t="str">
        <f ca="1">IFERROR(__xludf.DUMMYFUNCTION("""COMPUTED_VALUE"""),"DRE - SANTAREM")</f>
        <v>DRE - SANTAREM</v>
      </c>
      <c r="D1063" s="1"/>
      <c r="E1063" s="2" t="str">
        <f ca="1">IFERROR(__xludf.DUMMYFUNCTION("""COMPUTED_VALUE"""),"DRE - SANTAREM")</f>
        <v>DRE - SANTAREM</v>
      </c>
      <c r="F1063" s="1">
        <f ca="1">IFERROR(__xludf.DUMMYFUNCTION("""COMPUTED_VALUE"""),3)</f>
        <v>3</v>
      </c>
      <c r="G1063" s="1" t="str">
        <f ca="1">IFERROR(__xludf.DUMMYFUNCTION("""COMPUTED_VALUE"""),"DRE SANTAREM")</f>
        <v>DRE SANTAREM</v>
      </c>
      <c r="H1063" s="1" t="str">
        <f ca="1">IFERROR(__xludf.DUMMYFUNCTION("""COMPUTED_VALUE"""),"05A URE - SANTAREM")</f>
        <v>05A URE - SANTAREM</v>
      </c>
      <c r="I1063" s="1"/>
      <c r="J1063" s="1" t="str">
        <f ca="1">IFERROR(__xludf.DUMMYFUNCTION("""COMPUTED_VALUE"""),"SANTAREM")</f>
        <v>SANTAREM</v>
      </c>
      <c r="K1063" s="1">
        <f ca="1">IFERROR(__xludf.DUMMYFUNCTION("""COMPUTED_VALUE"""),15011550)</f>
        <v>15011550</v>
      </c>
      <c r="L1063" s="2" t="str">
        <f ca="1">IFERROR(__xludf.DUMMYFUNCTION("""COMPUTED_VALUE"""),"001920902840000")</f>
        <v>001920902840000</v>
      </c>
      <c r="M1063" s="2" t="str">
        <f ca="1">IFERROR(__xludf.DUMMYFUNCTION("""COMPUTED_VALUE"""),"1920902840000")</f>
        <v>1920902840000</v>
      </c>
      <c r="N1063" s="1" t="str">
        <f ca="1">IFERROR(__xludf.DUMMYFUNCTION("""COMPUTED_VALUE"""),"EEEFM  EZERIEL MONICO DE MATOS")</f>
        <v>EEEFM  EZERIEL MONICO DE MATOS</v>
      </c>
      <c r="O1063" s="1"/>
      <c r="P1063" s="1"/>
      <c r="Q1063" s="1" t="s">
        <v>1067</v>
      </c>
    </row>
    <row r="1064" spans="1:17" x14ac:dyDescent="0.25">
      <c r="A1064" s="2" t="str">
        <f ca="1">IFERROR(__xludf.DUMMYFUNCTION("""COMPUTED_VALUE"""),"REG DE INTEGRA DO BAIXO AMAZON")</f>
        <v>REG DE INTEGRA DO BAIXO AMAZON</v>
      </c>
      <c r="B1064" s="1" t="str">
        <f ca="1">IFERROR(__xludf.DUMMYFUNCTION("""COMPUTED_VALUE"""),"DRE SANTAREM")</f>
        <v>DRE SANTAREM</v>
      </c>
      <c r="C1064" s="2" t="str">
        <f ca="1">IFERROR(__xludf.DUMMYFUNCTION("""COMPUTED_VALUE"""),"DRE - SANTAREM")</f>
        <v>DRE - SANTAREM</v>
      </c>
      <c r="D1064" s="1"/>
      <c r="E1064" s="2" t="str">
        <f ca="1">IFERROR(__xludf.DUMMYFUNCTION("""COMPUTED_VALUE"""),"DRE - SANTAREM")</f>
        <v>DRE - SANTAREM</v>
      </c>
      <c r="F1064" s="1">
        <f ca="1">IFERROR(__xludf.DUMMYFUNCTION("""COMPUTED_VALUE"""),3)</f>
        <v>3</v>
      </c>
      <c r="G1064" s="1" t="str">
        <f ca="1">IFERROR(__xludf.DUMMYFUNCTION("""COMPUTED_VALUE"""),"DRE SANTAREM")</f>
        <v>DRE SANTAREM</v>
      </c>
      <c r="H1064" s="1" t="str">
        <f ca="1">IFERROR(__xludf.DUMMYFUNCTION("""COMPUTED_VALUE"""),"05A URE - SANTAREM")</f>
        <v>05A URE - SANTAREM</v>
      </c>
      <c r="I1064" s="1"/>
      <c r="J1064" s="1" t="str">
        <f ca="1">IFERROR(__xludf.DUMMYFUNCTION("""COMPUTED_VALUE"""),"SANTAREM")</f>
        <v>SANTAREM</v>
      </c>
      <c r="K1064" s="1">
        <f ca="1">IFERROR(__xludf.DUMMYFUNCTION("""COMPUTED_VALUE"""),15011690)</f>
        <v>15011690</v>
      </c>
      <c r="L1064" s="2" t="str">
        <f ca="1">IFERROR(__xludf.DUMMYFUNCTION("""COMPUTED_VALUE"""),"001920927570000")</f>
        <v>001920927570000</v>
      </c>
      <c r="M1064" s="2" t="str">
        <f ca="1">IFERROR(__xludf.DUMMYFUNCTION("""COMPUTED_VALUE"""),"1920927570000")</f>
        <v>1920927570000</v>
      </c>
      <c r="N1064" s="1" t="str">
        <f ca="1">IFERROR(__xludf.DUMMYFUNCTION("""COMPUTED_VALUE"""),"EEEFM  ONESIMA PEREIRA DE BARROS")</f>
        <v>EEEFM  ONESIMA PEREIRA DE BARROS</v>
      </c>
      <c r="O1064" s="1"/>
      <c r="P1064" s="1"/>
      <c r="Q1064" s="1" t="s">
        <v>1067</v>
      </c>
    </row>
    <row r="1065" spans="1:17" x14ac:dyDescent="0.25">
      <c r="A1065" s="2" t="str">
        <f ca="1">IFERROR(__xludf.DUMMYFUNCTION("""COMPUTED_VALUE"""),"REG DE INTEGRA DO BAIXO AMAZON")</f>
        <v>REG DE INTEGRA DO BAIXO AMAZON</v>
      </c>
      <c r="B1065" s="1" t="str">
        <f ca="1">IFERROR(__xludf.DUMMYFUNCTION("""COMPUTED_VALUE"""),"DRE SANTAREM")</f>
        <v>DRE SANTAREM</v>
      </c>
      <c r="C1065" s="2" t="str">
        <f ca="1">IFERROR(__xludf.DUMMYFUNCTION("""COMPUTED_VALUE"""),"DRE - SANTAREM")</f>
        <v>DRE - SANTAREM</v>
      </c>
      <c r="D1065" s="1"/>
      <c r="E1065" s="2" t="str">
        <f ca="1">IFERROR(__xludf.DUMMYFUNCTION("""COMPUTED_VALUE"""),"DRE - SANTAREM")</f>
        <v>DRE - SANTAREM</v>
      </c>
      <c r="F1065" s="1">
        <f ca="1">IFERROR(__xludf.DUMMYFUNCTION("""COMPUTED_VALUE"""),3)</f>
        <v>3</v>
      </c>
      <c r="G1065" s="1" t="str">
        <f ca="1">IFERROR(__xludf.DUMMYFUNCTION("""COMPUTED_VALUE"""),"DRE SANTAREM")</f>
        <v>DRE SANTAREM</v>
      </c>
      <c r="H1065" s="1" t="str">
        <f ca="1">IFERROR(__xludf.DUMMYFUNCTION("""COMPUTED_VALUE"""),"05A URE - SANTAREM")</f>
        <v>05A URE - SANTAREM</v>
      </c>
      <c r="I1065" s="1"/>
      <c r="J1065" s="1" t="str">
        <f ca="1">IFERROR(__xludf.DUMMYFUNCTION("""COMPUTED_VALUE"""),"SANTAREM")</f>
        <v>SANTAREM</v>
      </c>
      <c r="K1065" s="1">
        <f ca="1">IFERROR(__xludf.DUMMYFUNCTION("""COMPUTED_VALUE"""),15011356)</f>
        <v>15011356</v>
      </c>
      <c r="L1065" s="2" t="str">
        <f ca="1">IFERROR(__xludf.DUMMYFUNCTION("""COMPUTED_VALUE"""),"001920902800000")</f>
        <v>001920902800000</v>
      </c>
      <c r="M1065" s="2" t="str">
        <f ca="1">IFERROR(__xludf.DUMMYFUNCTION("""COMPUTED_VALUE"""),"1920902800000")</f>
        <v>1920902800000</v>
      </c>
      <c r="N1065" s="1" t="str">
        <f ca="1">IFERROR(__xludf.DUMMYFUNCTION("""COMPUTED_VALUE"""),"EEEFM ALMIRANTE SOARES DUTRA")</f>
        <v>EEEFM ALMIRANTE SOARES DUTRA</v>
      </c>
      <c r="O1065" s="1"/>
      <c r="P1065" s="1"/>
      <c r="Q1065" s="1" t="s">
        <v>1067</v>
      </c>
    </row>
    <row r="1066" spans="1:17" x14ac:dyDescent="0.25">
      <c r="A1066" s="2" t="str">
        <f ca="1">IFERROR(__xludf.DUMMYFUNCTION("""COMPUTED_VALUE"""),"REG DE INTEGRA DO BAIXO AMAZON")</f>
        <v>REG DE INTEGRA DO BAIXO AMAZON</v>
      </c>
      <c r="B1066" s="1" t="str">
        <f ca="1">IFERROR(__xludf.DUMMYFUNCTION("""COMPUTED_VALUE"""),"DRE SANTAREM")</f>
        <v>DRE SANTAREM</v>
      </c>
      <c r="C1066" s="2" t="str">
        <f ca="1">IFERROR(__xludf.DUMMYFUNCTION("""COMPUTED_VALUE"""),"DRE - SANTAREM")</f>
        <v>DRE - SANTAREM</v>
      </c>
      <c r="D1066" s="1"/>
      <c r="E1066" s="2" t="str">
        <f ca="1">IFERROR(__xludf.DUMMYFUNCTION("""COMPUTED_VALUE"""),"DRE - SANTAREM")</f>
        <v>DRE - SANTAREM</v>
      </c>
      <c r="F1066" s="1">
        <f ca="1">IFERROR(__xludf.DUMMYFUNCTION("""COMPUTED_VALUE"""),3)</f>
        <v>3</v>
      </c>
      <c r="G1066" s="1" t="str">
        <f ca="1">IFERROR(__xludf.DUMMYFUNCTION("""COMPUTED_VALUE"""),"DRE SANTAREM")</f>
        <v>DRE SANTAREM</v>
      </c>
      <c r="H1066" s="1" t="str">
        <f ca="1">IFERROR(__xludf.DUMMYFUNCTION("""COMPUTED_VALUE"""),"05A URE - SANTAREM")</f>
        <v>05A URE - SANTAREM</v>
      </c>
      <c r="I1066" s="1"/>
      <c r="J1066" s="1" t="str">
        <f ca="1">IFERROR(__xludf.DUMMYFUNCTION("""COMPUTED_VALUE"""),"SANTAREM")</f>
        <v>SANTAREM</v>
      </c>
      <c r="K1066" s="1">
        <f ca="1">IFERROR(__xludf.DUMMYFUNCTION("""COMPUTED_VALUE"""),15011380)</f>
        <v>15011380</v>
      </c>
      <c r="L1066" s="2" t="str">
        <f ca="1">IFERROR(__xludf.DUMMYFUNCTION("""COMPUTED_VALUE"""),"001920902740000")</f>
        <v>001920902740000</v>
      </c>
      <c r="M1066" s="2" t="str">
        <f ca="1">IFERROR(__xludf.DUMMYFUNCTION("""COMPUTED_VALUE"""),"1920902740000")</f>
        <v>1920902740000</v>
      </c>
      <c r="N1066" s="1" t="str">
        <f ca="1">IFERROR(__xludf.DUMMYFUNCTION("""COMPUTED_VALUE"""),"EEEFM ANTONIO BATISTA BELO DE CARVALHO")</f>
        <v>EEEFM ANTONIO BATISTA BELO DE CARVALHO</v>
      </c>
      <c r="O1066" s="1"/>
      <c r="P1066" s="1"/>
      <c r="Q1066" s="1" t="s">
        <v>1067</v>
      </c>
    </row>
    <row r="1067" spans="1:17" x14ac:dyDescent="0.25">
      <c r="A1067" s="2" t="str">
        <f ca="1">IFERROR(__xludf.DUMMYFUNCTION("""COMPUTED_VALUE"""),"REG DE INTEGRA DO BAIXO AMAZON")</f>
        <v>REG DE INTEGRA DO BAIXO AMAZON</v>
      </c>
      <c r="B1067" s="1" t="str">
        <f ca="1">IFERROR(__xludf.DUMMYFUNCTION("""COMPUTED_VALUE"""),"DRE SANTAREM")</f>
        <v>DRE SANTAREM</v>
      </c>
      <c r="C1067" s="2" t="str">
        <f ca="1">IFERROR(__xludf.DUMMYFUNCTION("""COMPUTED_VALUE"""),"DRE - SANTAREM")</f>
        <v>DRE - SANTAREM</v>
      </c>
      <c r="D1067" s="1"/>
      <c r="E1067" s="2" t="str">
        <f ca="1">IFERROR(__xludf.DUMMYFUNCTION("""COMPUTED_VALUE"""),"DRE - SANTAREM")</f>
        <v>DRE - SANTAREM</v>
      </c>
      <c r="F1067" s="1">
        <f ca="1">IFERROR(__xludf.DUMMYFUNCTION("""COMPUTED_VALUE"""),3)</f>
        <v>3</v>
      </c>
      <c r="G1067" s="1" t="str">
        <f ca="1">IFERROR(__xludf.DUMMYFUNCTION("""COMPUTED_VALUE"""),"DRE SANTAREM")</f>
        <v>DRE SANTAREM</v>
      </c>
      <c r="H1067" s="1" t="str">
        <f ca="1">IFERROR(__xludf.DUMMYFUNCTION("""COMPUTED_VALUE"""),"05A URE - SANTAREM")</f>
        <v>05A URE - SANTAREM</v>
      </c>
      <c r="I1067" s="1"/>
      <c r="J1067" s="1" t="str">
        <f ca="1">IFERROR(__xludf.DUMMYFUNCTION("""COMPUTED_VALUE"""),"SANTAREM")</f>
        <v>SANTAREM</v>
      </c>
      <c r="K1067" s="1">
        <f ca="1">IFERROR(__xludf.DUMMYFUNCTION("""COMPUTED_VALUE"""),15011542)</f>
        <v>15011542</v>
      </c>
      <c r="L1067" s="2" t="str">
        <f ca="1">IFERROR(__xludf.DUMMYFUNCTION("""COMPUTED_VALUE"""),"001920902890000")</f>
        <v>001920902890000</v>
      </c>
      <c r="M1067" s="2" t="str">
        <f ca="1">IFERROR(__xludf.DUMMYFUNCTION("""COMPUTED_VALUE"""),"1920902890000")</f>
        <v>1920902890000</v>
      </c>
      <c r="N1067" s="1" t="str">
        <f ca="1">IFERROR(__xludf.DUMMYFUNCTION("""COMPUTED_VALUE"""),"EEEFM FELISBELO JAGUAR SUSSUARANA")</f>
        <v>EEEFM FELISBELO JAGUAR SUSSUARANA</v>
      </c>
      <c r="O1067" s="1"/>
      <c r="P1067" s="1"/>
      <c r="Q1067" s="1" t="s">
        <v>1067</v>
      </c>
    </row>
    <row r="1068" spans="1:17" x14ac:dyDescent="0.25">
      <c r="A1068" s="2" t="str">
        <f ca="1">IFERROR(__xludf.DUMMYFUNCTION("""COMPUTED_VALUE"""),"REG DE INTEGRA DO BAIXO AMAZON")</f>
        <v>REG DE INTEGRA DO BAIXO AMAZON</v>
      </c>
      <c r="B1068" s="1" t="str">
        <f ca="1">IFERROR(__xludf.DUMMYFUNCTION("""COMPUTED_VALUE"""),"DRE SANTAREM")</f>
        <v>DRE SANTAREM</v>
      </c>
      <c r="C1068" s="2" t="str">
        <f ca="1">IFERROR(__xludf.DUMMYFUNCTION("""COMPUTED_VALUE"""),"DRE - SANTAREM")</f>
        <v>DRE - SANTAREM</v>
      </c>
      <c r="D1068" s="1"/>
      <c r="E1068" s="2" t="str">
        <f ca="1">IFERROR(__xludf.DUMMYFUNCTION("""COMPUTED_VALUE"""),"DRE - SANTAREM")</f>
        <v>DRE - SANTAREM</v>
      </c>
      <c r="F1068" s="1">
        <f ca="1">IFERROR(__xludf.DUMMYFUNCTION("""COMPUTED_VALUE"""),3)</f>
        <v>3</v>
      </c>
      <c r="G1068" s="1" t="str">
        <f ca="1">IFERROR(__xludf.DUMMYFUNCTION("""COMPUTED_VALUE"""),"DRE SANTAREM")</f>
        <v>DRE SANTAREM</v>
      </c>
      <c r="H1068" s="1" t="str">
        <f ca="1">IFERROR(__xludf.DUMMYFUNCTION("""COMPUTED_VALUE"""),"05A URE - SANTAREM")</f>
        <v>05A URE - SANTAREM</v>
      </c>
      <c r="I1068" s="1"/>
      <c r="J1068" s="1" t="str">
        <f ca="1">IFERROR(__xludf.DUMMYFUNCTION("""COMPUTED_VALUE"""),"SANTAREM")</f>
        <v>SANTAREM</v>
      </c>
      <c r="K1068" s="1">
        <f ca="1">IFERROR(__xludf.DUMMYFUNCTION("""COMPUTED_VALUE"""),15011577)</f>
        <v>15011577</v>
      </c>
      <c r="L1068" s="2" t="str">
        <f ca="1">IFERROR(__xludf.DUMMYFUNCTION("""COMPUTED_VALUE"""),"001920902850000")</f>
        <v>001920902850000</v>
      </c>
      <c r="M1068" s="2" t="str">
        <f ca="1">IFERROR(__xludf.DUMMYFUNCTION("""COMPUTED_VALUE"""),"1920902850000")</f>
        <v>1920902850000</v>
      </c>
      <c r="N1068" s="1" t="str">
        <f ca="1">IFERROR(__xludf.DUMMYFUNCTION("""COMPUTED_VALUE"""),"EEEFM FREI AMBROSIO")</f>
        <v>EEEFM FREI AMBROSIO</v>
      </c>
      <c r="O1068" s="1"/>
      <c r="P1068" s="1"/>
      <c r="Q1068" s="1" t="s">
        <v>1067</v>
      </c>
    </row>
    <row r="1069" spans="1:17" x14ac:dyDescent="0.25">
      <c r="A1069" s="2" t="str">
        <f ca="1">IFERROR(__xludf.DUMMYFUNCTION("""COMPUTED_VALUE"""),"REG DE INTEGRA DO BAIXO AMAZON")</f>
        <v>REG DE INTEGRA DO BAIXO AMAZON</v>
      </c>
      <c r="B1069" s="1" t="str">
        <f ca="1">IFERROR(__xludf.DUMMYFUNCTION("""COMPUTED_VALUE"""),"DRE SANTAREM")</f>
        <v>DRE SANTAREM</v>
      </c>
      <c r="C1069" s="2" t="str">
        <f ca="1">IFERROR(__xludf.DUMMYFUNCTION("""COMPUTED_VALUE"""),"DRE - SANTAREM")</f>
        <v>DRE - SANTAREM</v>
      </c>
      <c r="D1069" s="1"/>
      <c r="E1069" s="2" t="str">
        <f ca="1">IFERROR(__xludf.DUMMYFUNCTION("""COMPUTED_VALUE"""),"DRE - SANTAREM")</f>
        <v>DRE - SANTAREM</v>
      </c>
      <c r="F1069" s="1">
        <f ca="1">IFERROR(__xludf.DUMMYFUNCTION("""COMPUTED_VALUE"""),3)</f>
        <v>3</v>
      </c>
      <c r="G1069" s="1" t="str">
        <f ca="1">IFERROR(__xludf.DUMMYFUNCTION("""COMPUTED_VALUE"""),"DRE SANTAREM")</f>
        <v>DRE SANTAREM</v>
      </c>
      <c r="H1069" s="1" t="str">
        <f ca="1">IFERROR(__xludf.DUMMYFUNCTION("""COMPUTED_VALUE"""),"05A URE - SANTAREM")</f>
        <v>05A URE - SANTAREM</v>
      </c>
      <c r="I1069" s="1"/>
      <c r="J1069" s="1" t="str">
        <f ca="1">IFERROR(__xludf.DUMMYFUNCTION("""COMPUTED_VALUE"""),"SANTAREM")</f>
        <v>SANTAREM</v>
      </c>
      <c r="K1069" s="1">
        <f ca="1">IFERROR(__xludf.DUMMYFUNCTION("""COMPUTED_VALUE"""),15011585)</f>
        <v>15011585</v>
      </c>
      <c r="L1069" s="2" t="str">
        <f ca="1">IFERROR(__xludf.DUMMYFUNCTION("""COMPUTED_VALUE"""),"001920902810000")</f>
        <v>001920902810000</v>
      </c>
      <c r="M1069" s="2" t="str">
        <f ca="1">IFERROR(__xludf.DUMMYFUNCTION("""COMPUTED_VALUE"""),"1920902810000")</f>
        <v>1920902810000</v>
      </c>
      <c r="N1069" s="1" t="str">
        <f ca="1">IFERROR(__xludf.DUMMYFUNCTION("""COMPUTED_VALUE"""),"EEEFM FREI OTHMAR")</f>
        <v>EEEFM FREI OTHMAR</v>
      </c>
      <c r="O1069" s="1"/>
      <c r="P1069" s="1"/>
      <c r="Q1069" s="1" t="s">
        <v>1067</v>
      </c>
    </row>
    <row r="1070" spans="1:17" x14ac:dyDescent="0.25">
      <c r="A1070" s="2" t="str">
        <f ca="1">IFERROR(__xludf.DUMMYFUNCTION("""COMPUTED_VALUE"""),"REG DE INTEGRA DO BAIXO AMAZON")</f>
        <v>REG DE INTEGRA DO BAIXO AMAZON</v>
      </c>
      <c r="B1070" s="1" t="str">
        <f ca="1">IFERROR(__xludf.DUMMYFUNCTION("""COMPUTED_VALUE"""),"DRE SANTAREM")</f>
        <v>DRE SANTAREM</v>
      </c>
      <c r="C1070" s="2" t="str">
        <f ca="1">IFERROR(__xludf.DUMMYFUNCTION("""COMPUTED_VALUE"""),"DRE - SANTAREM")</f>
        <v>DRE - SANTAREM</v>
      </c>
      <c r="D1070" s="1"/>
      <c r="E1070" s="2" t="str">
        <f ca="1">IFERROR(__xludf.DUMMYFUNCTION("""COMPUTED_VALUE"""),"DRE - SANTAREM")</f>
        <v>DRE - SANTAREM</v>
      </c>
      <c r="F1070" s="1">
        <f ca="1">IFERROR(__xludf.DUMMYFUNCTION("""COMPUTED_VALUE"""),3)</f>
        <v>3</v>
      </c>
      <c r="G1070" s="1" t="str">
        <f ca="1">IFERROR(__xludf.DUMMYFUNCTION("""COMPUTED_VALUE"""),"DRE SANTAREM")</f>
        <v>DRE SANTAREM</v>
      </c>
      <c r="H1070" s="1" t="str">
        <f ca="1">IFERROR(__xludf.DUMMYFUNCTION("""COMPUTED_VALUE"""),"05A URE - SANTAREM")</f>
        <v>05A URE - SANTAREM</v>
      </c>
      <c r="I1070" s="1"/>
      <c r="J1070" s="1" t="str">
        <f ca="1">IFERROR(__xludf.DUMMYFUNCTION("""COMPUTED_VALUE"""),"SANTAREM")</f>
        <v>SANTAREM</v>
      </c>
      <c r="K1070" s="1">
        <f ca="1">IFERROR(__xludf.DUMMYFUNCTION("""COMPUTED_VALUE"""),15011585)</f>
        <v>15011585</v>
      </c>
      <c r="L1070" s="2" t="str">
        <f ca="1">IFERROR(__xludf.DUMMYFUNCTION("""COMPUTED_VALUE"""),"001920902810001")</f>
        <v>001920902810001</v>
      </c>
      <c r="M1070" s="2" t="str">
        <f ca="1">IFERROR(__xludf.DUMMYFUNCTION("""COMPUTED_VALUE"""),"1920902810001")</f>
        <v>1920902810001</v>
      </c>
      <c r="N1070" s="1" t="str">
        <f ca="1">IFERROR(__xludf.DUMMYFUNCTION("""COMPUTED_VALUE"""),"EEEFM FREI OTHMAR - ANEXO I")</f>
        <v>EEEFM FREI OTHMAR - ANEXO I</v>
      </c>
      <c r="O1070" s="1"/>
      <c r="P1070" s="1"/>
      <c r="Q1070" s="1" t="s">
        <v>1067</v>
      </c>
    </row>
    <row r="1071" spans="1:17" x14ac:dyDescent="0.25">
      <c r="A1071" s="2" t="str">
        <f ca="1">IFERROR(__xludf.DUMMYFUNCTION("""COMPUTED_VALUE"""),"REG DE INTEGRA DO BAIXO AMAZON")</f>
        <v>REG DE INTEGRA DO BAIXO AMAZON</v>
      </c>
      <c r="B1071" s="1" t="str">
        <f ca="1">IFERROR(__xludf.DUMMYFUNCTION("""COMPUTED_VALUE"""),"DRE SANTAREM")</f>
        <v>DRE SANTAREM</v>
      </c>
      <c r="C1071" s="2" t="str">
        <f ca="1">IFERROR(__xludf.DUMMYFUNCTION("""COMPUTED_VALUE"""),"DRE - SANTAREM")</f>
        <v>DRE - SANTAREM</v>
      </c>
      <c r="D1071" s="1"/>
      <c r="E1071" s="2" t="str">
        <f ca="1">IFERROR(__xludf.DUMMYFUNCTION("""COMPUTED_VALUE"""),"DRE - SANTAREM")</f>
        <v>DRE - SANTAREM</v>
      </c>
      <c r="F1071" s="1">
        <f ca="1">IFERROR(__xludf.DUMMYFUNCTION("""COMPUTED_VALUE"""),3)</f>
        <v>3</v>
      </c>
      <c r="G1071" s="1" t="str">
        <f ca="1">IFERROR(__xludf.DUMMYFUNCTION("""COMPUTED_VALUE"""),"DRE SANTAREM")</f>
        <v>DRE SANTAREM</v>
      </c>
      <c r="H1071" s="1" t="str">
        <f ca="1">IFERROR(__xludf.DUMMYFUNCTION("""COMPUTED_VALUE"""),"05A URE - SANTAREM")</f>
        <v>05A URE - SANTAREM</v>
      </c>
      <c r="I1071" s="1"/>
      <c r="J1071" s="1" t="str">
        <f ca="1">IFERROR(__xludf.DUMMYFUNCTION("""COMPUTED_VALUE"""),"SANTAREM")</f>
        <v>SANTAREM</v>
      </c>
      <c r="K1071" s="1">
        <f ca="1">IFERROR(__xludf.DUMMYFUNCTION("""COMPUTED_VALUE"""),15528855)</f>
        <v>15528855</v>
      </c>
      <c r="L1071" s="2" t="str">
        <f ca="1">IFERROR(__xludf.DUMMYFUNCTION("""COMPUTED_VALUE"""),"001920928850000")</f>
        <v>001920928850000</v>
      </c>
      <c r="M1071" s="2" t="str">
        <f ca="1">IFERROR(__xludf.DUMMYFUNCTION("""COMPUTED_VALUE"""),"1920928850000")</f>
        <v>1920928850000</v>
      </c>
      <c r="N1071" s="1" t="str">
        <f ca="1">IFERROR(__xludf.DUMMYFUNCTION("""COMPUTED_VALUE"""),"EEEFM JADER FONTENELLE BARBALHO")</f>
        <v>EEEFM JADER FONTENELLE BARBALHO</v>
      </c>
      <c r="O1071" s="1"/>
      <c r="P1071" s="1"/>
      <c r="Q1071" s="1" t="s">
        <v>1067</v>
      </c>
    </row>
    <row r="1072" spans="1:17" x14ac:dyDescent="0.25">
      <c r="A1072" s="2" t="str">
        <f ca="1">IFERROR(__xludf.DUMMYFUNCTION("""COMPUTED_VALUE"""),"REG DE INTEGRA DO BAIXO AMAZON")</f>
        <v>REG DE INTEGRA DO BAIXO AMAZON</v>
      </c>
      <c r="B1072" s="1" t="str">
        <f ca="1">IFERROR(__xludf.DUMMYFUNCTION("""COMPUTED_VALUE"""),"DRE SANTAREM")</f>
        <v>DRE SANTAREM</v>
      </c>
      <c r="C1072" s="2" t="str">
        <f ca="1">IFERROR(__xludf.DUMMYFUNCTION("""COMPUTED_VALUE"""),"DRE - SANTAREM")</f>
        <v>DRE - SANTAREM</v>
      </c>
      <c r="D1072" s="1"/>
      <c r="E1072" s="2" t="str">
        <f ca="1">IFERROR(__xludf.DUMMYFUNCTION("""COMPUTED_VALUE"""),"DRE - SANTAREM")</f>
        <v>DRE - SANTAREM</v>
      </c>
      <c r="F1072" s="1">
        <f ca="1">IFERROR(__xludf.DUMMYFUNCTION("""COMPUTED_VALUE"""),3)</f>
        <v>3</v>
      </c>
      <c r="G1072" s="1" t="str">
        <f ca="1">IFERROR(__xludf.DUMMYFUNCTION("""COMPUTED_VALUE"""),"DRE SANTAREM")</f>
        <v>DRE SANTAREM</v>
      </c>
      <c r="H1072" s="1" t="str">
        <f ca="1">IFERROR(__xludf.DUMMYFUNCTION("""COMPUTED_VALUE"""),"05A URE - SANTAREM")</f>
        <v>05A URE - SANTAREM</v>
      </c>
      <c r="I1072" s="1"/>
      <c r="J1072" s="1" t="str">
        <f ca="1">IFERROR(__xludf.DUMMYFUNCTION("""COMPUTED_VALUE"""),"SANTAREM")</f>
        <v>SANTAREM</v>
      </c>
      <c r="K1072" s="1">
        <f ca="1">IFERROR(__xludf.DUMMYFUNCTION("""COMPUTED_VALUE"""),15011607)</f>
        <v>15011607</v>
      </c>
      <c r="L1072" s="2" t="str">
        <f ca="1">IFERROR(__xludf.DUMMYFUNCTION("""COMPUTED_VALUE"""),"001920902820000")</f>
        <v>001920902820000</v>
      </c>
      <c r="M1072" s="2" t="str">
        <f ca="1">IFERROR(__xludf.DUMMYFUNCTION("""COMPUTED_VALUE"""),"1920902820000")</f>
        <v>1920902820000</v>
      </c>
      <c r="N1072" s="1" t="str">
        <f ca="1">IFERROR(__xludf.DUMMYFUNCTION("""COMPUTED_VALUE"""),"EEEFM JOSE DE ALENCAR")</f>
        <v>EEEFM JOSE DE ALENCAR</v>
      </c>
      <c r="O1072" s="1"/>
      <c r="P1072" s="1"/>
      <c r="Q1072" s="1" t="s">
        <v>1067</v>
      </c>
    </row>
    <row r="1073" spans="1:17" x14ac:dyDescent="0.25">
      <c r="A1073" s="2" t="str">
        <f ca="1">IFERROR(__xludf.DUMMYFUNCTION("""COMPUTED_VALUE"""),"REG DE INTEGRA DO BAIXO AMAZON")</f>
        <v>REG DE INTEGRA DO BAIXO AMAZON</v>
      </c>
      <c r="B1073" s="1" t="str">
        <f ca="1">IFERROR(__xludf.DUMMYFUNCTION("""COMPUTED_VALUE"""),"DRE SANTAREM")</f>
        <v>DRE SANTAREM</v>
      </c>
      <c r="C1073" s="2" t="str">
        <f ca="1">IFERROR(__xludf.DUMMYFUNCTION("""COMPUTED_VALUE"""),"DRE - SANTAREM")</f>
        <v>DRE - SANTAREM</v>
      </c>
      <c r="D1073" s="1"/>
      <c r="E1073" s="2" t="str">
        <f ca="1">IFERROR(__xludf.DUMMYFUNCTION("""COMPUTED_VALUE"""),"DRE - SANTAREM")</f>
        <v>DRE - SANTAREM</v>
      </c>
      <c r="F1073" s="1">
        <f ca="1">IFERROR(__xludf.DUMMYFUNCTION("""COMPUTED_VALUE"""),3)</f>
        <v>3</v>
      </c>
      <c r="G1073" s="1" t="str">
        <f ca="1">IFERROR(__xludf.DUMMYFUNCTION("""COMPUTED_VALUE"""),"DRE SANTAREM")</f>
        <v>DRE SANTAREM</v>
      </c>
      <c r="H1073" s="1" t="str">
        <f ca="1">IFERROR(__xludf.DUMMYFUNCTION("""COMPUTED_VALUE"""),"05A URE - SANTAREM")</f>
        <v>05A URE - SANTAREM</v>
      </c>
      <c r="I1073" s="1"/>
      <c r="J1073" s="1" t="str">
        <f ca="1">IFERROR(__xludf.DUMMYFUNCTION("""COMPUTED_VALUE"""),"SANTAREM")</f>
        <v>SANTAREM</v>
      </c>
      <c r="K1073" s="1">
        <f ca="1">IFERROR(__xludf.DUMMYFUNCTION("""COMPUTED_VALUE"""),15011615)</f>
        <v>15011615</v>
      </c>
      <c r="L1073" s="2" t="str">
        <f ca="1">IFERROR(__xludf.DUMMYFUNCTION("""COMPUTED_VALUE"""),"001920902900000")</f>
        <v>001920902900000</v>
      </c>
      <c r="M1073" s="2" t="str">
        <f ca="1">IFERROR(__xludf.DUMMYFUNCTION("""COMPUTED_VALUE"""),"1920902900000")</f>
        <v>1920902900000</v>
      </c>
      <c r="N1073" s="1" t="str">
        <f ca="1">IFERROR(__xludf.DUMMYFUNCTION("""COMPUTED_VALUE"""),"EEEFM JULIA GONCALVES  PASSARINHO")</f>
        <v>EEEFM JULIA GONCALVES  PASSARINHO</v>
      </c>
      <c r="O1073" s="1"/>
      <c r="P1073" s="1"/>
      <c r="Q1073" s="1" t="s">
        <v>1067</v>
      </c>
    </row>
    <row r="1074" spans="1:17" x14ac:dyDescent="0.25">
      <c r="A1074" s="2" t="str">
        <f ca="1">IFERROR(__xludf.DUMMYFUNCTION("""COMPUTED_VALUE"""),"REG DE INTEGRA DO BAIXO AMAZON")</f>
        <v>REG DE INTEGRA DO BAIXO AMAZON</v>
      </c>
      <c r="B1074" s="1" t="str">
        <f ca="1">IFERROR(__xludf.DUMMYFUNCTION("""COMPUTED_VALUE"""),"DRE SANTAREM")</f>
        <v>DRE SANTAREM</v>
      </c>
      <c r="C1074" s="2" t="str">
        <f ca="1">IFERROR(__xludf.DUMMYFUNCTION("""COMPUTED_VALUE"""),"DRE - SANTAREM")</f>
        <v>DRE - SANTAREM</v>
      </c>
      <c r="D1074" s="1"/>
      <c r="E1074" s="2" t="str">
        <f ca="1">IFERROR(__xludf.DUMMYFUNCTION("""COMPUTED_VALUE"""),"DRE - SANTAREM")</f>
        <v>DRE - SANTAREM</v>
      </c>
      <c r="F1074" s="1">
        <f ca="1">IFERROR(__xludf.DUMMYFUNCTION("""COMPUTED_VALUE"""),3)</f>
        <v>3</v>
      </c>
      <c r="G1074" s="1" t="str">
        <f ca="1">IFERROR(__xludf.DUMMYFUNCTION("""COMPUTED_VALUE"""),"DRE SANTAREM")</f>
        <v>DRE SANTAREM</v>
      </c>
      <c r="H1074" s="1" t="str">
        <f ca="1">IFERROR(__xludf.DUMMYFUNCTION("""COMPUTED_VALUE"""),"05A URE - SANTAREM")</f>
        <v>05A URE - SANTAREM</v>
      </c>
      <c r="I1074" s="1"/>
      <c r="J1074" s="1" t="str">
        <f ca="1">IFERROR(__xludf.DUMMYFUNCTION("""COMPUTED_VALUE"""),"SANTAREM")</f>
        <v>SANTAREM</v>
      </c>
      <c r="K1074" s="1">
        <f ca="1">IFERROR(__xludf.DUMMYFUNCTION("""COMPUTED_VALUE"""),15011623)</f>
        <v>15011623</v>
      </c>
      <c r="L1074" s="2" t="str">
        <f ca="1">IFERROR(__xludf.DUMMYFUNCTION("""COMPUTED_VALUE"""),"001920902830000")</f>
        <v>001920902830000</v>
      </c>
      <c r="M1074" s="2" t="str">
        <f ca="1">IFERROR(__xludf.DUMMYFUNCTION("""COMPUTED_VALUE"""),"1920902830000")</f>
        <v>1920902830000</v>
      </c>
      <c r="N1074" s="1" t="str">
        <f ca="1">IFERROR(__xludf.DUMMYFUNCTION("""COMPUTED_VALUE"""),"EEEFM MADRE IMACULADA")</f>
        <v>EEEFM MADRE IMACULADA</v>
      </c>
      <c r="O1074" s="1"/>
      <c r="P1074" s="1"/>
      <c r="Q1074" s="1" t="s">
        <v>1067</v>
      </c>
    </row>
    <row r="1075" spans="1:17" x14ac:dyDescent="0.25">
      <c r="A1075" s="2" t="str">
        <f ca="1">IFERROR(__xludf.DUMMYFUNCTION("""COMPUTED_VALUE"""),"REG DE INTEGRA DO BAIXO AMAZON")</f>
        <v>REG DE INTEGRA DO BAIXO AMAZON</v>
      </c>
      <c r="B1075" s="1" t="str">
        <f ca="1">IFERROR(__xludf.DUMMYFUNCTION("""COMPUTED_VALUE"""),"DRE SANTAREM")</f>
        <v>DRE SANTAREM</v>
      </c>
      <c r="C1075" s="2" t="str">
        <f ca="1">IFERROR(__xludf.DUMMYFUNCTION("""COMPUTED_VALUE"""),"DRE - SANTAREM")</f>
        <v>DRE - SANTAREM</v>
      </c>
      <c r="D1075" s="1"/>
      <c r="E1075" s="2" t="str">
        <f ca="1">IFERROR(__xludf.DUMMYFUNCTION("""COMPUTED_VALUE"""),"DRE - SANTAREM")</f>
        <v>DRE - SANTAREM</v>
      </c>
      <c r="F1075" s="1">
        <f ca="1">IFERROR(__xludf.DUMMYFUNCTION("""COMPUTED_VALUE"""),3)</f>
        <v>3</v>
      </c>
      <c r="G1075" s="1" t="str">
        <f ca="1">IFERROR(__xludf.DUMMYFUNCTION("""COMPUTED_VALUE"""),"DRE SANTAREM")</f>
        <v>DRE SANTAREM</v>
      </c>
      <c r="H1075" s="1" t="str">
        <f ca="1">IFERROR(__xludf.DUMMYFUNCTION("""COMPUTED_VALUE"""),"05A URE - SANTAREM")</f>
        <v>05A URE - SANTAREM</v>
      </c>
      <c r="I1075" s="1"/>
      <c r="J1075" s="1" t="str">
        <f ca="1">IFERROR(__xludf.DUMMYFUNCTION("""COMPUTED_VALUE"""),"SANTAREM")</f>
        <v>SANTAREM</v>
      </c>
      <c r="K1075" s="1">
        <f ca="1">IFERROR(__xludf.DUMMYFUNCTION("""COMPUTED_VALUE"""),15011658)</f>
        <v>15011658</v>
      </c>
      <c r="L1075" s="2" t="str">
        <f ca="1">IFERROR(__xludf.DUMMYFUNCTION("""COMPUTED_VALUE"""),"001920902770000")</f>
        <v>001920902770000</v>
      </c>
      <c r="M1075" s="2" t="str">
        <f ca="1">IFERROR(__xludf.DUMMYFUNCTION("""COMPUTED_VALUE"""),"1920902770000")</f>
        <v>1920902770000</v>
      </c>
      <c r="N1075" s="1" t="str">
        <f ca="1">IFERROR(__xludf.DUMMYFUNCTION("""COMPUTED_VALUE"""),"EEEFM NOSSA SENHORA APARECIDA")</f>
        <v>EEEFM NOSSA SENHORA APARECIDA</v>
      </c>
      <c r="O1075" s="1"/>
      <c r="P1075" s="1"/>
      <c r="Q1075" s="1" t="s">
        <v>1067</v>
      </c>
    </row>
    <row r="1076" spans="1:17" x14ac:dyDescent="0.25">
      <c r="A1076" s="2" t="str">
        <f ca="1">IFERROR(__xludf.DUMMYFUNCTION("""COMPUTED_VALUE"""),"REG DE INTEGRA DO BAIXO AMAZON")</f>
        <v>REG DE INTEGRA DO BAIXO AMAZON</v>
      </c>
      <c r="B1076" s="1" t="str">
        <f ca="1">IFERROR(__xludf.DUMMYFUNCTION("""COMPUTED_VALUE"""),"DRE SANTAREM")</f>
        <v>DRE SANTAREM</v>
      </c>
      <c r="C1076" s="2" t="str">
        <f ca="1">IFERROR(__xludf.DUMMYFUNCTION("""COMPUTED_VALUE"""),"DRE - SANTAREM")</f>
        <v>DRE - SANTAREM</v>
      </c>
      <c r="D1076" s="1"/>
      <c r="E1076" s="2" t="str">
        <f ca="1">IFERROR(__xludf.DUMMYFUNCTION("""COMPUTED_VALUE"""),"DRE - SANTAREM")</f>
        <v>DRE - SANTAREM</v>
      </c>
      <c r="F1076" s="1">
        <f ca="1">IFERROR(__xludf.DUMMYFUNCTION("""COMPUTED_VALUE"""),3)</f>
        <v>3</v>
      </c>
      <c r="G1076" s="1" t="str">
        <f ca="1">IFERROR(__xludf.DUMMYFUNCTION("""COMPUTED_VALUE"""),"DRE SANTAREM")</f>
        <v>DRE SANTAREM</v>
      </c>
      <c r="H1076" s="1" t="str">
        <f ca="1">IFERROR(__xludf.DUMMYFUNCTION("""COMPUTED_VALUE"""),"05A URE - SANTAREM")</f>
        <v>05A URE - SANTAREM</v>
      </c>
      <c r="I1076" s="1"/>
      <c r="J1076" s="1" t="str">
        <f ca="1">IFERROR(__xludf.DUMMYFUNCTION("""COMPUTED_VALUE"""),"SANTAREM")</f>
        <v>SANTAREM</v>
      </c>
      <c r="K1076" s="1">
        <f ca="1">IFERROR(__xludf.DUMMYFUNCTION("""COMPUTED_VALUE"""),15011410)</f>
        <v>15011410</v>
      </c>
      <c r="L1076" s="2" t="str">
        <f ca="1">IFERROR(__xludf.DUMMYFUNCTION("""COMPUTED_VALUE"""),"001920927950000")</f>
        <v>001920927950000</v>
      </c>
      <c r="M1076" s="2" t="str">
        <f ca="1">IFERROR(__xludf.DUMMYFUNCTION("""COMPUTED_VALUE"""),"1920927950000")</f>
        <v>1920927950000</v>
      </c>
      <c r="N1076" s="1" t="str">
        <f ca="1">IFERROR(__xludf.DUMMYFUNCTION("""COMPUTED_VALUE"""),"EEEFM NOSSA SENHORA DE GUADALUPE")</f>
        <v>EEEFM NOSSA SENHORA DE GUADALUPE</v>
      </c>
      <c r="O1076" s="1"/>
      <c r="P1076" s="1"/>
      <c r="Q1076" s="1" t="s">
        <v>1067</v>
      </c>
    </row>
    <row r="1077" spans="1:17" x14ac:dyDescent="0.25">
      <c r="A1077" s="2" t="str">
        <f ca="1">IFERROR(__xludf.DUMMYFUNCTION("""COMPUTED_VALUE"""),"REG DE INTEGRA DO BAIXO AMAZON")</f>
        <v>REG DE INTEGRA DO BAIXO AMAZON</v>
      </c>
      <c r="B1077" s="1" t="str">
        <f ca="1">IFERROR(__xludf.DUMMYFUNCTION("""COMPUTED_VALUE"""),"DRE SANTAREM")</f>
        <v>DRE SANTAREM</v>
      </c>
      <c r="C1077" s="2" t="str">
        <f ca="1">IFERROR(__xludf.DUMMYFUNCTION("""COMPUTED_VALUE"""),"DRE - SANTAREM")</f>
        <v>DRE - SANTAREM</v>
      </c>
      <c r="D1077" s="1"/>
      <c r="E1077" s="2" t="str">
        <f ca="1">IFERROR(__xludf.DUMMYFUNCTION("""COMPUTED_VALUE"""),"DRE - SANTAREM")</f>
        <v>DRE - SANTAREM</v>
      </c>
      <c r="F1077" s="1">
        <f ca="1">IFERROR(__xludf.DUMMYFUNCTION("""COMPUTED_VALUE"""),3)</f>
        <v>3</v>
      </c>
      <c r="G1077" s="1" t="str">
        <f ca="1">IFERROR(__xludf.DUMMYFUNCTION("""COMPUTED_VALUE"""),"DRE SANTAREM")</f>
        <v>DRE SANTAREM</v>
      </c>
      <c r="H1077" s="1" t="str">
        <f ca="1">IFERROR(__xludf.DUMMYFUNCTION("""COMPUTED_VALUE"""),"05A URE - SANTAREM")</f>
        <v>05A URE - SANTAREM</v>
      </c>
      <c r="I1077" s="1"/>
      <c r="J1077" s="1" t="str">
        <f ca="1">IFERROR(__xludf.DUMMYFUNCTION("""COMPUTED_VALUE"""),"SANTAREM")</f>
        <v>SANTAREM</v>
      </c>
      <c r="K1077" s="1">
        <f ca="1">IFERROR(__xludf.DUMMYFUNCTION("""COMPUTED_VALUE"""),15011666)</f>
        <v>15011666</v>
      </c>
      <c r="L1077" s="2" t="str">
        <f ca="1">IFERROR(__xludf.DUMMYFUNCTION("""COMPUTED_VALUE"""),"001920902860000")</f>
        <v>001920902860000</v>
      </c>
      <c r="M1077" s="2" t="str">
        <f ca="1">IFERROR(__xludf.DUMMYFUNCTION("""COMPUTED_VALUE"""),"1920902860000")</f>
        <v>1920902860000</v>
      </c>
      <c r="N1077" s="1" t="str">
        <f ca="1">IFERROR(__xludf.DUMMYFUNCTION("""COMPUTED_VALUE"""),"EEEFM PEDRO ALVARES CABRAL")</f>
        <v>EEEFM PEDRO ALVARES CABRAL</v>
      </c>
      <c r="O1077" s="1"/>
      <c r="P1077" s="1"/>
      <c r="Q1077" s="1" t="s">
        <v>1067</v>
      </c>
    </row>
    <row r="1078" spans="1:17" x14ac:dyDescent="0.25">
      <c r="A1078" s="2" t="str">
        <f ca="1">IFERROR(__xludf.DUMMYFUNCTION("""COMPUTED_VALUE"""),"REG DE INTEGRA DO BAIXO AMAZON")</f>
        <v>REG DE INTEGRA DO BAIXO AMAZON</v>
      </c>
      <c r="B1078" s="1" t="str">
        <f ca="1">IFERROR(__xludf.DUMMYFUNCTION("""COMPUTED_VALUE"""),"DRE SANTAREM")</f>
        <v>DRE SANTAREM</v>
      </c>
      <c r="C1078" s="2" t="str">
        <f ca="1">IFERROR(__xludf.DUMMYFUNCTION("""COMPUTED_VALUE"""),"DRE - SANTAREM")</f>
        <v>DRE - SANTAREM</v>
      </c>
      <c r="D1078" s="1"/>
      <c r="E1078" s="2" t="str">
        <f ca="1">IFERROR(__xludf.DUMMYFUNCTION("""COMPUTED_VALUE"""),"DRE - SANTAREM")</f>
        <v>DRE - SANTAREM</v>
      </c>
      <c r="F1078" s="1">
        <f ca="1">IFERROR(__xludf.DUMMYFUNCTION("""COMPUTED_VALUE"""),3)</f>
        <v>3</v>
      </c>
      <c r="G1078" s="1" t="str">
        <f ca="1">IFERROR(__xludf.DUMMYFUNCTION("""COMPUTED_VALUE"""),"DRE SANTAREM")</f>
        <v>DRE SANTAREM</v>
      </c>
      <c r="H1078" s="1" t="str">
        <f ca="1">IFERROR(__xludf.DUMMYFUNCTION("""COMPUTED_VALUE"""),"05A URE - SANTAREM")</f>
        <v>05A URE - SANTAREM</v>
      </c>
      <c r="I1078" s="1"/>
      <c r="J1078" s="1" t="str">
        <f ca="1">IFERROR(__xludf.DUMMYFUNCTION("""COMPUTED_VALUE"""),"SANTAREM")</f>
        <v>SANTAREM</v>
      </c>
      <c r="K1078" s="1">
        <f ca="1">IFERROR(__xludf.DUMMYFUNCTION("""COMPUTED_VALUE"""),15011674)</f>
        <v>15011674</v>
      </c>
      <c r="L1078" s="2" t="str">
        <f ca="1">IFERROR(__xludf.DUMMYFUNCTION("""COMPUTED_VALUE"""),"001920902870000")</f>
        <v>001920902870000</v>
      </c>
      <c r="M1078" s="2" t="str">
        <f ca="1">IFERROR(__xludf.DUMMYFUNCTION("""COMPUTED_VALUE"""),"1920902870000")</f>
        <v>1920902870000</v>
      </c>
      <c r="N1078" s="1" t="str">
        <f ca="1">IFERROR(__xludf.DUMMYFUNCTION("""COMPUTED_VALUE"""),"EEEFM PLACIDO DE CASTRO")</f>
        <v>EEEFM PLACIDO DE CASTRO</v>
      </c>
      <c r="O1078" s="1"/>
      <c r="P1078" s="1"/>
      <c r="Q1078" s="1" t="s">
        <v>1067</v>
      </c>
    </row>
    <row r="1079" spans="1:17" x14ac:dyDescent="0.25">
      <c r="A1079" s="2" t="str">
        <f ca="1">IFERROR(__xludf.DUMMYFUNCTION("""COMPUTED_VALUE"""),"REG DE INTEGRA DO BAIXO AMAZON")</f>
        <v>REG DE INTEGRA DO BAIXO AMAZON</v>
      </c>
      <c r="B1079" s="1" t="str">
        <f ca="1">IFERROR(__xludf.DUMMYFUNCTION("""COMPUTED_VALUE"""),"DRE SANTAREM")</f>
        <v>DRE SANTAREM</v>
      </c>
      <c r="C1079" s="2" t="str">
        <f ca="1">IFERROR(__xludf.DUMMYFUNCTION("""COMPUTED_VALUE"""),"DRE - SANTAREM")</f>
        <v>DRE - SANTAREM</v>
      </c>
      <c r="D1079" s="1"/>
      <c r="E1079" s="2" t="str">
        <f ca="1">IFERROR(__xludf.DUMMYFUNCTION("""COMPUTED_VALUE"""),"DRE - SANTAREM")</f>
        <v>DRE - SANTAREM</v>
      </c>
      <c r="F1079" s="1">
        <f ca="1">IFERROR(__xludf.DUMMYFUNCTION("""COMPUTED_VALUE"""),3)</f>
        <v>3</v>
      </c>
      <c r="G1079" s="1" t="str">
        <f ca="1">IFERROR(__xludf.DUMMYFUNCTION("""COMPUTED_VALUE"""),"DRE SANTAREM")</f>
        <v>DRE SANTAREM</v>
      </c>
      <c r="H1079" s="1" t="str">
        <f ca="1">IFERROR(__xludf.DUMMYFUNCTION("""COMPUTED_VALUE"""),"05A URE - SANTAREM")</f>
        <v>05A URE - SANTAREM</v>
      </c>
      <c r="I1079" s="1"/>
      <c r="J1079" s="1" t="str">
        <f ca="1">IFERROR(__xludf.DUMMYFUNCTION("""COMPUTED_VALUE"""),"SANTAREM")</f>
        <v>SANTAREM</v>
      </c>
      <c r="K1079" s="1">
        <f ca="1">IFERROR(__xludf.DUMMYFUNCTION("""COMPUTED_VALUE"""),15011437)</f>
        <v>15011437</v>
      </c>
      <c r="L1079" s="2" t="str">
        <f ca="1">IFERROR(__xludf.DUMMYFUNCTION("""COMPUTED_VALUE"""),"001920927920000")</f>
        <v>001920927920000</v>
      </c>
      <c r="M1079" s="2" t="str">
        <f ca="1">IFERROR(__xludf.DUMMYFUNCTION("""COMPUTED_VALUE"""),"1920927920000")</f>
        <v>1920927920000</v>
      </c>
      <c r="N1079" s="1" t="str">
        <f ca="1">IFERROR(__xludf.DUMMYFUNCTION("""COMPUTED_VALUE"""),"EEEFM PROF ALUISIO LOPES MARTINS")</f>
        <v>EEEFM PROF ALUISIO LOPES MARTINS</v>
      </c>
      <c r="O1079" s="1"/>
      <c r="P1079" s="1"/>
      <c r="Q1079" s="1" t="s">
        <v>1067</v>
      </c>
    </row>
    <row r="1080" spans="1:17" x14ac:dyDescent="0.25">
      <c r="A1080" s="2" t="str">
        <f ca="1">IFERROR(__xludf.DUMMYFUNCTION("""COMPUTED_VALUE"""),"REG DE INTEGRA DO BAIXO AMAZON")</f>
        <v>REG DE INTEGRA DO BAIXO AMAZON</v>
      </c>
      <c r="B1080" s="1" t="str">
        <f ca="1">IFERROR(__xludf.DUMMYFUNCTION("""COMPUTED_VALUE"""),"DRE SANTAREM")</f>
        <v>DRE SANTAREM</v>
      </c>
      <c r="C1080" s="2" t="str">
        <f ca="1">IFERROR(__xludf.DUMMYFUNCTION("""COMPUTED_VALUE"""),"DRE - SANTAREM")</f>
        <v>DRE - SANTAREM</v>
      </c>
      <c r="D1080" s="1"/>
      <c r="E1080" s="2" t="str">
        <f ca="1">IFERROR(__xludf.DUMMYFUNCTION("""COMPUTED_VALUE"""),"DRE - SANTAREM")</f>
        <v>DRE - SANTAREM</v>
      </c>
      <c r="F1080" s="1">
        <f ca="1">IFERROR(__xludf.DUMMYFUNCTION("""COMPUTED_VALUE"""),3)</f>
        <v>3</v>
      </c>
      <c r="G1080" s="1" t="str">
        <f ca="1">IFERROR(__xludf.DUMMYFUNCTION("""COMPUTED_VALUE"""),"DRE SANTAREM")</f>
        <v>DRE SANTAREM</v>
      </c>
      <c r="H1080" s="1" t="str">
        <f ca="1">IFERROR(__xludf.DUMMYFUNCTION("""COMPUTED_VALUE"""),"05A URE - SANTAREM")</f>
        <v>05A URE - SANTAREM</v>
      </c>
      <c r="I1080" s="1"/>
      <c r="J1080" s="1" t="str">
        <f ca="1">IFERROR(__xludf.DUMMYFUNCTION("""COMPUTED_VALUE"""),"SANTAREM")</f>
        <v>SANTAREM</v>
      </c>
      <c r="K1080" s="1">
        <f ca="1">IFERROR(__xludf.DUMMYFUNCTION("""COMPUTED_VALUE"""),15011534)</f>
        <v>15011534</v>
      </c>
      <c r="L1080" s="2" t="str">
        <f ca="1">IFERROR(__xludf.DUMMYFUNCTION("""COMPUTED_VALUE"""),"001920903050000")</f>
        <v>001920903050000</v>
      </c>
      <c r="M1080" s="2" t="str">
        <f ca="1">IFERROR(__xludf.DUMMYFUNCTION("""COMPUTED_VALUE"""),"1920903050000")</f>
        <v>1920903050000</v>
      </c>
      <c r="N1080" s="1" t="str">
        <f ca="1">IFERROR(__xludf.DUMMYFUNCTION("""COMPUTED_VALUE"""),"EEEFM PROF TEREZINHA DE JESUS RODRIGUES")</f>
        <v>EEEFM PROF TEREZINHA DE JESUS RODRIGUES</v>
      </c>
      <c r="O1080" s="1"/>
      <c r="P1080" s="1"/>
      <c r="Q1080" s="1" t="s">
        <v>1067</v>
      </c>
    </row>
    <row r="1081" spans="1:17" x14ac:dyDescent="0.25">
      <c r="A1081" s="2" t="str">
        <f ca="1">IFERROR(__xludf.DUMMYFUNCTION("""COMPUTED_VALUE"""),"REG DE INTEGRA DO BAIXO AMAZON")</f>
        <v>REG DE INTEGRA DO BAIXO AMAZON</v>
      </c>
      <c r="B1081" s="1" t="str">
        <f ca="1">IFERROR(__xludf.DUMMYFUNCTION("""COMPUTED_VALUE"""),"DRE SANTAREM")</f>
        <v>DRE SANTAREM</v>
      </c>
      <c r="C1081" s="2" t="str">
        <f ca="1">IFERROR(__xludf.DUMMYFUNCTION("""COMPUTED_VALUE"""),"DRE - SANTAREM")</f>
        <v>DRE - SANTAREM</v>
      </c>
      <c r="D1081" s="1"/>
      <c r="E1081" s="2" t="str">
        <f ca="1">IFERROR(__xludf.DUMMYFUNCTION("""COMPUTED_VALUE"""),"DRE - SANTAREM")</f>
        <v>DRE - SANTAREM</v>
      </c>
      <c r="F1081" s="1">
        <f ca="1">IFERROR(__xludf.DUMMYFUNCTION("""COMPUTED_VALUE"""),3)</f>
        <v>3</v>
      </c>
      <c r="G1081" s="1" t="str">
        <f ca="1">IFERROR(__xludf.DUMMYFUNCTION("""COMPUTED_VALUE"""),"DRE SANTAREM")</f>
        <v>DRE SANTAREM</v>
      </c>
      <c r="H1081" s="1" t="str">
        <f ca="1">IFERROR(__xludf.DUMMYFUNCTION("""COMPUTED_VALUE"""),"05A URE - SANTAREM")</f>
        <v>05A URE - SANTAREM</v>
      </c>
      <c r="I1081" s="1"/>
      <c r="J1081" s="1" t="str">
        <f ca="1">IFERROR(__xludf.DUMMYFUNCTION("""COMPUTED_VALUE"""),"SANTAREM")</f>
        <v>SANTAREM</v>
      </c>
      <c r="K1081" s="1">
        <f ca="1">IFERROR(__xludf.DUMMYFUNCTION("""COMPUTED_VALUE"""),15011704)</f>
        <v>15011704</v>
      </c>
      <c r="L1081" s="2" t="str">
        <f ca="1">IFERROR(__xludf.DUMMYFUNCTION("""COMPUTED_VALUE"""),"001920902760000")</f>
        <v>001920902760000</v>
      </c>
      <c r="M1081" s="2" t="str">
        <f ca="1">IFERROR(__xludf.DUMMYFUNCTION("""COMPUTED_VALUE"""),"1920902760000")</f>
        <v>1920902760000</v>
      </c>
      <c r="N1081" s="1" t="str">
        <f ca="1">IFERROR(__xludf.DUMMYFUNCTION("""COMPUTED_VALUE"""),"EEEFM PROFA MARIA UCHOA MARTINS")</f>
        <v>EEEFM PROFA MARIA UCHOA MARTINS</v>
      </c>
      <c r="O1081" s="1"/>
      <c r="P1081" s="1"/>
      <c r="Q1081" s="1" t="s">
        <v>1067</v>
      </c>
    </row>
    <row r="1082" spans="1:17" x14ac:dyDescent="0.25">
      <c r="A1082" s="2" t="str">
        <f ca="1">IFERROR(__xludf.DUMMYFUNCTION("""COMPUTED_VALUE"""),"REG DE INTEGRA DO BAIXO AMAZON")</f>
        <v>REG DE INTEGRA DO BAIXO AMAZON</v>
      </c>
      <c r="B1082" s="1" t="str">
        <f ca="1">IFERROR(__xludf.DUMMYFUNCTION("""COMPUTED_VALUE"""),"DRE SANTAREM")</f>
        <v>DRE SANTAREM</v>
      </c>
      <c r="C1082" s="2" t="str">
        <f ca="1">IFERROR(__xludf.DUMMYFUNCTION("""COMPUTED_VALUE"""),"DRE - SANTAREM")</f>
        <v>DRE - SANTAREM</v>
      </c>
      <c r="D1082" s="1"/>
      <c r="E1082" s="2" t="str">
        <f ca="1">IFERROR(__xludf.DUMMYFUNCTION("""COMPUTED_VALUE"""),"DRE - SANTAREM")</f>
        <v>DRE - SANTAREM</v>
      </c>
      <c r="F1082" s="1">
        <f ca="1">IFERROR(__xludf.DUMMYFUNCTION("""COMPUTED_VALUE"""),3)</f>
        <v>3</v>
      </c>
      <c r="G1082" s="1" t="str">
        <f ca="1">IFERROR(__xludf.DUMMYFUNCTION("""COMPUTED_VALUE"""),"DRE SANTAREM")</f>
        <v>DRE SANTAREM</v>
      </c>
      <c r="H1082" s="1" t="str">
        <f ca="1">IFERROR(__xludf.DUMMYFUNCTION("""COMPUTED_VALUE"""),"05A URE - SANTAREM")</f>
        <v>05A URE - SANTAREM</v>
      </c>
      <c r="I1082" s="1"/>
      <c r="J1082" s="1" t="str">
        <f ca="1">IFERROR(__xludf.DUMMYFUNCTION("""COMPUTED_VALUE"""),"SANTAREM")</f>
        <v>SANTAREM</v>
      </c>
      <c r="K1082" s="1">
        <f ca="1">IFERROR(__xludf.DUMMYFUNCTION("""COMPUTED_VALUE"""),15551890)</f>
        <v>15551890</v>
      </c>
      <c r="L1082" s="2" t="str">
        <f ca="1">IFERROR(__xludf.DUMMYFUNCTION("""COMPUTED_VALUE"""),"001920929820000")</f>
        <v>001920929820000</v>
      </c>
      <c r="M1082" s="2" t="str">
        <f ca="1">IFERROR(__xludf.DUMMYFUNCTION("""COMPUTED_VALUE"""),"1920929820000")</f>
        <v>1920929820000</v>
      </c>
      <c r="N1082" s="1" t="str">
        <f ca="1">IFERROR(__xludf.DUMMYFUNCTION("""COMPUTED_VALUE"""),"EEEFM RIO TAPAJOS")</f>
        <v>EEEFM RIO TAPAJOS</v>
      </c>
      <c r="O1082" s="1"/>
      <c r="P1082" s="1"/>
      <c r="Q1082" s="1" t="s">
        <v>1067</v>
      </c>
    </row>
    <row r="1083" spans="1:17" x14ac:dyDescent="0.25">
      <c r="A1083" s="2" t="str">
        <f ca="1">IFERROR(__xludf.DUMMYFUNCTION("""COMPUTED_VALUE"""),"REG DE INTEGRA DO BAIXO AMAZON")</f>
        <v>REG DE INTEGRA DO BAIXO AMAZON</v>
      </c>
      <c r="B1083" s="1" t="str">
        <f ca="1">IFERROR(__xludf.DUMMYFUNCTION("""COMPUTED_VALUE"""),"DRE SANTAREM")</f>
        <v>DRE SANTAREM</v>
      </c>
      <c r="C1083" s="2" t="str">
        <f ca="1">IFERROR(__xludf.DUMMYFUNCTION("""COMPUTED_VALUE"""),"DRE - SANTAREM")</f>
        <v>DRE - SANTAREM</v>
      </c>
      <c r="D1083" s="1"/>
      <c r="E1083" s="2" t="str">
        <f ca="1">IFERROR(__xludf.DUMMYFUNCTION("""COMPUTED_VALUE"""),"DRE - SANTAREM")</f>
        <v>DRE - SANTAREM</v>
      </c>
      <c r="F1083" s="1">
        <f ca="1">IFERROR(__xludf.DUMMYFUNCTION("""COMPUTED_VALUE"""),3)</f>
        <v>3</v>
      </c>
      <c r="G1083" s="1" t="str">
        <f ca="1">IFERROR(__xludf.DUMMYFUNCTION("""COMPUTED_VALUE"""),"DRE SANTAREM")</f>
        <v>DRE SANTAREM</v>
      </c>
      <c r="H1083" s="1" t="str">
        <f ca="1">IFERROR(__xludf.DUMMYFUNCTION("""COMPUTED_VALUE"""),"05A URE - SANTAREM")</f>
        <v>05A URE - SANTAREM</v>
      </c>
      <c r="I1083" s="1"/>
      <c r="J1083" s="1" t="str">
        <f ca="1">IFERROR(__xludf.DUMMYFUNCTION("""COMPUTED_VALUE"""),"SANTAREM")</f>
        <v>SANTAREM</v>
      </c>
      <c r="K1083" s="1">
        <f ca="1">IFERROR(__xludf.DUMMYFUNCTION("""COMPUTED_VALUE"""),15011526)</f>
        <v>15011526</v>
      </c>
      <c r="L1083" s="2" t="str">
        <f ca="1">IFERROR(__xludf.DUMMYFUNCTION("""COMPUTED_VALUE"""),"001920902720000")</f>
        <v>001920902720000</v>
      </c>
      <c r="M1083" s="2" t="str">
        <f ca="1">IFERROR(__xludf.DUMMYFUNCTION("""COMPUTED_VALUE"""),"1920902720000")</f>
        <v>1920902720000</v>
      </c>
      <c r="N1083" s="1" t="str">
        <f ca="1">IFERROR(__xludf.DUMMYFUNCTION("""COMPUTED_VALUE"""),"EEEFM SAO FELIPE")</f>
        <v>EEEFM SAO FELIPE</v>
      </c>
      <c r="O1083" s="1"/>
      <c r="P1083" s="1"/>
      <c r="Q1083" s="1" t="s">
        <v>1067</v>
      </c>
    </row>
    <row r="1084" spans="1:17" x14ac:dyDescent="0.25">
      <c r="A1084" s="2" t="str">
        <f ca="1">IFERROR(__xludf.DUMMYFUNCTION("""COMPUTED_VALUE"""),"REG DE INTEGRA DO BAIXO AMAZON")</f>
        <v>REG DE INTEGRA DO BAIXO AMAZON</v>
      </c>
      <c r="B1084" s="1" t="str">
        <f ca="1">IFERROR(__xludf.DUMMYFUNCTION("""COMPUTED_VALUE"""),"DRE SANTAREM")</f>
        <v>DRE SANTAREM</v>
      </c>
      <c r="C1084" s="2" t="str">
        <f ca="1">IFERROR(__xludf.DUMMYFUNCTION("""COMPUTED_VALUE"""),"DRE - SANTAREM")</f>
        <v>DRE - SANTAREM</v>
      </c>
      <c r="D1084" s="1"/>
      <c r="E1084" s="2" t="str">
        <f ca="1">IFERROR(__xludf.DUMMYFUNCTION("""COMPUTED_VALUE"""),"DRE - SANTAREM")</f>
        <v>DRE - SANTAREM</v>
      </c>
      <c r="F1084" s="1">
        <f ca="1">IFERROR(__xludf.DUMMYFUNCTION("""COMPUTED_VALUE"""),3)</f>
        <v>3</v>
      </c>
      <c r="G1084" s="1" t="str">
        <f ca="1">IFERROR(__xludf.DUMMYFUNCTION("""COMPUTED_VALUE"""),"DRE SANTAREM")</f>
        <v>DRE SANTAREM</v>
      </c>
      <c r="H1084" s="1" t="str">
        <f ca="1">IFERROR(__xludf.DUMMYFUNCTION("""COMPUTED_VALUE"""),"05A URE - SANTAREM")</f>
        <v>05A URE - SANTAREM</v>
      </c>
      <c r="I1084" s="1"/>
      <c r="J1084" s="1" t="str">
        <f ca="1">IFERROR(__xludf.DUMMYFUNCTION("""COMPUTED_VALUE"""),"SANTAREM")</f>
        <v>SANTAREM</v>
      </c>
      <c r="K1084" s="1">
        <f ca="1">IFERROR(__xludf.DUMMYFUNCTION("""COMPUTED_VALUE"""),15011259)</f>
        <v>15011259</v>
      </c>
      <c r="L1084" s="2" t="str">
        <f ca="1">IFERROR(__xludf.DUMMYFUNCTION("""COMPUTED_VALUE"""),"001920931510000")</f>
        <v>001920931510000</v>
      </c>
      <c r="M1084" s="2" t="str">
        <f ca="1">IFERROR(__xludf.DUMMYFUNCTION("""COMPUTED_VALUE"""),"1920931510000")</f>
        <v>1920931510000</v>
      </c>
      <c r="N1084" s="1" t="str">
        <f ca="1">IFERROR(__xludf.DUMMYFUNCTION("""COMPUTED_VALUE"""),"EEEFM SAO JOSE")</f>
        <v>EEEFM SAO JOSE</v>
      </c>
      <c r="O1084" s="1"/>
      <c r="P1084" s="1"/>
      <c r="Q1084" s="1" t="s">
        <v>1067</v>
      </c>
    </row>
    <row r="1085" spans="1:17" x14ac:dyDescent="0.25">
      <c r="A1085" s="2" t="str">
        <f ca="1">IFERROR(__xludf.DUMMYFUNCTION("""COMPUTED_VALUE"""),"REG DE INTEGRA DO BAIXO AMAZON")</f>
        <v>REG DE INTEGRA DO BAIXO AMAZON</v>
      </c>
      <c r="B1085" s="1" t="str">
        <f ca="1">IFERROR(__xludf.DUMMYFUNCTION("""COMPUTED_VALUE"""),"DRE SANTAREM")</f>
        <v>DRE SANTAREM</v>
      </c>
      <c r="C1085" s="2" t="str">
        <f ca="1">IFERROR(__xludf.DUMMYFUNCTION("""COMPUTED_VALUE"""),"DRE - SANTAREM")</f>
        <v>DRE - SANTAREM</v>
      </c>
      <c r="D1085" s="1"/>
      <c r="E1085" s="2" t="str">
        <f ca="1">IFERROR(__xludf.DUMMYFUNCTION("""COMPUTED_VALUE"""),"DRE - SANTAREM")</f>
        <v>DRE - SANTAREM</v>
      </c>
      <c r="F1085" s="1">
        <f ca="1">IFERROR(__xludf.DUMMYFUNCTION("""COMPUTED_VALUE"""),3)</f>
        <v>3</v>
      </c>
      <c r="G1085" s="1" t="str">
        <f ca="1">IFERROR(__xludf.DUMMYFUNCTION("""COMPUTED_VALUE"""),"DRE SANTAREM")</f>
        <v>DRE SANTAREM</v>
      </c>
      <c r="H1085" s="1" t="str">
        <f ca="1">IFERROR(__xludf.DUMMYFUNCTION("""COMPUTED_VALUE"""),"05A URE - SANTAREM")</f>
        <v>05A URE - SANTAREM</v>
      </c>
      <c r="I1085" s="1"/>
      <c r="J1085" s="1" t="str">
        <f ca="1">IFERROR(__xludf.DUMMYFUNCTION("""COMPUTED_VALUE"""),"SANTAREM")</f>
        <v>SANTAREM</v>
      </c>
      <c r="K1085" s="1">
        <f ca="1">IFERROR(__xludf.DUMMYFUNCTION("""COMPUTED_VALUE"""),15011275)</f>
        <v>15011275</v>
      </c>
      <c r="L1085" s="2" t="str">
        <f ca="1">IFERROR(__xludf.DUMMYFUNCTION("""COMPUTED_VALUE"""),"001920931530000")</f>
        <v>001920931530000</v>
      </c>
      <c r="M1085" s="2" t="str">
        <f ca="1">IFERROR(__xludf.DUMMYFUNCTION("""COMPUTED_VALUE"""),"1920931530000")</f>
        <v>1920931530000</v>
      </c>
      <c r="N1085" s="1" t="str">
        <f ca="1">IFERROR(__xludf.DUMMYFUNCTION("""COMPUTED_VALUE"""),"EEEFM SAO RAIMUNDO NONATO")</f>
        <v>EEEFM SAO RAIMUNDO NONATO</v>
      </c>
      <c r="O1085" s="1"/>
      <c r="P1085" s="1"/>
      <c r="Q1085" s="1" t="s">
        <v>1067</v>
      </c>
    </row>
    <row r="1086" spans="1:17" x14ac:dyDescent="0.25">
      <c r="A1086" s="2" t="str">
        <f ca="1">IFERROR(__xludf.DUMMYFUNCTION("""COMPUTED_VALUE"""),"REG DE INTEGRA DO BAIXO AMAZON")</f>
        <v>REG DE INTEGRA DO BAIXO AMAZON</v>
      </c>
      <c r="B1086" s="1" t="str">
        <f ca="1">IFERROR(__xludf.DUMMYFUNCTION("""COMPUTED_VALUE"""),"DRE SANTAREM")</f>
        <v>DRE SANTAREM</v>
      </c>
      <c r="C1086" s="2" t="str">
        <f ca="1">IFERROR(__xludf.DUMMYFUNCTION("""COMPUTED_VALUE"""),"DRE - SANTAREM")</f>
        <v>DRE - SANTAREM</v>
      </c>
      <c r="D1086" s="1"/>
      <c r="E1086" s="2" t="str">
        <f ca="1">IFERROR(__xludf.DUMMYFUNCTION("""COMPUTED_VALUE"""),"DRE - SANTAREM")</f>
        <v>DRE - SANTAREM</v>
      </c>
      <c r="F1086" s="1">
        <f ca="1">IFERROR(__xludf.DUMMYFUNCTION("""COMPUTED_VALUE"""),3)</f>
        <v>3</v>
      </c>
      <c r="G1086" s="1" t="str">
        <f ca="1">IFERROR(__xludf.DUMMYFUNCTION("""COMPUTED_VALUE"""),"DRE SANTAREM")</f>
        <v>DRE SANTAREM</v>
      </c>
      <c r="H1086" s="1" t="str">
        <f ca="1">IFERROR(__xludf.DUMMYFUNCTION("""COMPUTED_VALUE"""),"05A URE - SANTAREM")</f>
        <v>05A URE - SANTAREM</v>
      </c>
      <c r="I1086" s="1"/>
      <c r="J1086" s="1" t="str">
        <f ca="1">IFERROR(__xludf.DUMMYFUNCTION("""COMPUTED_VALUE"""),"SANTAREM")</f>
        <v>SANTAREM</v>
      </c>
      <c r="K1086" s="1">
        <f ca="1">IFERROR(__xludf.DUMMYFUNCTION("""COMPUTED_VALUE"""),15169235)</f>
        <v>15169235</v>
      </c>
      <c r="L1086" s="2" t="str">
        <f ca="1">IFERROR(__xludf.DUMMYFUNCTION("""COMPUTED_VALUE"""),"001920929620001")</f>
        <v>001920929620001</v>
      </c>
      <c r="M1086" s="2" t="str">
        <f ca="1">IFERROR(__xludf.DUMMYFUNCTION("""COMPUTED_VALUE"""),"1920929620001")</f>
        <v>1920929620001</v>
      </c>
      <c r="N1086" s="1" t="str">
        <f ca="1">IFERROR(__xludf.DUMMYFUNCTION("""COMPUTED_VALUE"""),"EEEM  DOM TIAGO RYAN - ANEXO")</f>
        <v>EEEM  DOM TIAGO RYAN - ANEXO</v>
      </c>
      <c r="O1086" s="1"/>
      <c r="P1086" s="1"/>
      <c r="Q1086" s="1" t="s">
        <v>1067</v>
      </c>
    </row>
    <row r="1087" spans="1:17" x14ac:dyDescent="0.25">
      <c r="A1087" s="2" t="str">
        <f ca="1">IFERROR(__xludf.DUMMYFUNCTION("""COMPUTED_VALUE"""),"REG DE INTEGRA DO BAIXO AMAZON")</f>
        <v>REG DE INTEGRA DO BAIXO AMAZON</v>
      </c>
      <c r="B1087" s="1" t="str">
        <f ca="1">IFERROR(__xludf.DUMMYFUNCTION("""COMPUTED_VALUE"""),"DRE SANTAREM")</f>
        <v>DRE SANTAREM</v>
      </c>
      <c r="C1087" s="2" t="str">
        <f ca="1">IFERROR(__xludf.DUMMYFUNCTION("""COMPUTED_VALUE"""),"DRE - SANTAREM")</f>
        <v>DRE - SANTAREM</v>
      </c>
      <c r="D1087" s="1"/>
      <c r="E1087" s="2" t="str">
        <f ca="1">IFERROR(__xludf.DUMMYFUNCTION("""COMPUTED_VALUE"""),"DRE - SANTAREM")</f>
        <v>DRE - SANTAREM</v>
      </c>
      <c r="F1087" s="1">
        <f ca="1">IFERROR(__xludf.DUMMYFUNCTION("""COMPUTED_VALUE"""),3)</f>
        <v>3</v>
      </c>
      <c r="G1087" s="1" t="str">
        <f ca="1">IFERROR(__xludf.DUMMYFUNCTION("""COMPUTED_VALUE"""),"DRE SANTAREM")</f>
        <v>DRE SANTAREM</v>
      </c>
      <c r="H1087" s="1" t="str">
        <f ca="1">IFERROR(__xludf.DUMMYFUNCTION("""COMPUTED_VALUE"""),"05A URE - SANTAREM")</f>
        <v>05A URE - SANTAREM</v>
      </c>
      <c r="I1087" s="1"/>
      <c r="J1087" s="1" t="str">
        <f ca="1">IFERROR(__xludf.DUMMYFUNCTION("""COMPUTED_VALUE"""),"SANTAREM")</f>
        <v>SANTAREM</v>
      </c>
      <c r="K1087" s="1">
        <f ca="1">IFERROR(__xludf.DUMMYFUNCTION("""COMPUTED_VALUE"""),15011666)</f>
        <v>15011666</v>
      </c>
      <c r="L1087" s="2" t="str">
        <f ca="1">IFERROR(__xludf.DUMMYFUNCTION("""COMPUTED_VALUE"""),"001920902860001")</f>
        <v>001920902860001</v>
      </c>
      <c r="M1087" s="2" t="str">
        <f ca="1">IFERROR(__xludf.DUMMYFUNCTION("""COMPUTED_VALUE"""),"1920902860001")</f>
        <v>1920902860001</v>
      </c>
      <c r="N1087" s="1" t="str">
        <f ca="1">IFERROR(__xludf.DUMMYFUNCTION("""COMPUTED_VALUE"""),"EEEM  PEDRO ALVARES CABRAL  - ANEXO I")</f>
        <v>EEEM  PEDRO ALVARES CABRAL  - ANEXO I</v>
      </c>
      <c r="O1087" s="1"/>
      <c r="P1087" s="1"/>
      <c r="Q1087" s="1" t="s">
        <v>1067</v>
      </c>
    </row>
    <row r="1088" spans="1:17" x14ac:dyDescent="0.25">
      <c r="A1088" s="2" t="str">
        <f ca="1">IFERROR(__xludf.DUMMYFUNCTION("""COMPUTED_VALUE"""),"REG DE INTEGRA DO BAIXO AMAZON")</f>
        <v>REG DE INTEGRA DO BAIXO AMAZON</v>
      </c>
      <c r="B1088" s="1" t="str">
        <f ca="1">IFERROR(__xludf.DUMMYFUNCTION("""COMPUTED_VALUE"""),"DRE SANTAREM")</f>
        <v>DRE SANTAREM</v>
      </c>
      <c r="C1088" s="2" t="str">
        <f ca="1">IFERROR(__xludf.DUMMYFUNCTION("""COMPUTED_VALUE"""),"DRE - SANTAREM")</f>
        <v>DRE - SANTAREM</v>
      </c>
      <c r="D1088" s="1"/>
      <c r="E1088" s="2" t="str">
        <f ca="1">IFERROR(__xludf.DUMMYFUNCTION("""COMPUTED_VALUE"""),"DRE - SANTAREM")</f>
        <v>DRE - SANTAREM</v>
      </c>
      <c r="F1088" s="1">
        <f ca="1">IFERROR(__xludf.DUMMYFUNCTION("""COMPUTED_VALUE"""),3)</f>
        <v>3</v>
      </c>
      <c r="G1088" s="1" t="str">
        <f ca="1">IFERROR(__xludf.DUMMYFUNCTION("""COMPUTED_VALUE"""),"DRE SANTAREM")</f>
        <v>DRE SANTAREM</v>
      </c>
      <c r="H1088" s="1" t="str">
        <f ca="1">IFERROR(__xludf.DUMMYFUNCTION("""COMPUTED_VALUE"""),"05A URE - SANTAREM")</f>
        <v>05A URE - SANTAREM</v>
      </c>
      <c r="I1088" s="1"/>
      <c r="J1088" s="1" t="str">
        <f ca="1">IFERROR(__xludf.DUMMYFUNCTION("""COMPUTED_VALUE"""),"SANTAREM")</f>
        <v>SANTAREM</v>
      </c>
      <c r="K1088" s="1">
        <f ca="1">IFERROR(__xludf.DUMMYFUNCTION("""COMPUTED_VALUE"""),15011372)</f>
        <v>15011372</v>
      </c>
      <c r="L1088" s="2" t="str">
        <f ca="1">IFERROR(__xludf.DUMMYFUNCTION("""COMPUTED_VALUE"""),"001920902880000")</f>
        <v>001920902880000</v>
      </c>
      <c r="M1088" s="2" t="str">
        <f ca="1">IFERROR(__xludf.DUMMYFUNCTION("""COMPUTED_VALUE"""),"1920902880000")</f>
        <v>1920902880000</v>
      </c>
      <c r="N1088" s="1" t="str">
        <f ca="1">IFERROR(__xludf.DUMMYFUNCTION("""COMPUTED_VALUE"""),"EEEM ALVARO ADOLFO DA SILVEIRA")</f>
        <v>EEEM ALVARO ADOLFO DA SILVEIRA</v>
      </c>
      <c r="O1088" s="1"/>
      <c r="P1088" s="1"/>
      <c r="Q1088" s="1" t="s">
        <v>1067</v>
      </c>
    </row>
    <row r="1089" spans="1:17" x14ac:dyDescent="0.25">
      <c r="A1089" s="2" t="str">
        <f ca="1">IFERROR(__xludf.DUMMYFUNCTION("""COMPUTED_VALUE"""),"REG DE INTEGRA DO BAIXO AMAZON")</f>
        <v>REG DE INTEGRA DO BAIXO AMAZON</v>
      </c>
      <c r="B1089" s="1" t="str">
        <f ca="1">IFERROR(__xludf.DUMMYFUNCTION("""COMPUTED_VALUE"""),"DRE SANTAREM")</f>
        <v>DRE SANTAREM</v>
      </c>
      <c r="C1089" s="2" t="str">
        <f ca="1">IFERROR(__xludf.DUMMYFUNCTION("""COMPUTED_VALUE"""),"DRE - SANTAREM")</f>
        <v>DRE - SANTAREM</v>
      </c>
      <c r="D1089" s="1"/>
      <c r="E1089" s="2" t="str">
        <f ca="1">IFERROR(__xludf.DUMMYFUNCTION("""COMPUTED_VALUE"""),"DRE - SANTAREM")</f>
        <v>DRE - SANTAREM</v>
      </c>
      <c r="F1089" s="1">
        <f ca="1">IFERROR(__xludf.DUMMYFUNCTION("""COMPUTED_VALUE"""),3)</f>
        <v>3</v>
      </c>
      <c r="G1089" s="1" t="str">
        <f ca="1">IFERROR(__xludf.DUMMYFUNCTION("""COMPUTED_VALUE"""),"DRE SANTAREM")</f>
        <v>DRE SANTAREM</v>
      </c>
      <c r="H1089" s="1" t="str">
        <f ca="1">IFERROR(__xludf.DUMMYFUNCTION("""COMPUTED_VALUE"""),"05A URE - SANTAREM")</f>
        <v>05A URE - SANTAREM</v>
      </c>
      <c r="I1089" s="1"/>
      <c r="J1089" s="1" t="str">
        <f ca="1">IFERROR(__xludf.DUMMYFUNCTION("""COMPUTED_VALUE"""),"SANTAREM")</f>
        <v>SANTAREM</v>
      </c>
      <c r="K1089" s="1">
        <f ca="1">IFERROR(__xludf.DUMMYFUNCTION("""COMPUTED_VALUE"""),15168697)</f>
        <v>15168697</v>
      </c>
      <c r="L1089" s="2" t="str">
        <f ca="1">IFERROR(__xludf.DUMMYFUNCTION("""COMPUTED_VALUE"""),"001920937990000")</f>
        <v>001920937990000</v>
      </c>
      <c r="M1089" s="2" t="str">
        <f ca="1">IFERROR(__xludf.DUMMYFUNCTION("""COMPUTED_VALUE"""),"1920937990000")</f>
        <v>1920937990000</v>
      </c>
      <c r="N1089" s="1" t="str">
        <f ca="1">IFERROR(__xludf.DUMMYFUNCTION("""COMPUTED_VALUE"""),"EEEM ANTONIO FIGUEIRA")</f>
        <v>EEEM ANTONIO FIGUEIRA</v>
      </c>
      <c r="O1089" s="1"/>
      <c r="P1089" s="1"/>
      <c r="Q1089" s="1" t="s">
        <v>1067</v>
      </c>
    </row>
    <row r="1090" spans="1:17" x14ac:dyDescent="0.25">
      <c r="A1090" s="2" t="str">
        <f ca="1">IFERROR(__xludf.DUMMYFUNCTION("""COMPUTED_VALUE"""),"REG DE INTEGRA DO BAIXO AMAZON")</f>
        <v>REG DE INTEGRA DO BAIXO AMAZON</v>
      </c>
      <c r="B1090" s="1" t="str">
        <f ca="1">IFERROR(__xludf.DUMMYFUNCTION("""COMPUTED_VALUE"""),"DRE SANTAREM")</f>
        <v>DRE SANTAREM</v>
      </c>
      <c r="C1090" s="2" t="str">
        <f ca="1">IFERROR(__xludf.DUMMYFUNCTION("""COMPUTED_VALUE"""),"DRE - SANTAREM")</f>
        <v>DRE - SANTAREM</v>
      </c>
      <c r="D1090" s="1"/>
      <c r="E1090" s="2" t="str">
        <f ca="1">IFERROR(__xludf.DUMMYFUNCTION("""COMPUTED_VALUE"""),"DRE - SANTAREM")</f>
        <v>DRE - SANTAREM</v>
      </c>
      <c r="F1090" s="1">
        <f ca="1">IFERROR(__xludf.DUMMYFUNCTION("""COMPUTED_VALUE"""),3)</f>
        <v>3</v>
      </c>
      <c r="G1090" s="1" t="str">
        <f ca="1">IFERROR(__xludf.DUMMYFUNCTION("""COMPUTED_VALUE"""),"DRE SANTAREM")</f>
        <v>DRE SANTAREM</v>
      </c>
      <c r="H1090" s="1" t="str">
        <f ca="1">IFERROR(__xludf.DUMMYFUNCTION("""COMPUTED_VALUE"""),"05A URE - SANTAREM")</f>
        <v>05A URE - SANTAREM</v>
      </c>
      <c r="I1090" s="1"/>
      <c r="J1090" s="1" t="str">
        <f ca="1">IFERROR(__xludf.DUMMYFUNCTION("""COMPUTED_VALUE"""),"SANTAREM")</f>
        <v>SANTAREM</v>
      </c>
      <c r="K1090" s="1">
        <f ca="1">IFERROR(__xludf.DUMMYFUNCTION("""COMPUTED_VALUE"""),15015270)</f>
        <v>15015270</v>
      </c>
      <c r="L1090" s="2" t="str">
        <f ca="1">IFERROR(__xludf.DUMMYFUNCTION("""COMPUTED_VALUE"""),"001920931520000")</f>
        <v>001920931520000</v>
      </c>
      <c r="M1090" s="2" t="str">
        <f ca="1">IFERROR(__xludf.DUMMYFUNCTION("""COMPUTED_VALUE"""),"1920931520000")</f>
        <v>1920931520000</v>
      </c>
      <c r="N1090" s="1" t="str">
        <f ca="1">IFERROR(__xludf.DUMMYFUNCTION("""COMPUTED_VALUE"""),"EEEM DIOCESANA SAO FRANCISCO")</f>
        <v>EEEM DIOCESANA SAO FRANCISCO</v>
      </c>
      <c r="O1090" s="1"/>
      <c r="P1090" s="1"/>
      <c r="Q1090" s="1" t="s">
        <v>1067</v>
      </c>
    </row>
    <row r="1091" spans="1:17" x14ac:dyDescent="0.25">
      <c r="A1091" s="2" t="str">
        <f ca="1">IFERROR(__xludf.DUMMYFUNCTION("""COMPUTED_VALUE"""),"REG DE INTEGRA DO BAIXO AMAZON")</f>
        <v>REG DE INTEGRA DO BAIXO AMAZON</v>
      </c>
      <c r="B1091" s="1" t="str">
        <f ca="1">IFERROR(__xludf.DUMMYFUNCTION("""COMPUTED_VALUE"""),"DRE SANTAREM")</f>
        <v>DRE SANTAREM</v>
      </c>
      <c r="C1091" s="2" t="str">
        <f ca="1">IFERROR(__xludf.DUMMYFUNCTION("""COMPUTED_VALUE"""),"DRE - SANTAREM")</f>
        <v>DRE - SANTAREM</v>
      </c>
      <c r="D1091" s="1"/>
      <c r="E1091" s="2" t="str">
        <f ca="1">IFERROR(__xludf.DUMMYFUNCTION("""COMPUTED_VALUE"""),"DRE - SANTAREM")</f>
        <v>DRE - SANTAREM</v>
      </c>
      <c r="F1091" s="1">
        <f ca="1">IFERROR(__xludf.DUMMYFUNCTION("""COMPUTED_VALUE"""),3)</f>
        <v>3</v>
      </c>
      <c r="G1091" s="1" t="str">
        <f ca="1">IFERROR(__xludf.DUMMYFUNCTION("""COMPUTED_VALUE"""),"DRE SANTAREM")</f>
        <v>DRE SANTAREM</v>
      </c>
      <c r="H1091" s="1" t="str">
        <f ca="1">IFERROR(__xludf.DUMMYFUNCTION("""COMPUTED_VALUE"""),"05A URE - SANTAREM")</f>
        <v>05A URE - SANTAREM</v>
      </c>
      <c r="I1091" s="1"/>
      <c r="J1091" s="1" t="str">
        <f ca="1">IFERROR(__xludf.DUMMYFUNCTION("""COMPUTED_VALUE"""),"SANTAREM")</f>
        <v>SANTAREM</v>
      </c>
      <c r="K1091" s="1">
        <f ca="1">IFERROR(__xludf.DUMMYFUNCTION("""COMPUTED_VALUE"""),15168760)</f>
        <v>15168760</v>
      </c>
      <c r="L1091" s="2" t="str">
        <f ca="1">IFERROR(__xludf.DUMMYFUNCTION("""COMPUTED_VALUE"""),"001920902900003")</f>
        <v>001920902900003</v>
      </c>
      <c r="M1091" s="2" t="str">
        <f ca="1">IFERROR(__xludf.DUMMYFUNCTION("""COMPUTED_VALUE"""),"1920902900003")</f>
        <v>1920902900003</v>
      </c>
      <c r="N1091" s="1" t="str">
        <f ca="1">IFERROR(__xludf.DUMMYFUNCTION("""COMPUTED_VALUE"""),"EEEM JULIA G PASSARINHO - ANEXO II")</f>
        <v>EEEM JULIA G PASSARINHO - ANEXO II</v>
      </c>
      <c r="O1091" s="1"/>
      <c r="P1091" s="1"/>
      <c r="Q1091" s="1" t="s">
        <v>1067</v>
      </c>
    </row>
    <row r="1092" spans="1:17" x14ac:dyDescent="0.25">
      <c r="A1092" s="2" t="str">
        <f ca="1">IFERROR(__xludf.DUMMYFUNCTION("""COMPUTED_VALUE"""),"REG DE INTEGRA DO BAIXO AMAZON")</f>
        <v>REG DE INTEGRA DO BAIXO AMAZON</v>
      </c>
      <c r="B1092" s="1" t="str">
        <f ca="1">IFERROR(__xludf.DUMMYFUNCTION("""COMPUTED_VALUE"""),"DRE SANTAREM")</f>
        <v>DRE SANTAREM</v>
      </c>
      <c r="C1092" s="2" t="str">
        <f ca="1">IFERROR(__xludf.DUMMYFUNCTION("""COMPUTED_VALUE"""),"DRE - SANTAREM")</f>
        <v>DRE - SANTAREM</v>
      </c>
      <c r="D1092" s="1"/>
      <c r="E1092" s="2" t="str">
        <f ca="1">IFERROR(__xludf.DUMMYFUNCTION("""COMPUTED_VALUE"""),"DRE - SANTAREM")</f>
        <v>DRE - SANTAREM</v>
      </c>
      <c r="F1092" s="1">
        <f ca="1">IFERROR(__xludf.DUMMYFUNCTION("""COMPUTED_VALUE"""),3)</f>
        <v>3</v>
      </c>
      <c r="G1092" s="1" t="str">
        <f ca="1">IFERROR(__xludf.DUMMYFUNCTION("""COMPUTED_VALUE"""),"DRE SANTAREM")</f>
        <v>DRE SANTAREM</v>
      </c>
      <c r="H1092" s="1" t="str">
        <f ca="1">IFERROR(__xludf.DUMMYFUNCTION("""COMPUTED_VALUE"""),"05A URE - SANTAREM")</f>
        <v>05A URE - SANTAREM</v>
      </c>
      <c r="I1092" s="1"/>
      <c r="J1092" s="1" t="str">
        <f ca="1">IFERROR(__xludf.DUMMYFUNCTION("""COMPUTED_VALUE"""),"SANTAREM")</f>
        <v>SANTAREM</v>
      </c>
      <c r="K1092" s="1">
        <f ca="1">IFERROR(__xludf.DUMMYFUNCTION("""COMPUTED_VALUE"""),15170080)</f>
        <v>15170080</v>
      </c>
      <c r="L1092" s="2" t="str">
        <f ca="1">IFERROR(__xludf.DUMMYFUNCTION("""COMPUTED_VALUE"""),"001920902900002")</f>
        <v>001920902900002</v>
      </c>
      <c r="M1092" s="2" t="str">
        <f ca="1">IFERROR(__xludf.DUMMYFUNCTION("""COMPUTED_VALUE"""),"1920902900002")</f>
        <v>1920902900002</v>
      </c>
      <c r="N1092" s="1" t="str">
        <f ca="1">IFERROR(__xludf.DUMMYFUNCTION("""COMPUTED_VALUE"""),"EEEM JULIA PASSARINHO - ANEXO I")</f>
        <v>EEEM JULIA PASSARINHO - ANEXO I</v>
      </c>
      <c r="O1092" s="1"/>
      <c r="P1092" s="1"/>
      <c r="Q1092" s="1" t="s">
        <v>1067</v>
      </c>
    </row>
    <row r="1093" spans="1:17" x14ac:dyDescent="0.25">
      <c r="A1093" s="2" t="str">
        <f ca="1">IFERROR(__xludf.DUMMYFUNCTION("""COMPUTED_VALUE"""),"REG DE INTEGRA DO BAIXO AMAZON")</f>
        <v>REG DE INTEGRA DO BAIXO AMAZON</v>
      </c>
      <c r="B1093" s="1" t="str">
        <f ca="1">IFERROR(__xludf.DUMMYFUNCTION("""COMPUTED_VALUE"""),"DRE SANTAREM")</f>
        <v>DRE SANTAREM</v>
      </c>
      <c r="C1093" s="2" t="str">
        <f ca="1">IFERROR(__xludf.DUMMYFUNCTION("""COMPUTED_VALUE"""),"DRE - SANTAREM")</f>
        <v>DRE - SANTAREM</v>
      </c>
      <c r="D1093" s="1"/>
      <c r="E1093" s="2" t="str">
        <f ca="1">IFERROR(__xludf.DUMMYFUNCTION("""COMPUTED_VALUE"""),"DRE - SANTAREM")</f>
        <v>DRE - SANTAREM</v>
      </c>
      <c r="F1093" s="1">
        <f ca="1">IFERROR(__xludf.DUMMYFUNCTION("""COMPUTED_VALUE"""),3)</f>
        <v>3</v>
      </c>
      <c r="G1093" s="1" t="str">
        <f ca="1">IFERROR(__xludf.DUMMYFUNCTION("""COMPUTED_VALUE"""),"DRE SANTAREM")</f>
        <v>DRE SANTAREM</v>
      </c>
      <c r="H1093" s="1" t="str">
        <f ca="1">IFERROR(__xludf.DUMMYFUNCTION("""COMPUTED_VALUE"""),"05A URE - SANTAREM")</f>
        <v>05A URE - SANTAREM</v>
      </c>
      <c r="I1093" s="1"/>
      <c r="J1093" s="1" t="str">
        <f ca="1">IFERROR(__xludf.DUMMYFUNCTION("""COMPUTED_VALUE"""),"SANTAREM")</f>
        <v>SANTAREM</v>
      </c>
      <c r="K1093" s="1">
        <f ca="1">IFERROR(__xludf.DUMMYFUNCTION("""COMPUTED_VALUE"""),15011623)</f>
        <v>15011623</v>
      </c>
      <c r="L1093" s="2" t="str">
        <f ca="1">IFERROR(__xludf.DUMMYFUNCTION("""COMPUTED_VALUE"""),"001920902830001")</f>
        <v>001920902830001</v>
      </c>
      <c r="M1093" s="2" t="str">
        <f ca="1">IFERROR(__xludf.DUMMYFUNCTION("""COMPUTED_VALUE"""),"1920902830001")</f>
        <v>1920902830001</v>
      </c>
      <c r="N1093" s="1" t="str">
        <f ca="1">IFERROR(__xludf.DUMMYFUNCTION("""COMPUTED_VALUE"""),"EEEM MADRE IMACULADA -ANEXO I")</f>
        <v>EEEM MADRE IMACULADA -ANEXO I</v>
      </c>
      <c r="O1093" s="1"/>
      <c r="P1093" s="1"/>
      <c r="Q1093" s="1" t="s">
        <v>1067</v>
      </c>
    </row>
    <row r="1094" spans="1:17" x14ac:dyDescent="0.25">
      <c r="A1094" s="2" t="str">
        <f ca="1">IFERROR(__xludf.DUMMYFUNCTION("""COMPUTED_VALUE"""),"REG DE INTEGRA DO BAIXO AMAZON")</f>
        <v>REG DE INTEGRA DO BAIXO AMAZON</v>
      </c>
      <c r="B1094" s="1" t="str">
        <f ca="1">IFERROR(__xludf.DUMMYFUNCTION("""COMPUTED_VALUE"""),"DRE SANTAREM")</f>
        <v>DRE SANTAREM</v>
      </c>
      <c r="C1094" s="2" t="str">
        <f ca="1">IFERROR(__xludf.DUMMYFUNCTION("""COMPUTED_VALUE"""),"DRE - SANTAREM")</f>
        <v>DRE - SANTAREM</v>
      </c>
      <c r="D1094" s="1"/>
      <c r="E1094" s="2" t="str">
        <f ca="1">IFERROR(__xludf.DUMMYFUNCTION("""COMPUTED_VALUE"""),"DRE - SANTAREM")</f>
        <v>DRE - SANTAREM</v>
      </c>
      <c r="F1094" s="1">
        <f ca="1">IFERROR(__xludf.DUMMYFUNCTION("""COMPUTED_VALUE"""),3)</f>
        <v>3</v>
      </c>
      <c r="G1094" s="1" t="str">
        <f ca="1">IFERROR(__xludf.DUMMYFUNCTION("""COMPUTED_VALUE"""),"DRE SANTAREM")</f>
        <v>DRE SANTAREM</v>
      </c>
      <c r="H1094" s="1" t="str">
        <f ca="1">IFERROR(__xludf.DUMMYFUNCTION("""COMPUTED_VALUE"""),"05A URE - SANTAREM")</f>
        <v>05A URE - SANTAREM</v>
      </c>
      <c r="I1094" s="1"/>
      <c r="J1094" s="1" t="str">
        <f ca="1">IFERROR(__xludf.DUMMYFUNCTION("""COMPUTED_VALUE"""),"SANTAREM")</f>
        <v>SANTAREM</v>
      </c>
      <c r="K1094" s="1">
        <f ca="1">IFERROR(__xludf.DUMMYFUNCTION("""COMPUTED_VALUE"""),15585026)</f>
        <v>15585026</v>
      </c>
      <c r="L1094" s="2" t="str">
        <f ca="1">IFERROR(__xludf.DUMMYFUNCTION("""COMPUTED_VALUE"""),"001920936760000")</f>
        <v>001920936760000</v>
      </c>
      <c r="M1094" s="2" t="str">
        <f ca="1">IFERROR(__xludf.DUMMYFUNCTION("""COMPUTED_VALUE"""),"1920936760000")</f>
        <v>1920936760000</v>
      </c>
      <c r="N1094" s="1" t="str">
        <f ca="1">IFERROR(__xludf.DUMMYFUNCTION("""COMPUTED_VALUE"""),"EEEM MAESTRO WILSON DIAS DA FONSECA")</f>
        <v>EEEM MAESTRO WILSON DIAS DA FONSECA</v>
      </c>
      <c r="O1094" s="1"/>
      <c r="P1094" s="1"/>
      <c r="Q1094" s="1" t="s">
        <v>1067</v>
      </c>
    </row>
    <row r="1095" spans="1:17" x14ac:dyDescent="0.25">
      <c r="A1095" s="2" t="str">
        <f ca="1">IFERROR(__xludf.DUMMYFUNCTION("""COMPUTED_VALUE"""),"REG DE INTEGRA DO BAIXO AMAZON")</f>
        <v>REG DE INTEGRA DO BAIXO AMAZON</v>
      </c>
      <c r="B1095" s="1" t="str">
        <f ca="1">IFERROR(__xludf.DUMMYFUNCTION("""COMPUTED_VALUE"""),"DRE SANTAREM")</f>
        <v>DRE SANTAREM</v>
      </c>
      <c r="C1095" s="2" t="str">
        <f ca="1">IFERROR(__xludf.DUMMYFUNCTION("""COMPUTED_VALUE"""),"DRE - SANTAREM")</f>
        <v>DRE - SANTAREM</v>
      </c>
      <c r="D1095" s="1"/>
      <c r="E1095" s="2" t="str">
        <f ca="1">IFERROR(__xludf.DUMMYFUNCTION("""COMPUTED_VALUE"""),"DRE - SANTAREM")</f>
        <v>DRE - SANTAREM</v>
      </c>
      <c r="F1095" s="1">
        <f ca="1">IFERROR(__xludf.DUMMYFUNCTION("""COMPUTED_VALUE"""),3)</f>
        <v>3</v>
      </c>
      <c r="G1095" s="1" t="str">
        <f ca="1">IFERROR(__xludf.DUMMYFUNCTION("""COMPUTED_VALUE"""),"DRE SANTAREM")</f>
        <v>DRE SANTAREM</v>
      </c>
      <c r="H1095" s="1" t="str">
        <f ca="1">IFERROR(__xludf.DUMMYFUNCTION("""COMPUTED_VALUE"""),"05A URE - SANTAREM")</f>
        <v>05A URE - SANTAREM</v>
      </c>
      <c r="I1095" s="1"/>
      <c r="J1095" s="1" t="str">
        <f ca="1">IFERROR(__xludf.DUMMYFUNCTION("""COMPUTED_VALUE"""),"SANTAREM")</f>
        <v>SANTAREM</v>
      </c>
      <c r="K1095" s="1">
        <f ca="1">IFERROR(__xludf.DUMMYFUNCTION("""COMPUTED_VALUE"""),15170098)</f>
        <v>15170098</v>
      </c>
      <c r="L1095" s="2" t="str">
        <f ca="1">IFERROR(__xludf.DUMMYFUNCTION("""COMPUTED_VALUE"""),"001920929820001")</f>
        <v>001920929820001</v>
      </c>
      <c r="M1095" s="2" t="str">
        <f ca="1">IFERROR(__xludf.DUMMYFUNCTION("""COMPUTED_VALUE"""),"1920929820001")</f>
        <v>1920929820001</v>
      </c>
      <c r="N1095" s="1" t="str">
        <f ca="1">IFERROR(__xludf.DUMMYFUNCTION("""COMPUTED_VALUE"""),"EEEM RIO TAPAJOS ANEXO I")</f>
        <v>EEEM RIO TAPAJOS ANEXO I</v>
      </c>
      <c r="O1095" s="1"/>
      <c r="P1095" s="1"/>
      <c r="Q1095" s="1" t="s">
        <v>1067</v>
      </c>
    </row>
    <row r="1096" spans="1:17" x14ac:dyDescent="0.25">
      <c r="A1096" s="2" t="str">
        <f ca="1">IFERROR(__xludf.DUMMYFUNCTION("""COMPUTED_VALUE"""),"REG DE INTEGRA DO BAIXO AMAZON")</f>
        <v>REG DE INTEGRA DO BAIXO AMAZON</v>
      </c>
      <c r="B1096" s="1" t="str">
        <f ca="1">IFERROR(__xludf.DUMMYFUNCTION("""COMPUTED_VALUE"""),"DRE SANTAREM")</f>
        <v>DRE SANTAREM</v>
      </c>
      <c r="C1096" s="2" t="str">
        <f ca="1">IFERROR(__xludf.DUMMYFUNCTION("""COMPUTED_VALUE"""),"DRE - SANTAREM")</f>
        <v>DRE - SANTAREM</v>
      </c>
      <c r="D1096" s="1"/>
      <c r="E1096" s="2" t="str">
        <f ca="1">IFERROR(__xludf.DUMMYFUNCTION("""COMPUTED_VALUE"""),"DRE - SANTAREM")</f>
        <v>DRE - SANTAREM</v>
      </c>
      <c r="F1096" s="1">
        <f ca="1">IFERROR(__xludf.DUMMYFUNCTION("""COMPUTED_VALUE"""),3)</f>
        <v>3</v>
      </c>
      <c r="G1096" s="1" t="str">
        <f ca="1">IFERROR(__xludf.DUMMYFUNCTION("""COMPUTED_VALUE"""),"DRE SANTAREM")</f>
        <v>DRE SANTAREM</v>
      </c>
      <c r="H1096" s="1" t="str">
        <f ca="1">IFERROR(__xludf.DUMMYFUNCTION("""COMPUTED_VALUE"""),"05A URE - SANTAREM")</f>
        <v>05A URE - SANTAREM</v>
      </c>
      <c r="I1096" s="1"/>
      <c r="J1096" s="1" t="str">
        <f ca="1">IFERROR(__xludf.DUMMYFUNCTION("""COMPUTED_VALUE"""),"SANTAREM")</f>
        <v>SANTAREM</v>
      </c>
      <c r="K1096" s="1">
        <f ca="1">IFERROR(__xludf.DUMMYFUNCTION("""COMPUTED_VALUE"""),15011739)</f>
        <v>15011739</v>
      </c>
      <c r="L1096" s="2" t="str">
        <f ca="1">IFERROR(__xludf.DUMMYFUNCTION("""COMPUTED_VALUE"""),"001920902910000")</f>
        <v>001920902910000</v>
      </c>
      <c r="M1096" s="2" t="str">
        <f ca="1">IFERROR(__xludf.DUMMYFUNCTION("""COMPUTED_VALUE"""),"1920902910000")</f>
        <v>1920902910000</v>
      </c>
      <c r="N1096" s="1" t="str">
        <f ca="1">IFERROR(__xludf.DUMMYFUNCTION("""COMPUTED_VALUE"""),"EEEM RODRIGUES DOS SANTOS")</f>
        <v>EEEM RODRIGUES DOS SANTOS</v>
      </c>
      <c r="O1096" s="1"/>
      <c r="P1096" s="1"/>
      <c r="Q1096" s="1" t="s">
        <v>1067</v>
      </c>
    </row>
    <row r="1097" spans="1:17" x14ac:dyDescent="0.25">
      <c r="A1097" s="2" t="str">
        <f ca="1">IFERROR(__xludf.DUMMYFUNCTION("""COMPUTED_VALUE"""),"REG DE INTEGRA DO BAIXO AMAZON")</f>
        <v>REG DE INTEGRA DO BAIXO AMAZON</v>
      </c>
      <c r="B1097" s="1" t="str">
        <f ca="1">IFERROR(__xludf.DUMMYFUNCTION("""COMPUTED_VALUE"""),"DRE SANTAREM")</f>
        <v>DRE SANTAREM</v>
      </c>
      <c r="C1097" s="2" t="str">
        <f ca="1">IFERROR(__xludf.DUMMYFUNCTION("""COMPUTED_VALUE"""),"DRE - SANTAREM")</f>
        <v>DRE - SANTAREM</v>
      </c>
      <c r="D1097" s="1"/>
      <c r="E1097" s="2" t="str">
        <f ca="1">IFERROR(__xludf.DUMMYFUNCTION("""COMPUTED_VALUE"""),"DRE - SANTAREM")</f>
        <v>DRE - SANTAREM</v>
      </c>
      <c r="F1097" s="1">
        <f ca="1">IFERROR(__xludf.DUMMYFUNCTION("""COMPUTED_VALUE"""),3)</f>
        <v>3</v>
      </c>
      <c r="G1097" s="1" t="str">
        <f ca="1">IFERROR(__xludf.DUMMYFUNCTION("""COMPUTED_VALUE"""),"DRE SANTAREM")</f>
        <v>DRE SANTAREM</v>
      </c>
      <c r="H1097" s="1" t="str">
        <f ca="1">IFERROR(__xludf.DUMMYFUNCTION("""COMPUTED_VALUE"""),"05A URE - SANTAREM")</f>
        <v>05A URE - SANTAREM</v>
      </c>
      <c r="I1097" s="1"/>
      <c r="J1097" s="1" t="str">
        <f ca="1">IFERROR(__xludf.DUMMYFUNCTION("""COMPUTED_VALUE"""),"SANTAREM")</f>
        <v>SANTAREM</v>
      </c>
      <c r="K1097" s="1">
        <f ca="1">IFERROR(__xludf.DUMMYFUNCTION("""COMPUTED_VALUE"""),15168778)</f>
        <v>15168778</v>
      </c>
      <c r="L1097" s="2" t="str">
        <f ca="1">IFERROR(__xludf.DUMMYFUNCTION("""COMPUTED_VALUE"""),"001920902720001")</f>
        <v>001920902720001</v>
      </c>
      <c r="M1097" s="2" t="str">
        <f ca="1">IFERROR(__xludf.DUMMYFUNCTION("""COMPUTED_VALUE"""),"1920902720001")</f>
        <v>1920902720001</v>
      </c>
      <c r="N1097" s="1" t="str">
        <f ca="1">IFERROR(__xludf.DUMMYFUNCTION("""COMPUTED_VALUE"""),"EEEM SAO FELIPE   - ANEXO")</f>
        <v>EEEM SAO FELIPE   - ANEXO</v>
      </c>
      <c r="O1097" s="1"/>
      <c r="P1097" s="1"/>
      <c r="Q1097" s="1" t="s">
        <v>1067</v>
      </c>
    </row>
    <row r="1098" spans="1:17" x14ac:dyDescent="0.25">
      <c r="A1098" s="2" t="str">
        <f ca="1">IFERROR(__xludf.DUMMYFUNCTION("""COMPUTED_VALUE"""),"REG DE INTEGRA DO BAIXO AMAZON")</f>
        <v>REG DE INTEGRA DO BAIXO AMAZON</v>
      </c>
      <c r="B1098" s="1" t="str">
        <f ca="1">IFERROR(__xludf.DUMMYFUNCTION("""COMPUTED_VALUE"""),"DRE SANTAREM")</f>
        <v>DRE SANTAREM</v>
      </c>
      <c r="C1098" s="2" t="str">
        <f ca="1">IFERROR(__xludf.DUMMYFUNCTION("""COMPUTED_VALUE"""),"DRE - SANTAREM")</f>
        <v>DRE - SANTAREM</v>
      </c>
      <c r="D1098" s="1"/>
      <c r="E1098" s="2" t="str">
        <f ca="1">IFERROR(__xludf.DUMMYFUNCTION("""COMPUTED_VALUE"""),"DRE - SANTAREM")</f>
        <v>DRE - SANTAREM</v>
      </c>
      <c r="F1098" s="1">
        <f ca="1">IFERROR(__xludf.DUMMYFUNCTION("""COMPUTED_VALUE"""),3)</f>
        <v>3</v>
      </c>
      <c r="G1098" s="1" t="str">
        <f ca="1">IFERROR(__xludf.DUMMYFUNCTION("""COMPUTED_VALUE"""),"DRE SANTAREM")</f>
        <v>DRE SANTAREM</v>
      </c>
      <c r="H1098" s="1" t="str">
        <f ca="1">IFERROR(__xludf.DUMMYFUNCTION("""COMPUTED_VALUE"""),"05A URE - SANTAREM")</f>
        <v>05A URE - SANTAREM</v>
      </c>
      <c r="I1098" s="1"/>
      <c r="J1098" s="1" t="str">
        <f ca="1">IFERROR(__xludf.DUMMYFUNCTION("""COMPUTED_VALUE"""),"SANTAREM")</f>
        <v>SANTAREM</v>
      </c>
      <c r="K1098" s="1">
        <f ca="1">IFERROR(__xludf.DUMMYFUNCTION("""COMPUTED_VALUE"""),15168905)</f>
        <v>15168905</v>
      </c>
      <c r="L1098" s="2" t="str">
        <f ca="1">IFERROR(__xludf.DUMMYFUNCTION("""COMPUTED_VALUE"""),"001920902720002")</f>
        <v>001920902720002</v>
      </c>
      <c r="M1098" s="2" t="str">
        <f ca="1">IFERROR(__xludf.DUMMYFUNCTION("""COMPUTED_VALUE"""),"1920902720002")</f>
        <v>1920902720002</v>
      </c>
      <c r="N1098" s="1" t="str">
        <f ca="1">IFERROR(__xludf.DUMMYFUNCTION("""COMPUTED_VALUE"""),"EEEM SAO FELIPE - ANEXO I")</f>
        <v>EEEM SAO FELIPE - ANEXO I</v>
      </c>
      <c r="O1098" s="1"/>
      <c r="P1098" s="1"/>
      <c r="Q1098" s="1" t="s">
        <v>1067</v>
      </c>
    </row>
    <row r="1099" spans="1:17" x14ac:dyDescent="0.25">
      <c r="A1099" s="2" t="str">
        <f ca="1">IFERROR(__xludf.DUMMYFUNCTION("""COMPUTED_VALUE"""),"REG DE INTEGRA DO BAIXO AMAZON")</f>
        <v>REG DE INTEGRA DO BAIXO AMAZON</v>
      </c>
      <c r="B1099" s="1" t="str">
        <f ca="1">IFERROR(__xludf.DUMMYFUNCTION("""COMPUTED_VALUE"""),"DRE SANTAREM")</f>
        <v>DRE SANTAREM</v>
      </c>
      <c r="C1099" s="2" t="str">
        <f ca="1">IFERROR(__xludf.DUMMYFUNCTION("""COMPUTED_VALUE"""),"DRE - SANTAREM")</f>
        <v>DRE - SANTAREM</v>
      </c>
      <c r="D1099" s="1"/>
      <c r="E1099" s="2" t="str">
        <f ca="1">IFERROR(__xludf.DUMMYFUNCTION("""COMPUTED_VALUE"""),"DRE - SANTAREM")</f>
        <v>DRE - SANTAREM</v>
      </c>
      <c r="F1099" s="1">
        <f ca="1">IFERROR(__xludf.DUMMYFUNCTION("""COMPUTED_VALUE"""),3)</f>
        <v>3</v>
      </c>
      <c r="G1099" s="1" t="str">
        <f ca="1">IFERROR(__xludf.DUMMYFUNCTION("""COMPUTED_VALUE"""),"DRE SANTAREM")</f>
        <v>DRE SANTAREM</v>
      </c>
      <c r="H1099" s="1" t="str">
        <f ca="1">IFERROR(__xludf.DUMMYFUNCTION("""COMPUTED_VALUE"""),"05A URE - SANTAREM")</f>
        <v>05A URE - SANTAREM</v>
      </c>
      <c r="I1099" s="1"/>
      <c r="J1099" s="1" t="str">
        <f ca="1">IFERROR(__xludf.DUMMYFUNCTION("""COMPUTED_VALUE"""),"SANTAREM")</f>
        <v>SANTAREM</v>
      </c>
      <c r="K1099" s="1">
        <f ca="1">IFERROR(__xludf.DUMMYFUNCTION("""COMPUTED_VALUE"""),15168964)</f>
        <v>15168964</v>
      </c>
      <c r="L1099" s="2" t="str">
        <f ca="1">IFERROR(__xludf.DUMMYFUNCTION("""COMPUTED_VALUE"""),"001920937900000")</f>
        <v>001920937900000</v>
      </c>
      <c r="M1099" s="2" t="str">
        <f ca="1">IFERROR(__xludf.DUMMYFUNCTION("""COMPUTED_VALUE"""),"1920937900000")</f>
        <v>1920937900000</v>
      </c>
      <c r="N1099" s="1" t="str">
        <f ca="1">IFERROR(__xludf.DUMMYFUNCTION("""COMPUTED_VALUE"""),"EETEPA SANTAREM")</f>
        <v>EETEPA SANTAREM</v>
      </c>
      <c r="O1099" s="1"/>
      <c r="P1099" s="1"/>
      <c r="Q1099" s="1" t="s">
        <v>1067</v>
      </c>
    </row>
    <row r="1100" spans="1:17" x14ac:dyDescent="0.25">
      <c r="A1100" s="2" t="str">
        <f ca="1">IFERROR(__xludf.DUMMYFUNCTION("""COMPUTED_VALUE"""),"REG DE INTEGRA DO BAIXO AMAZON")</f>
        <v>REG DE INTEGRA DO BAIXO AMAZON</v>
      </c>
      <c r="B1100" s="1" t="str">
        <f ca="1">IFERROR(__xludf.DUMMYFUNCTION("""COMPUTED_VALUE"""),"DRE SANTAREM")</f>
        <v>DRE SANTAREM</v>
      </c>
      <c r="C1100" s="2" t="str">
        <f ca="1">IFERROR(__xludf.DUMMYFUNCTION("""COMPUTED_VALUE"""),"DRE - SANTAREM")</f>
        <v>DRE - SANTAREM</v>
      </c>
      <c r="D1100" s="1"/>
      <c r="E1100" s="2" t="str">
        <f ca="1">IFERROR(__xludf.DUMMYFUNCTION("""COMPUTED_VALUE"""),"DRE - SANTAREM")</f>
        <v>DRE - SANTAREM</v>
      </c>
      <c r="F1100" s="1">
        <f ca="1">IFERROR(__xludf.DUMMYFUNCTION("""COMPUTED_VALUE"""),3)</f>
        <v>3</v>
      </c>
      <c r="G1100" s="1" t="str">
        <f ca="1">IFERROR(__xludf.DUMMYFUNCTION("""COMPUTED_VALUE"""),"DRE SANTAREM")</f>
        <v>DRE SANTAREM</v>
      </c>
      <c r="H1100" s="1" t="str">
        <f ca="1">IFERROR(__xludf.DUMMYFUNCTION("""COMPUTED_VALUE"""),"05A URE - SANTAREM")</f>
        <v>05A URE - SANTAREM</v>
      </c>
      <c r="I1100" s="1"/>
      <c r="J1100" s="1" t="str">
        <f ca="1">IFERROR(__xludf.DUMMYFUNCTION("""COMPUTED_VALUE"""),"SANTAREM")</f>
        <v>SANTAREM</v>
      </c>
      <c r="K1100" s="1">
        <f ca="1">IFERROR(__xludf.DUMMYFUNCTION("""COMPUTED_VALUE"""),15537072)</f>
        <v>15537072</v>
      </c>
      <c r="L1100" s="2" t="str">
        <f ca="1">IFERROR(__xludf.DUMMYFUNCTION("""COMPUTED_VALUE"""),"001920931710000")</f>
        <v>001920931710000</v>
      </c>
      <c r="M1100" s="2" t="str">
        <f ca="1">IFERROR(__xludf.DUMMYFUNCTION("""COMPUTED_VALUE"""),"1920931710000")</f>
        <v>1920931710000</v>
      </c>
      <c r="N1100" s="1" t="str">
        <f ca="1">IFERROR(__xludf.DUMMYFUNCTION("""COMPUTED_VALUE"""),"ERC ASSOCIACAO DE PAIS E AMIGOS DOS EXCEPICIONAIS")</f>
        <v>ERC ASSOCIACAO DE PAIS E AMIGOS DOS EXCEPICIONAIS</v>
      </c>
      <c r="O1100" s="1"/>
      <c r="P1100" s="1"/>
      <c r="Q1100" s="1" t="s">
        <v>1067</v>
      </c>
    </row>
    <row r="1101" spans="1:17" x14ac:dyDescent="0.25">
      <c r="A1101" s="2" t="str">
        <f ca="1">IFERROR(__xludf.DUMMYFUNCTION("""COMPUTED_VALUE"""),"REG DE INTEGRA DO BAIXO AMAZON")</f>
        <v>REG DE INTEGRA DO BAIXO AMAZON</v>
      </c>
      <c r="B1101" s="1" t="str">
        <f ca="1">IFERROR(__xludf.DUMMYFUNCTION("""COMPUTED_VALUE"""),"DRE SANTAREM")</f>
        <v>DRE SANTAREM</v>
      </c>
      <c r="C1101" s="2" t="str">
        <f ca="1">IFERROR(__xludf.DUMMYFUNCTION("""COMPUTED_VALUE"""),"DRE - SANTAREM")</f>
        <v>DRE - SANTAREM</v>
      </c>
      <c r="D1101" s="1"/>
      <c r="E1101" s="2" t="str">
        <f ca="1">IFERROR(__xludf.DUMMYFUNCTION("""COMPUTED_VALUE"""),"DRE - SANTAREM")</f>
        <v>DRE - SANTAREM</v>
      </c>
      <c r="F1101" s="1"/>
      <c r="G1101" s="1"/>
      <c r="H1101" s="1" t="str">
        <f ca="1">IFERROR(__xludf.DUMMYFUNCTION("""COMPUTED_VALUE"""),"05A URE - SANTAREM")</f>
        <v>05A URE - SANTAREM</v>
      </c>
      <c r="I1101" s="1"/>
      <c r="J1101" s="1" t="str">
        <f ca="1">IFERROR(__xludf.DUMMYFUNCTION("""COMPUTED_VALUE"""),"SANTAREM")</f>
        <v>SANTAREM</v>
      </c>
      <c r="K1101" s="1"/>
      <c r="L1101" s="2" t="str">
        <f ca="1">IFERROR(__xludf.DUMMYFUNCTION("""COMPUTED_VALUE"""),"001920987000000")</f>
        <v>001920987000000</v>
      </c>
      <c r="M1101" s="2" t="str">
        <f ca="1">IFERROR(__xludf.DUMMYFUNCTION("""COMPUTED_VALUE"""),"1920987000000")</f>
        <v>1920987000000</v>
      </c>
      <c r="N1101" s="1" t="str">
        <f ca="1">IFERROR(__xludf.DUMMYFUNCTION("""COMPUTED_VALUE"""),"ESCOLA ESTADUAL RURAL DE SANTAREM")</f>
        <v>ESCOLA ESTADUAL RURAL DE SANTAREM</v>
      </c>
      <c r="O1101" s="1"/>
      <c r="P1101" s="1"/>
      <c r="Q1101" s="1" t="s">
        <v>1067</v>
      </c>
    </row>
    <row r="1102" spans="1:17" x14ac:dyDescent="0.25">
      <c r="A1102" s="2" t="str">
        <f ca="1">IFERROR(__xludf.DUMMYFUNCTION("""COMPUTED_VALUE"""),"REG DE INTEGRA DO BAIXO AMAZON")</f>
        <v>REG DE INTEGRA DO BAIXO AMAZON</v>
      </c>
      <c r="B1102" s="1" t="str">
        <f ca="1">IFERROR(__xludf.DUMMYFUNCTION("""COMPUTED_VALUE"""),"DRE SANTAREM")</f>
        <v>DRE SANTAREM</v>
      </c>
      <c r="C1102" s="2" t="str">
        <f ca="1">IFERROR(__xludf.DUMMYFUNCTION("""COMPUTED_VALUE"""),"DRE - SANTAREM")</f>
        <v>DRE - SANTAREM</v>
      </c>
      <c r="D1102" s="1"/>
      <c r="E1102" s="2" t="str">
        <f ca="1">IFERROR(__xludf.DUMMYFUNCTION("""COMPUTED_VALUE"""),"DRE - SANTAREM")</f>
        <v>DRE - SANTAREM</v>
      </c>
      <c r="F1102" s="1">
        <f ca="1">IFERROR(__xludf.DUMMYFUNCTION("""COMPUTED_VALUE"""),3)</f>
        <v>3</v>
      </c>
      <c r="G1102" s="1" t="str">
        <f ca="1">IFERROR(__xludf.DUMMYFUNCTION("""COMPUTED_VALUE"""),"DRE SANTAREM")</f>
        <v>DRE SANTAREM</v>
      </c>
      <c r="H1102" s="1" t="str">
        <f ca="1">IFERROR(__xludf.DUMMYFUNCTION("""COMPUTED_VALUE"""),"05A URE - SANTAREM")</f>
        <v>05A URE - SANTAREM</v>
      </c>
      <c r="I1102" s="1"/>
      <c r="J1102" s="1" t="str">
        <f ca="1">IFERROR(__xludf.DUMMYFUNCTION("""COMPUTED_VALUE"""),"SANTAREM")</f>
        <v>SANTAREM</v>
      </c>
      <c r="K1102" s="1">
        <f ca="1">IFERROR(__xludf.DUMMYFUNCTION("""COMPUTED_VALUE"""),15563634)</f>
        <v>15563634</v>
      </c>
      <c r="L1102" s="2" t="str">
        <f ca="1">IFERROR(__xludf.DUMMYFUNCTION("""COMPUTED_VALUE"""),"001920929780000")</f>
        <v>001920929780000</v>
      </c>
      <c r="M1102" s="2" t="str">
        <f ca="1">IFERROR(__xludf.DUMMYFUNCTION("""COMPUTED_VALUE"""),"1920929780000")</f>
        <v>1920929780000</v>
      </c>
      <c r="N1102" s="1" t="str">
        <f ca="1">IFERROR(__xludf.DUMMYFUNCTION("""COMPUTED_VALUE"""),"UEE DR JOSE TADEU DUARTE BASTOS")</f>
        <v>UEE DR JOSE TADEU DUARTE BASTOS</v>
      </c>
      <c r="O1102" s="1"/>
      <c r="P1102" s="1"/>
      <c r="Q1102" s="1" t="s">
        <v>1067</v>
      </c>
    </row>
    <row r="1103" spans="1:17" x14ac:dyDescent="0.25">
      <c r="A1103" s="2" t="str">
        <f ca="1">IFERROR(__xludf.DUMMYFUNCTION("""COMPUTED_VALUE"""),"REG DE INTEGRA DO BAIXO AMAZON")</f>
        <v>REG DE INTEGRA DO BAIXO AMAZON</v>
      </c>
      <c r="B1103" s="1" t="str">
        <f ca="1">IFERROR(__xludf.DUMMYFUNCTION("""COMPUTED_VALUE"""),"DRE SANTAREM")</f>
        <v>DRE SANTAREM</v>
      </c>
      <c r="C1103" s="2" t="str">
        <f ca="1">IFERROR(__xludf.DUMMYFUNCTION("""COMPUTED_VALUE"""),"DRE - SANTAREM")</f>
        <v>DRE - SANTAREM</v>
      </c>
      <c r="D1103" s="1"/>
      <c r="E1103" s="2" t="str">
        <f ca="1">IFERROR(__xludf.DUMMYFUNCTION("""COMPUTED_VALUE"""),"DRE - SANTAREM")</f>
        <v>DRE - SANTAREM</v>
      </c>
      <c r="F1103" s="1">
        <f ca="1">IFERROR(__xludf.DUMMYFUNCTION("""COMPUTED_VALUE"""),3)</f>
        <v>3</v>
      </c>
      <c r="G1103" s="1" t="str">
        <f ca="1">IFERROR(__xludf.DUMMYFUNCTION("""COMPUTED_VALUE"""),"DRE SANTAREM")</f>
        <v>DRE SANTAREM</v>
      </c>
      <c r="H1103" s="1" t="str">
        <f ca="1">IFERROR(__xludf.DUMMYFUNCTION("""COMPUTED_VALUE"""),"05A URE - SANTAREM")</f>
        <v>05A URE - SANTAREM</v>
      </c>
      <c r="I1103" s="1"/>
      <c r="J1103" s="1" t="str">
        <f ca="1">IFERROR(__xludf.DUMMYFUNCTION("""COMPUTED_VALUE"""),"SANTAREM")</f>
        <v>SANTAREM</v>
      </c>
      <c r="K1103" s="1"/>
      <c r="L1103" s="2" t="str">
        <f ca="1">IFERROR(__xludf.DUMMYFUNCTION("""COMPUTED_VALUE"""),"001921060000000")</f>
        <v>001921060000000</v>
      </c>
      <c r="M1103" s="2" t="str">
        <f ca="1">IFERROR(__xludf.DUMMYFUNCTION("""COMPUTED_VALUE"""),"1921060000000")</f>
        <v>1921060000000</v>
      </c>
      <c r="N1103" s="1" t="str">
        <f ca="1">IFERROR(__xludf.DUMMYFUNCTION("""COMPUTED_VALUE"""),"E.E.E.M. DOM MACEDO COSTA")</f>
        <v>E.E.E.M. DOM MACEDO COSTA</v>
      </c>
      <c r="O1103" s="1"/>
      <c r="P1103" s="1"/>
      <c r="Q1103" s="1" t="s">
        <v>1067</v>
      </c>
    </row>
    <row r="1104" spans="1:17" x14ac:dyDescent="0.25">
      <c r="A1104" s="2" t="str">
        <f ca="1">IFERROR(__xludf.DUMMYFUNCTION("""COMPUTED_VALUE"""),"REG DE INT DO LAGO DE TUCURUI")</f>
        <v>REG DE INT DO LAGO DE TUCURUI</v>
      </c>
      <c r="B1104" s="1" t="str">
        <f ca="1">IFERROR(__xludf.DUMMYFUNCTION("""COMPUTED_VALUE"""),"DRE TUCURUI")</f>
        <v>DRE TUCURUI</v>
      </c>
      <c r="C1104" s="2" t="str">
        <f ca="1">IFERROR(__xludf.DUMMYFUNCTION("""COMPUTED_VALUE"""),"DRE - TUCURUI")</f>
        <v>DRE - TUCURUI</v>
      </c>
      <c r="D1104" s="1"/>
      <c r="E1104" s="2" t="str">
        <f ca="1">IFERROR(__xludf.DUMMYFUNCTION("""COMPUTED_VALUE"""),"DRE - TUCURUI")</f>
        <v>DRE - TUCURUI</v>
      </c>
      <c r="F1104" s="1">
        <f ca="1">IFERROR(__xludf.DUMMYFUNCTION("""COMPUTED_VALUE"""),2)</f>
        <v>2</v>
      </c>
      <c r="G1104" s="1" t="str">
        <f ca="1">IFERROR(__xludf.DUMMYFUNCTION("""COMPUTED_VALUE"""),"DRE TUCURUI")</f>
        <v>DRE TUCURUI</v>
      </c>
      <c r="H1104" s="1" t="str">
        <f ca="1">IFERROR(__xludf.DUMMYFUNCTION("""COMPUTED_VALUE"""),"16A URE - TUCURUI")</f>
        <v>16A URE - TUCURUI</v>
      </c>
      <c r="I1104" s="1"/>
      <c r="J1104" s="1" t="str">
        <f ca="1">IFERROR(__xludf.DUMMYFUNCTION("""COMPUTED_VALUE"""),"BREU BRANCO")</f>
        <v>BREU BRANCO</v>
      </c>
      <c r="K1104" s="1">
        <f ca="1">IFERROR(__xludf.DUMMYFUNCTION("""COMPUTED_VALUE"""),15177653)</f>
        <v>15177653</v>
      </c>
      <c r="L1104" s="2" t="str">
        <f ca="1">IFERROR(__xludf.DUMMYFUNCTION("""COMPUTED_VALUE"""),"001920929960003")</f>
        <v>001920929960003</v>
      </c>
      <c r="M1104" s="2" t="str">
        <f ca="1">IFERROR(__xludf.DUMMYFUNCTION("""COMPUTED_VALUE"""),"1920929960003")</f>
        <v>1920929960003</v>
      </c>
      <c r="N1104" s="1" t="str">
        <f ca="1">IFERROR(__xludf.DUMMYFUNCTION("""COMPUTED_VALUE"""),"ANEXO RURAL MARCI SEBASTIAO NUNES")</f>
        <v>ANEXO RURAL MARCI SEBASTIAO NUNES</v>
      </c>
      <c r="O1104" s="1"/>
      <c r="P1104" s="1"/>
      <c r="Q1104" s="1" t="s">
        <v>1119</v>
      </c>
    </row>
    <row r="1105" spans="1:17" x14ac:dyDescent="0.25">
      <c r="A1105" s="2" t="str">
        <f ca="1">IFERROR(__xludf.DUMMYFUNCTION("""COMPUTED_VALUE"""),"REG DE INT DO LAGO DE TUCURUI")</f>
        <v>REG DE INT DO LAGO DE TUCURUI</v>
      </c>
      <c r="B1105" s="1" t="str">
        <f ca="1">IFERROR(__xludf.DUMMYFUNCTION("""COMPUTED_VALUE"""),"DRE TUCURUI")</f>
        <v>DRE TUCURUI</v>
      </c>
      <c r="C1105" s="2" t="str">
        <f ca="1">IFERROR(__xludf.DUMMYFUNCTION("""COMPUTED_VALUE"""),"DRE - TUCURUI")</f>
        <v>DRE - TUCURUI</v>
      </c>
      <c r="D1105" s="1"/>
      <c r="E1105" s="2" t="str">
        <f ca="1">IFERROR(__xludf.DUMMYFUNCTION("""COMPUTED_VALUE"""),"DRE - TUCURUI")</f>
        <v>DRE - TUCURUI</v>
      </c>
      <c r="F1105" s="1">
        <f ca="1">IFERROR(__xludf.DUMMYFUNCTION("""COMPUTED_VALUE"""),2)</f>
        <v>2</v>
      </c>
      <c r="G1105" s="1" t="str">
        <f ca="1">IFERROR(__xludf.DUMMYFUNCTION("""COMPUTED_VALUE"""),"DRE TUCURUI")</f>
        <v>DRE TUCURUI</v>
      </c>
      <c r="H1105" s="1" t="str">
        <f ca="1">IFERROR(__xludf.DUMMYFUNCTION("""COMPUTED_VALUE"""),"16A URE - TUCURUI")</f>
        <v>16A URE - TUCURUI</v>
      </c>
      <c r="I1105" s="1"/>
      <c r="J1105" s="1" t="str">
        <f ca="1">IFERROR(__xludf.DUMMYFUNCTION("""COMPUTED_VALUE"""),"BREU BRANCO")</f>
        <v>BREU BRANCO</v>
      </c>
      <c r="K1105" s="1">
        <f ca="1">IFERROR(__xludf.DUMMYFUNCTION("""COMPUTED_VALUE"""),15558690)</f>
        <v>15558690</v>
      </c>
      <c r="L1105" s="2" t="str">
        <f ca="1">IFERROR(__xludf.DUMMYFUNCTION("""COMPUTED_VALUE"""),"001920929960000")</f>
        <v>001920929960000</v>
      </c>
      <c r="M1105" s="2" t="str">
        <f ca="1">IFERROR(__xludf.DUMMYFUNCTION("""COMPUTED_VALUE"""),"1920929960000")</f>
        <v>1920929960000</v>
      </c>
      <c r="N1105" s="1" t="str">
        <f ca="1">IFERROR(__xludf.DUMMYFUNCTION("""COMPUTED_VALUE"""),"EEEM JOSE LOURENCO")</f>
        <v>EEEM JOSE LOURENCO</v>
      </c>
      <c r="O1105" s="1"/>
      <c r="P1105" s="1"/>
      <c r="Q1105" s="1" t="s">
        <v>1119</v>
      </c>
    </row>
    <row r="1106" spans="1:17" x14ac:dyDescent="0.25">
      <c r="A1106" s="2" t="str">
        <f ca="1">IFERROR(__xludf.DUMMYFUNCTION("""COMPUTED_VALUE"""),"REG DE INT DO LAGO DE TUCURUI")</f>
        <v>REG DE INT DO LAGO DE TUCURUI</v>
      </c>
      <c r="B1106" s="1" t="str">
        <f ca="1">IFERROR(__xludf.DUMMYFUNCTION("""COMPUTED_VALUE"""),"DRE TUCURUI")</f>
        <v>DRE TUCURUI</v>
      </c>
      <c r="C1106" s="2" t="str">
        <f ca="1">IFERROR(__xludf.DUMMYFUNCTION("""COMPUTED_VALUE"""),"DRE - TUCURUI")</f>
        <v>DRE - TUCURUI</v>
      </c>
      <c r="D1106" s="1"/>
      <c r="E1106" s="2" t="str">
        <f ca="1">IFERROR(__xludf.DUMMYFUNCTION("""COMPUTED_VALUE"""),"DRE - TUCURUI")</f>
        <v>DRE - TUCURUI</v>
      </c>
      <c r="F1106" s="1">
        <f ca="1">IFERROR(__xludf.DUMMYFUNCTION("""COMPUTED_VALUE"""),2)</f>
        <v>2</v>
      </c>
      <c r="G1106" s="1" t="str">
        <f ca="1">IFERROR(__xludf.DUMMYFUNCTION("""COMPUTED_VALUE"""),"DRE TUCURUI")</f>
        <v>DRE TUCURUI</v>
      </c>
      <c r="H1106" s="1" t="str">
        <f ca="1">IFERROR(__xludf.DUMMYFUNCTION("""COMPUTED_VALUE"""),"16A URE - TUCURUI")</f>
        <v>16A URE - TUCURUI</v>
      </c>
      <c r="I1106" s="1"/>
      <c r="J1106" s="1" t="str">
        <f ca="1">IFERROR(__xludf.DUMMYFUNCTION("""COMPUTED_VALUE"""),"BREU BRANCO")</f>
        <v>BREU BRANCO</v>
      </c>
      <c r="K1106" s="1">
        <f ca="1">IFERROR(__xludf.DUMMYFUNCTION("""COMPUTED_VALUE"""),15539288)</f>
        <v>15539288</v>
      </c>
      <c r="L1106" s="2" t="str">
        <f ca="1">IFERROR(__xludf.DUMMYFUNCTION("""COMPUTED_VALUE"""),"001920929960001")</f>
        <v>001920929960001</v>
      </c>
      <c r="M1106" s="2" t="str">
        <f ca="1">IFERROR(__xludf.DUMMYFUNCTION("""COMPUTED_VALUE"""),"1920929960001")</f>
        <v>1920929960001</v>
      </c>
      <c r="N1106" s="1" t="str">
        <f ca="1">IFERROR(__xludf.DUMMYFUNCTION("""COMPUTED_VALUE"""),"EEEM MARCI SEBASTIAO NUNES - ANEXO I")</f>
        <v>EEEM MARCI SEBASTIAO NUNES - ANEXO I</v>
      </c>
      <c r="O1106" s="1"/>
      <c r="P1106" s="1"/>
      <c r="Q1106" s="1" t="s">
        <v>1119</v>
      </c>
    </row>
    <row r="1107" spans="1:17" x14ac:dyDescent="0.25">
      <c r="A1107" s="2" t="str">
        <f ca="1">IFERROR(__xludf.DUMMYFUNCTION("""COMPUTED_VALUE"""),"REG DE INT DO LAGO DE TUCURUI")</f>
        <v>REG DE INT DO LAGO DE TUCURUI</v>
      </c>
      <c r="B1107" s="1" t="str">
        <f ca="1">IFERROR(__xludf.DUMMYFUNCTION("""COMPUTED_VALUE"""),"DRE TUCURUI")</f>
        <v>DRE TUCURUI</v>
      </c>
      <c r="C1107" s="2" t="str">
        <f ca="1">IFERROR(__xludf.DUMMYFUNCTION("""COMPUTED_VALUE"""),"DRE - TUCURUI")</f>
        <v>DRE - TUCURUI</v>
      </c>
      <c r="D1107" s="1"/>
      <c r="E1107" s="2" t="str">
        <f ca="1">IFERROR(__xludf.DUMMYFUNCTION("""COMPUTED_VALUE"""),"DRE - TUCURUI")</f>
        <v>DRE - TUCURUI</v>
      </c>
      <c r="F1107" s="1">
        <f ca="1">IFERROR(__xludf.DUMMYFUNCTION("""COMPUTED_VALUE"""),2)</f>
        <v>2</v>
      </c>
      <c r="G1107" s="1" t="str">
        <f ca="1">IFERROR(__xludf.DUMMYFUNCTION("""COMPUTED_VALUE"""),"DRE TUCURUI")</f>
        <v>DRE TUCURUI</v>
      </c>
      <c r="H1107" s="1" t="str">
        <f ca="1">IFERROR(__xludf.DUMMYFUNCTION("""COMPUTED_VALUE"""),"16A URE - TUCURUI")</f>
        <v>16A URE - TUCURUI</v>
      </c>
      <c r="I1107" s="1"/>
      <c r="J1107" s="1" t="str">
        <f ca="1">IFERROR(__xludf.DUMMYFUNCTION("""COMPUTED_VALUE"""),"BREU BRANCO")</f>
        <v>BREU BRANCO</v>
      </c>
      <c r="K1107" s="1">
        <f ca="1">IFERROR(__xludf.DUMMYFUNCTION("""COMPUTED_VALUE"""),15575519)</f>
        <v>15575519</v>
      </c>
      <c r="L1107" s="2" t="str">
        <f ca="1">IFERROR(__xludf.DUMMYFUNCTION("""COMPUTED_VALUE"""),"001920936010000")</f>
        <v>001920936010000</v>
      </c>
      <c r="M1107" s="2" t="str">
        <f ca="1">IFERROR(__xludf.DUMMYFUNCTION("""COMPUTED_VALUE"""),"1920936010000")</f>
        <v>1920936010000</v>
      </c>
      <c r="N1107" s="1" t="str">
        <f ca="1">IFERROR(__xludf.DUMMYFUNCTION("""COMPUTED_VALUE"""),"EEEM SEVERO ALVES")</f>
        <v>EEEM SEVERO ALVES</v>
      </c>
      <c r="O1107" s="1"/>
      <c r="P1107" s="1"/>
      <c r="Q1107" s="1" t="s">
        <v>1119</v>
      </c>
    </row>
    <row r="1108" spans="1:17" x14ac:dyDescent="0.25">
      <c r="A1108" s="2" t="str">
        <f ca="1">IFERROR(__xludf.DUMMYFUNCTION("""COMPUTED_VALUE"""),"REG DE INT DO LAGO DE TUCURUI")</f>
        <v>REG DE INT DO LAGO DE TUCURUI</v>
      </c>
      <c r="B1108" s="1" t="str">
        <f ca="1">IFERROR(__xludf.DUMMYFUNCTION("""COMPUTED_VALUE"""),"DRE TUCURUI")</f>
        <v>DRE TUCURUI</v>
      </c>
      <c r="C1108" s="2" t="str">
        <f ca="1">IFERROR(__xludf.DUMMYFUNCTION("""COMPUTED_VALUE"""),"DRE - TUCURUI")</f>
        <v>DRE - TUCURUI</v>
      </c>
      <c r="D1108" s="1"/>
      <c r="E1108" s="2" t="str">
        <f ca="1">IFERROR(__xludf.DUMMYFUNCTION("""COMPUTED_VALUE"""),"DRE - TUCURUI")</f>
        <v>DRE - TUCURUI</v>
      </c>
      <c r="F1108" s="1">
        <f ca="1">IFERROR(__xludf.DUMMYFUNCTION("""COMPUTED_VALUE"""),2)</f>
        <v>2</v>
      </c>
      <c r="G1108" s="1" t="str">
        <f ca="1">IFERROR(__xludf.DUMMYFUNCTION("""COMPUTED_VALUE"""),"DRE TUCURUI")</f>
        <v>DRE TUCURUI</v>
      </c>
      <c r="H1108" s="1" t="str">
        <f ca="1">IFERROR(__xludf.DUMMYFUNCTION("""COMPUTED_VALUE"""),"16A URE - TUCURUI")</f>
        <v>16A URE - TUCURUI</v>
      </c>
      <c r="I1108" s="1"/>
      <c r="J1108" s="1" t="str">
        <f ca="1">IFERROR(__xludf.DUMMYFUNCTION("""COMPUTED_VALUE"""),"BREU BRANCO")</f>
        <v>BREU BRANCO</v>
      </c>
      <c r="K1108" s="1"/>
      <c r="L1108" s="2" t="str">
        <f ca="1">IFERROR(__xludf.DUMMYFUNCTION("""COMPUTED_VALUE"""),"001921034000000")</f>
        <v>001921034000000</v>
      </c>
      <c r="M1108" s="2" t="str">
        <f ca="1">IFERROR(__xludf.DUMMYFUNCTION("""COMPUTED_VALUE"""),"1921034000000")</f>
        <v>1921034000000</v>
      </c>
      <c r="N1108" s="1" t="str">
        <f ca="1">IFERROR(__xludf.DUMMYFUNCTION("""COMPUTED_VALUE"""),"ESCOLA ESTADUAL RURAL DE BREU BRANCO")</f>
        <v>ESCOLA ESTADUAL RURAL DE BREU BRANCO</v>
      </c>
      <c r="O1108" s="1"/>
      <c r="P1108" s="1"/>
      <c r="Q1108" s="1" t="s">
        <v>1119</v>
      </c>
    </row>
    <row r="1109" spans="1:17" x14ac:dyDescent="0.25">
      <c r="A1109" s="2" t="str">
        <f ca="1">IFERROR(__xludf.DUMMYFUNCTION("""COMPUTED_VALUE"""),"REG DE INT DO LAGO DE TUCURUI")</f>
        <v>REG DE INT DO LAGO DE TUCURUI</v>
      </c>
      <c r="B1109" s="1" t="str">
        <f ca="1">IFERROR(__xludf.DUMMYFUNCTION("""COMPUTED_VALUE"""),"DRE TUCURUI")</f>
        <v>DRE TUCURUI</v>
      </c>
      <c r="C1109" s="2" t="str">
        <f ca="1">IFERROR(__xludf.DUMMYFUNCTION("""COMPUTED_VALUE"""),"DRE - TUCURUI")</f>
        <v>DRE - TUCURUI</v>
      </c>
      <c r="D1109" s="1"/>
      <c r="E1109" s="2" t="str">
        <f ca="1">IFERROR(__xludf.DUMMYFUNCTION("""COMPUTED_VALUE"""),"DRE - TUCURUI")</f>
        <v>DRE - TUCURUI</v>
      </c>
      <c r="F1109" s="1">
        <f ca="1">IFERROR(__xludf.DUMMYFUNCTION("""COMPUTED_VALUE"""),2)</f>
        <v>2</v>
      </c>
      <c r="G1109" s="1" t="str">
        <f ca="1">IFERROR(__xludf.DUMMYFUNCTION("""COMPUTED_VALUE"""),"DRE TUCURUI")</f>
        <v>DRE TUCURUI</v>
      </c>
      <c r="H1109" s="1" t="str">
        <f ca="1">IFERROR(__xludf.DUMMYFUNCTION("""COMPUTED_VALUE"""),"16A URE - TUCURUI")</f>
        <v>16A URE - TUCURUI</v>
      </c>
      <c r="I1109" s="1"/>
      <c r="J1109" s="1" t="str">
        <f ca="1">IFERROR(__xludf.DUMMYFUNCTION("""COMPUTED_VALUE"""),"GOIANESIA DO PARA")</f>
        <v>GOIANESIA DO PARA</v>
      </c>
      <c r="K1109" s="1">
        <f ca="1">IFERROR(__xludf.DUMMYFUNCTION("""COMPUTED_VALUE"""),15177629)</f>
        <v>15177629</v>
      </c>
      <c r="L1109" s="2" t="str">
        <f ca="1">IFERROR(__xludf.DUMMYFUNCTION("""COMPUTED_VALUE"""),"001920936020001")</f>
        <v>001920936020001</v>
      </c>
      <c r="M1109" s="2" t="str">
        <f ca="1">IFERROR(__xludf.DUMMYFUNCTION("""COMPUTED_VALUE"""),"1920936020001")</f>
        <v>1920936020001</v>
      </c>
      <c r="N1109" s="1" t="str">
        <f ca="1">IFERROR(__xludf.DUMMYFUNCTION("""COMPUTED_VALUE"""),"ANEXO RURAL PROF ANUNCIADA CHAVES")</f>
        <v>ANEXO RURAL PROF ANUNCIADA CHAVES</v>
      </c>
      <c r="O1109" s="1"/>
      <c r="P1109" s="1"/>
      <c r="Q1109" s="1" t="s">
        <v>1119</v>
      </c>
    </row>
    <row r="1110" spans="1:17" x14ac:dyDescent="0.25">
      <c r="A1110" s="2" t="str">
        <f ca="1">IFERROR(__xludf.DUMMYFUNCTION("""COMPUTED_VALUE"""),"REG DE INT DO LAGO DE TUCURUI")</f>
        <v>REG DE INT DO LAGO DE TUCURUI</v>
      </c>
      <c r="B1110" s="1" t="str">
        <f ca="1">IFERROR(__xludf.DUMMYFUNCTION("""COMPUTED_VALUE"""),"DRE TUCURUI")</f>
        <v>DRE TUCURUI</v>
      </c>
      <c r="C1110" s="2" t="str">
        <f ca="1">IFERROR(__xludf.DUMMYFUNCTION("""COMPUTED_VALUE"""),"DRE - TUCURUI")</f>
        <v>DRE - TUCURUI</v>
      </c>
      <c r="D1110" s="1"/>
      <c r="E1110" s="2" t="str">
        <f ca="1">IFERROR(__xludf.DUMMYFUNCTION("""COMPUTED_VALUE"""),"DRE - TUCURUI")</f>
        <v>DRE - TUCURUI</v>
      </c>
      <c r="F1110" s="1">
        <f ca="1">IFERROR(__xludf.DUMMYFUNCTION("""COMPUTED_VALUE"""),2)</f>
        <v>2</v>
      </c>
      <c r="G1110" s="1" t="str">
        <f ca="1">IFERROR(__xludf.DUMMYFUNCTION("""COMPUTED_VALUE"""),"DRE TUCURUI")</f>
        <v>DRE TUCURUI</v>
      </c>
      <c r="H1110" s="1" t="str">
        <f ca="1">IFERROR(__xludf.DUMMYFUNCTION("""COMPUTED_VALUE"""),"16A URE - TUCURUI")</f>
        <v>16A URE - TUCURUI</v>
      </c>
      <c r="I1110" s="1"/>
      <c r="J1110" s="1" t="str">
        <f ca="1">IFERROR(__xludf.DUMMYFUNCTION("""COMPUTED_VALUE"""),"GOIANESIA DO PARA")</f>
        <v>GOIANESIA DO PARA</v>
      </c>
      <c r="K1110" s="1">
        <f ca="1">IFERROR(__xludf.DUMMYFUNCTION("""COMPUTED_VALUE"""),15117456)</f>
        <v>15117456</v>
      </c>
      <c r="L1110" s="2" t="str">
        <f ca="1">IFERROR(__xludf.DUMMYFUNCTION("""COMPUTED_VALUE"""),"001920936020000")</f>
        <v>001920936020000</v>
      </c>
      <c r="M1110" s="2" t="str">
        <f ca="1">IFERROR(__xludf.DUMMYFUNCTION("""COMPUTED_VALUE"""),"1920936020000")</f>
        <v>1920936020000</v>
      </c>
      <c r="N1110" s="1" t="str">
        <f ca="1">IFERROR(__xludf.DUMMYFUNCTION("""COMPUTED_VALUE"""),"C.E.E.M PROF ANUNCIADA CHAVES")</f>
        <v>C.E.E.M PROF ANUNCIADA CHAVES</v>
      </c>
      <c r="O1110" s="1"/>
      <c r="P1110" s="1"/>
      <c r="Q1110" s="1" t="s">
        <v>1119</v>
      </c>
    </row>
    <row r="1111" spans="1:17" x14ac:dyDescent="0.25">
      <c r="A1111" s="2" t="str">
        <f ca="1">IFERROR(__xludf.DUMMYFUNCTION("""COMPUTED_VALUE"""),"REG DE INT DO LAGO DE TUCURUI")</f>
        <v>REG DE INT DO LAGO DE TUCURUI</v>
      </c>
      <c r="B1111" s="1" t="str">
        <f ca="1">IFERROR(__xludf.DUMMYFUNCTION("""COMPUTED_VALUE"""),"DRE TUCURUI")</f>
        <v>DRE TUCURUI</v>
      </c>
      <c r="C1111" s="2" t="str">
        <f ca="1">IFERROR(__xludf.DUMMYFUNCTION("""COMPUTED_VALUE"""),"DRE - TUCURUI")</f>
        <v>DRE - TUCURUI</v>
      </c>
      <c r="D1111" s="1"/>
      <c r="E1111" s="2" t="str">
        <f ca="1">IFERROR(__xludf.DUMMYFUNCTION("""COMPUTED_VALUE"""),"DRE - TUCURUI")</f>
        <v>DRE - TUCURUI</v>
      </c>
      <c r="F1111" s="1">
        <f ca="1">IFERROR(__xludf.DUMMYFUNCTION("""COMPUTED_VALUE"""),2)</f>
        <v>2</v>
      </c>
      <c r="G1111" s="1" t="str">
        <f ca="1">IFERROR(__xludf.DUMMYFUNCTION("""COMPUTED_VALUE"""),"DRE TUCURUI")</f>
        <v>DRE TUCURUI</v>
      </c>
      <c r="H1111" s="1" t="str">
        <f ca="1">IFERROR(__xludf.DUMMYFUNCTION("""COMPUTED_VALUE"""),"16A URE - TUCURUI")</f>
        <v>16A URE - TUCURUI</v>
      </c>
      <c r="I1111" s="1"/>
      <c r="J1111" s="1" t="str">
        <f ca="1">IFERROR(__xludf.DUMMYFUNCTION("""COMPUTED_VALUE"""),"GOIANESIA DO PARA")</f>
        <v>GOIANESIA DO PARA</v>
      </c>
      <c r="K1111" s="1">
        <f ca="1">IFERROR(__xludf.DUMMYFUNCTION("""COMPUTED_VALUE"""),15172457)</f>
        <v>15172457</v>
      </c>
      <c r="L1111" s="2" t="str">
        <f ca="1">IFERROR(__xludf.DUMMYFUNCTION("""COMPUTED_VALUE"""),"001920943000000")</f>
        <v>001920943000000</v>
      </c>
      <c r="M1111" s="2" t="str">
        <f ca="1">IFERROR(__xludf.DUMMYFUNCTION("""COMPUTED_VALUE"""),"1920943000000")</f>
        <v>1920943000000</v>
      </c>
      <c r="N1111" s="1" t="str">
        <f ca="1">IFERROR(__xludf.DUMMYFUNCTION("""COMPUTED_VALUE"""),"EEEM DE EDUCACAO DO CAMPO PROF WILSON BAIA")</f>
        <v>EEEM DE EDUCACAO DO CAMPO PROF WILSON BAIA</v>
      </c>
      <c r="O1111" s="1"/>
      <c r="P1111" s="1"/>
      <c r="Q1111" s="1" t="s">
        <v>1119</v>
      </c>
    </row>
    <row r="1112" spans="1:17" x14ac:dyDescent="0.25">
      <c r="A1112" s="2" t="str">
        <f ca="1">IFERROR(__xludf.DUMMYFUNCTION("""COMPUTED_VALUE"""),"REG DE INT DO LAGO DE TUCURUI")</f>
        <v>REG DE INT DO LAGO DE TUCURUI</v>
      </c>
      <c r="B1112" s="1" t="str">
        <f ca="1">IFERROR(__xludf.DUMMYFUNCTION("""COMPUTED_VALUE"""),"DRE TUCURUI")</f>
        <v>DRE TUCURUI</v>
      </c>
      <c r="C1112" s="2" t="str">
        <f ca="1">IFERROR(__xludf.DUMMYFUNCTION("""COMPUTED_VALUE"""),"DRE - TUCURUI")</f>
        <v>DRE - TUCURUI</v>
      </c>
      <c r="D1112" s="1"/>
      <c r="E1112" s="2" t="str">
        <f ca="1">IFERROR(__xludf.DUMMYFUNCTION("""COMPUTED_VALUE"""),"DRE - TUCURUI")</f>
        <v>DRE - TUCURUI</v>
      </c>
      <c r="F1112" s="1">
        <f ca="1">IFERROR(__xludf.DUMMYFUNCTION("""COMPUTED_VALUE"""),2)</f>
        <v>2</v>
      </c>
      <c r="G1112" s="1" t="str">
        <f ca="1">IFERROR(__xludf.DUMMYFUNCTION("""COMPUTED_VALUE"""),"DRE TUCURUI")</f>
        <v>DRE TUCURUI</v>
      </c>
      <c r="H1112" s="1" t="str">
        <f ca="1">IFERROR(__xludf.DUMMYFUNCTION("""COMPUTED_VALUE"""),"16A URE - TUCURUI")</f>
        <v>16A URE - TUCURUI</v>
      </c>
      <c r="I1112" s="1"/>
      <c r="J1112" s="1" t="str">
        <f ca="1">IFERROR(__xludf.DUMMYFUNCTION("""COMPUTED_VALUE"""),"GOIANESIA DO PARA")</f>
        <v>GOIANESIA DO PARA</v>
      </c>
      <c r="K1112" s="1"/>
      <c r="L1112" s="2" t="str">
        <f ca="1">IFERROR(__xludf.DUMMYFUNCTION("""COMPUTED_VALUE"""),"001921035000000")</f>
        <v>001921035000000</v>
      </c>
      <c r="M1112" s="2" t="str">
        <f ca="1">IFERROR(__xludf.DUMMYFUNCTION("""COMPUTED_VALUE"""),"1921035000000")</f>
        <v>1921035000000</v>
      </c>
      <c r="N1112" s="1" t="str">
        <f ca="1">IFERROR(__xludf.DUMMYFUNCTION("""COMPUTED_VALUE"""),"ESCOLA ESTADUAL RURAL DE GOIANESIA DO PARA")</f>
        <v>ESCOLA ESTADUAL RURAL DE GOIANESIA DO PARA</v>
      </c>
      <c r="O1112" s="1"/>
      <c r="P1112" s="1"/>
      <c r="Q1112" s="1" t="s">
        <v>1119</v>
      </c>
    </row>
    <row r="1113" spans="1:17" x14ac:dyDescent="0.25">
      <c r="A1113" s="2" t="str">
        <f ca="1">IFERROR(__xludf.DUMMYFUNCTION("""COMPUTED_VALUE"""),"REG DE INT DO LAGO DE TUCURUI")</f>
        <v>REG DE INT DO LAGO DE TUCURUI</v>
      </c>
      <c r="B1113" s="1" t="str">
        <f ca="1">IFERROR(__xludf.DUMMYFUNCTION("""COMPUTED_VALUE"""),"DRE TUCURUI")</f>
        <v>DRE TUCURUI</v>
      </c>
      <c r="C1113" s="2" t="str">
        <f ca="1">IFERROR(__xludf.DUMMYFUNCTION("""COMPUTED_VALUE"""),"DRE - TUCURUI")</f>
        <v>DRE - TUCURUI</v>
      </c>
      <c r="D1113" s="1"/>
      <c r="E1113" s="2" t="str">
        <f ca="1">IFERROR(__xludf.DUMMYFUNCTION("""COMPUTED_VALUE"""),"DRE - TUCURUI")</f>
        <v>DRE - TUCURUI</v>
      </c>
      <c r="F1113" s="1">
        <f ca="1">IFERROR(__xludf.DUMMYFUNCTION("""COMPUTED_VALUE"""),2)</f>
        <v>2</v>
      </c>
      <c r="G1113" s="1" t="str">
        <f ca="1">IFERROR(__xludf.DUMMYFUNCTION("""COMPUTED_VALUE"""),"DRE TUCURUI")</f>
        <v>DRE TUCURUI</v>
      </c>
      <c r="H1113" s="1" t="str">
        <f ca="1">IFERROR(__xludf.DUMMYFUNCTION("""COMPUTED_VALUE"""),"16A URE - TUCURUI")</f>
        <v>16A URE - TUCURUI</v>
      </c>
      <c r="I1113" s="1"/>
      <c r="J1113" s="1" t="str">
        <f ca="1">IFERROR(__xludf.DUMMYFUNCTION("""COMPUTED_VALUE"""),"NOVO REPARTIMENTO")</f>
        <v>NOVO REPARTIMENTO</v>
      </c>
      <c r="K1113" s="1">
        <f ca="1">IFERROR(__xludf.DUMMYFUNCTION("""COMPUTED_VALUE"""),15177521)</f>
        <v>15177521</v>
      </c>
      <c r="L1113" s="2" t="str">
        <f ca="1">IFERROR(__xludf.DUMMYFUNCTION("""COMPUTED_VALUE"""),"001920936790004")</f>
        <v>001920936790004</v>
      </c>
      <c r="M1113" s="2" t="str">
        <f ca="1">IFERROR(__xludf.DUMMYFUNCTION("""COMPUTED_VALUE"""),"1920936790004")</f>
        <v>1920936790004</v>
      </c>
      <c r="N1113" s="1" t="str">
        <f ca="1">IFERROR(__xludf.DUMMYFUNCTION("""COMPUTED_VALUE"""),"ANEXO RURAL PAPA PAULO VI")</f>
        <v>ANEXO RURAL PAPA PAULO VI</v>
      </c>
      <c r="O1113" s="1"/>
      <c r="P1113" s="1"/>
      <c r="Q1113" s="1" t="s">
        <v>1119</v>
      </c>
    </row>
    <row r="1114" spans="1:17" x14ac:dyDescent="0.25">
      <c r="A1114" s="2" t="str">
        <f ca="1">IFERROR(__xludf.DUMMYFUNCTION("""COMPUTED_VALUE"""),"REG DE INT DO LAGO DE TUCURUI")</f>
        <v>REG DE INT DO LAGO DE TUCURUI</v>
      </c>
      <c r="B1114" s="1" t="str">
        <f ca="1">IFERROR(__xludf.DUMMYFUNCTION("""COMPUTED_VALUE"""),"DRE TUCURUI")</f>
        <v>DRE TUCURUI</v>
      </c>
      <c r="C1114" s="2" t="str">
        <f ca="1">IFERROR(__xludf.DUMMYFUNCTION("""COMPUTED_VALUE"""),"DRE - TUCURUI")</f>
        <v>DRE - TUCURUI</v>
      </c>
      <c r="D1114" s="1"/>
      <c r="E1114" s="2" t="str">
        <f ca="1">IFERROR(__xludf.DUMMYFUNCTION("""COMPUTED_VALUE"""),"DRE - TUCURUI")</f>
        <v>DRE - TUCURUI</v>
      </c>
      <c r="F1114" s="1">
        <f ca="1">IFERROR(__xludf.DUMMYFUNCTION("""COMPUTED_VALUE"""),2)</f>
        <v>2</v>
      </c>
      <c r="G1114" s="1" t="str">
        <f ca="1">IFERROR(__xludf.DUMMYFUNCTION("""COMPUTED_VALUE"""),"DRE TUCURUI")</f>
        <v>DRE TUCURUI</v>
      </c>
      <c r="H1114" s="1" t="str">
        <f ca="1">IFERROR(__xludf.DUMMYFUNCTION("""COMPUTED_VALUE"""),"16A URE - TUCURUI")</f>
        <v>16A URE - TUCURUI</v>
      </c>
      <c r="I1114" s="1"/>
      <c r="J1114" s="1" t="str">
        <f ca="1">IFERROR(__xludf.DUMMYFUNCTION("""COMPUTED_VALUE"""),"NOVO REPARTIMENTO")</f>
        <v>NOVO REPARTIMENTO</v>
      </c>
      <c r="K1114" s="1">
        <f ca="1">IFERROR(__xludf.DUMMYFUNCTION("""COMPUTED_VALUE"""),15114686)</f>
        <v>15114686</v>
      </c>
      <c r="L1114" s="2" t="str">
        <f ca="1">IFERROR(__xludf.DUMMYFUNCTION("""COMPUTED_VALUE"""),"001920936790000")</f>
        <v>001920936790000</v>
      </c>
      <c r="M1114" s="2" t="str">
        <f ca="1">IFERROR(__xludf.DUMMYFUNCTION("""COMPUTED_VALUE"""),"1920936790000")</f>
        <v>1920936790000</v>
      </c>
      <c r="N1114" s="1" t="str">
        <f ca="1">IFERROR(__xludf.DUMMYFUNCTION("""COMPUTED_VALUE"""),"EEEM PAPA PAULO VI")</f>
        <v>EEEM PAPA PAULO VI</v>
      </c>
      <c r="O1114" s="1"/>
      <c r="P1114" s="1"/>
      <c r="Q1114" s="1" t="s">
        <v>1119</v>
      </c>
    </row>
    <row r="1115" spans="1:17" x14ac:dyDescent="0.25">
      <c r="A1115" s="2" t="str">
        <f ca="1">IFERROR(__xludf.DUMMYFUNCTION("""COMPUTED_VALUE"""),"REG DE INT DO LAGO DE TUCURUI")</f>
        <v>REG DE INT DO LAGO DE TUCURUI</v>
      </c>
      <c r="B1115" s="1" t="str">
        <f ca="1">IFERROR(__xludf.DUMMYFUNCTION("""COMPUTED_VALUE"""),"DRE TUCURUI")</f>
        <v>DRE TUCURUI</v>
      </c>
      <c r="C1115" s="2" t="str">
        <f ca="1">IFERROR(__xludf.DUMMYFUNCTION("""COMPUTED_VALUE"""),"DRE - TUCURUI")</f>
        <v>DRE - TUCURUI</v>
      </c>
      <c r="D1115" s="1"/>
      <c r="E1115" s="2" t="str">
        <f ca="1">IFERROR(__xludf.DUMMYFUNCTION("""COMPUTED_VALUE"""),"DRE - TUCURUI")</f>
        <v>DRE - TUCURUI</v>
      </c>
      <c r="F1115" s="1">
        <f ca="1">IFERROR(__xludf.DUMMYFUNCTION("""COMPUTED_VALUE"""),2)</f>
        <v>2</v>
      </c>
      <c r="G1115" s="1" t="str">
        <f ca="1">IFERROR(__xludf.DUMMYFUNCTION("""COMPUTED_VALUE"""),"DRE TUCURUI")</f>
        <v>DRE TUCURUI</v>
      </c>
      <c r="H1115" s="1" t="str">
        <f ca="1">IFERROR(__xludf.DUMMYFUNCTION("""COMPUTED_VALUE"""),"16A URE - TUCURUI")</f>
        <v>16A URE - TUCURUI</v>
      </c>
      <c r="I1115" s="1"/>
      <c r="J1115" s="1" t="str">
        <f ca="1">IFERROR(__xludf.DUMMYFUNCTION("""COMPUTED_VALUE"""),"NOVO REPARTIMENTO")</f>
        <v>NOVO REPARTIMENTO</v>
      </c>
      <c r="K1115" s="1">
        <f ca="1">IFERROR(__xludf.DUMMYFUNCTION("""COMPUTED_VALUE"""),15168913)</f>
        <v>15168913</v>
      </c>
      <c r="L1115" s="2" t="str">
        <f ca="1">IFERROR(__xludf.DUMMYFUNCTION("""COMPUTED_VALUE"""),"001920936790001")</f>
        <v>001920936790001</v>
      </c>
      <c r="M1115" s="2" t="str">
        <f ca="1">IFERROR(__xludf.DUMMYFUNCTION("""COMPUTED_VALUE"""),"1920936790001")</f>
        <v>1920936790001</v>
      </c>
      <c r="N1115" s="1" t="str">
        <f ca="1">IFERROR(__xludf.DUMMYFUNCTION("""COMPUTED_VALUE"""),"EEEM PAPA PAULO VI ANEXO I")</f>
        <v>EEEM PAPA PAULO VI ANEXO I</v>
      </c>
      <c r="O1115" s="1"/>
      <c r="P1115" s="1"/>
      <c r="Q1115" s="1" t="s">
        <v>1119</v>
      </c>
    </row>
    <row r="1116" spans="1:17" x14ac:dyDescent="0.25">
      <c r="A1116" s="2" t="str">
        <f ca="1">IFERROR(__xludf.DUMMYFUNCTION("""COMPUTED_VALUE"""),"REG DE INT DO LAGO DE TUCURUI")</f>
        <v>REG DE INT DO LAGO DE TUCURUI</v>
      </c>
      <c r="B1116" s="1" t="str">
        <f ca="1">IFERROR(__xludf.DUMMYFUNCTION("""COMPUTED_VALUE"""),"DRE TUCURUI")</f>
        <v>DRE TUCURUI</v>
      </c>
      <c r="C1116" s="2" t="str">
        <f ca="1">IFERROR(__xludf.DUMMYFUNCTION("""COMPUTED_VALUE"""),"DRE - TUCURUI")</f>
        <v>DRE - TUCURUI</v>
      </c>
      <c r="D1116" s="1"/>
      <c r="E1116" s="2" t="str">
        <f ca="1">IFERROR(__xludf.DUMMYFUNCTION("""COMPUTED_VALUE"""),"DRE - TUCURUI")</f>
        <v>DRE - TUCURUI</v>
      </c>
      <c r="F1116" s="1">
        <f ca="1">IFERROR(__xludf.DUMMYFUNCTION("""COMPUTED_VALUE"""),2)</f>
        <v>2</v>
      </c>
      <c r="G1116" s="1" t="str">
        <f ca="1">IFERROR(__xludf.DUMMYFUNCTION("""COMPUTED_VALUE"""),"DRE TUCURUI")</f>
        <v>DRE TUCURUI</v>
      </c>
      <c r="H1116" s="1" t="str">
        <f ca="1">IFERROR(__xludf.DUMMYFUNCTION("""COMPUTED_VALUE"""),"16A URE - TUCURUI")</f>
        <v>16A URE - TUCURUI</v>
      </c>
      <c r="I1116" s="1"/>
      <c r="J1116" s="1" t="str">
        <f ca="1">IFERROR(__xludf.DUMMYFUNCTION("""COMPUTED_VALUE"""),"NOVO REPARTIMENTO")</f>
        <v>NOVO REPARTIMENTO</v>
      </c>
      <c r="K1116" s="1">
        <f ca="1">IFERROR(__xludf.DUMMYFUNCTION("""COMPUTED_VALUE"""),15168921)</f>
        <v>15168921</v>
      </c>
      <c r="L1116" s="2" t="str">
        <f ca="1">IFERROR(__xludf.DUMMYFUNCTION("""COMPUTED_VALUE"""),"001920936790003")</f>
        <v>001920936790003</v>
      </c>
      <c r="M1116" s="2" t="str">
        <f ca="1">IFERROR(__xludf.DUMMYFUNCTION("""COMPUTED_VALUE"""),"1920936790003")</f>
        <v>1920936790003</v>
      </c>
      <c r="N1116" s="1" t="str">
        <f ca="1">IFERROR(__xludf.DUMMYFUNCTION("""COMPUTED_VALUE"""),"EEEM PAPA PAULO VI ANEXO III")</f>
        <v>EEEM PAPA PAULO VI ANEXO III</v>
      </c>
      <c r="O1116" s="1"/>
      <c r="P1116" s="1"/>
      <c r="Q1116" s="1" t="s">
        <v>1119</v>
      </c>
    </row>
    <row r="1117" spans="1:17" x14ac:dyDescent="0.25">
      <c r="A1117" s="2" t="str">
        <f ca="1">IFERROR(__xludf.DUMMYFUNCTION("""COMPUTED_VALUE"""),"REG DE INT DO LAGO DE TUCURUI")</f>
        <v>REG DE INT DO LAGO DE TUCURUI</v>
      </c>
      <c r="B1117" s="1" t="str">
        <f ca="1">IFERROR(__xludf.DUMMYFUNCTION("""COMPUTED_VALUE"""),"DRE TUCURUI")</f>
        <v>DRE TUCURUI</v>
      </c>
      <c r="C1117" s="2" t="str">
        <f ca="1">IFERROR(__xludf.DUMMYFUNCTION("""COMPUTED_VALUE"""),"DRE - TUCURUI")</f>
        <v>DRE - TUCURUI</v>
      </c>
      <c r="D1117" s="1"/>
      <c r="E1117" s="2" t="str">
        <f ca="1">IFERROR(__xludf.DUMMYFUNCTION("""COMPUTED_VALUE"""),"DRE - TUCURUI")</f>
        <v>DRE - TUCURUI</v>
      </c>
      <c r="F1117" s="1">
        <f ca="1">IFERROR(__xludf.DUMMYFUNCTION("""COMPUTED_VALUE"""),2)</f>
        <v>2</v>
      </c>
      <c r="G1117" s="1" t="str">
        <f ca="1">IFERROR(__xludf.DUMMYFUNCTION("""COMPUTED_VALUE"""),"DRE TUCURUI")</f>
        <v>DRE TUCURUI</v>
      </c>
      <c r="H1117" s="1" t="str">
        <f ca="1">IFERROR(__xludf.DUMMYFUNCTION("""COMPUTED_VALUE"""),"16A URE - TUCURUI")</f>
        <v>16A URE - TUCURUI</v>
      </c>
      <c r="I1117" s="1"/>
      <c r="J1117" s="1" t="str">
        <f ca="1">IFERROR(__xludf.DUMMYFUNCTION("""COMPUTED_VALUE"""),"NOVO REPARTIMENTO")</f>
        <v>NOVO REPARTIMENTO</v>
      </c>
      <c r="K1117" s="1"/>
      <c r="L1117" s="2" t="str">
        <f ca="1">IFERROR(__xludf.DUMMYFUNCTION("""COMPUTED_VALUE"""),"001921036000000")</f>
        <v>001921036000000</v>
      </c>
      <c r="M1117" s="2" t="str">
        <f ca="1">IFERROR(__xludf.DUMMYFUNCTION("""COMPUTED_VALUE"""),"1921036000000")</f>
        <v>1921036000000</v>
      </c>
      <c r="N1117" s="1" t="str">
        <f ca="1">IFERROR(__xludf.DUMMYFUNCTION("""COMPUTED_VALUE"""),"ESCOLA ESTADUAL RURAL DE NOVO REPARTIMENTO")</f>
        <v>ESCOLA ESTADUAL RURAL DE NOVO REPARTIMENTO</v>
      </c>
      <c r="O1117" s="1"/>
      <c r="P1117" s="1"/>
      <c r="Q1117" s="1" t="s">
        <v>1119</v>
      </c>
    </row>
    <row r="1118" spans="1:17" x14ac:dyDescent="0.25">
      <c r="A1118" s="2" t="str">
        <f ca="1">IFERROR(__xludf.DUMMYFUNCTION("""COMPUTED_VALUE"""),"REG DE INTEGRA DO XINGU")</f>
        <v>REG DE INTEGRA DO XINGU</v>
      </c>
      <c r="B1118" s="1" t="str">
        <f ca="1">IFERROR(__xludf.DUMMYFUNCTION("""COMPUTED_VALUE"""),"DRE TUCURUI")</f>
        <v>DRE TUCURUI</v>
      </c>
      <c r="C1118" s="2" t="str">
        <f ca="1">IFERROR(__xludf.DUMMYFUNCTION("""COMPUTED_VALUE"""),"DRE - TUCURUI")</f>
        <v>DRE - TUCURUI</v>
      </c>
      <c r="D1118" s="1"/>
      <c r="E1118" s="2" t="str">
        <f ca="1">IFERROR(__xludf.DUMMYFUNCTION("""COMPUTED_VALUE"""),"DRE - TUCURUI")</f>
        <v>DRE - TUCURUI</v>
      </c>
      <c r="F1118" s="1">
        <f ca="1">IFERROR(__xludf.DUMMYFUNCTION("""COMPUTED_VALUE"""),2)</f>
        <v>2</v>
      </c>
      <c r="G1118" s="1" t="str">
        <f ca="1">IFERROR(__xludf.DUMMYFUNCTION("""COMPUTED_VALUE"""),"DRE TUCURUI")</f>
        <v>DRE TUCURUI</v>
      </c>
      <c r="H1118" s="1" t="str">
        <f ca="1">IFERROR(__xludf.DUMMYFUNCTION("""COMPUTED_VALUE"""),"16A URE - TUCURUI")</f>
        <v>16A URE - TUCURUI</v>
      </c>
      <c r="I1118" s="1"/>
      <c r="J1118" s="1" t="str">
        <f ca="1">IFERROR(__xludf.DUMMYFUNCTION("""COMPUTED_VALUE"""),"PACAJA")</f>
        <v>PACAJA</v>
      </c>
      <c r="K1118" s="1">
        <f ca="1">IFERROR(__xludf.DUMMYFUNCTION("""COMPUTED_VALUE"""),15177564)</f>
        <v>15177564</v>
      </c>
      <c r="L1118" s="2" t="str">
        <f ca="1">IFERROR(__xludf.DUMMYFUNCTION("""COMPUTED_VALUE"""),"001920937450001")</f>
        <v>001920937450001</v>
      </c>
      <c r="M1118" s="2" t="str">
        <f ca="1">IFERROR(__xludf.DUMMYFUNCTION("""COMPUTED_VALUE"""),"1920937450001")</f>
        <v>1920937450001</v>
      </c>
      <c r="N1118" s="1" t="str">
        <f ca="1">IFERROR(__xludf.DUMMYFUNCTION("""COMPUTED_VALUE"""),"ANEXO RURAL DOM JOSE ELIAS CHAVES")</f>
        <v>ANEXO RURAL DOM JOSE ELIAS CHAVES</v>
      </c>
      <c r="O1118" s="1"/>
      <c r="P1118" s="1"/>
      <c r="Q1118" s="1" t="s">
        <v>1119</v>
      </c>
    </row>
    <row r="1119" spans="1:17" x14ac:dyDescent="0.25">
      <c r="A1119" s="2" t="str">
        <f ca="1">IFERROR(__xludf.DUMMYFUNCTION("""COMPUTED_VALUE"""),"REG DE INTEGRA DO XINGU")</f>
        <v>REG DE INTEGRA DO XINGU</v>
      </c>
      <c r="B1119" s="1" t="str">
        <f ca="1">IFERROR(__xludf.DUMMYFUNCTION("""COMPUTED_VALUE"""),"DRE TUCURUI")</f>
        <v>DRE TUCURUI</v>
      </c>
      <c r="C1119" s="2" t="str">
        <f ca="1">IFERROR(__xludf.DUMMYFUNCTION("""COMPUTED_VALUE"""),"DRE - TUCURUI")</f>
        <v>DRE - TUCURUI</v>
      </c>
      <c r="D1119" s="1"/>
      <c r="E1119" s="2" t="str">
        <f ca="1">IFERROR(__xludf.DUMMYFUNCTION("""COMPUTED_VALUE"""),"DRE - TUCURUI")</f>
        <v>DRE - TUCURUI</v>
      </c>
      <c r="F1119" s="1">
        <f ca="1">IFERROR(__xludf.DUMMYFUNCTION("""COMPUTED_VALUE"""),2)</f>
        <v>2</v>
      </c>
      <c r="G1119" s="1" t="str">
        <f ca="1">IFERROR(__xludf.DUMMYFUNCTION("""COMPUTED_VALUE"""),"DRE TUCURUI")</f>
        <v>DRE TUCURUI</v>
      </c>
      <c r="H1119" s="1" t="str">
        <f ca="1">IFERROR(__xludf.DUMMYFUNCTION("""COMPUTED_VALUE"""),"16A URE - TUCURUI")</f>
        <v>16A URE - TUCURUI</v>
      </c>
      <c r="I1119" s="1"/>
      <c r="J1119" s="1" t="str">
        <f ca="1">IFERROR(__xludf.DUMMYFUNCTION("""COMPUTED_VALUE"""),"PACAJA")</f>
        <v>PACAJA</v>
      </c>
      <c r="K1119" s="1">
        <f ca="1">IFERROR(__xludf.DUMMYFUNCTION("""COMPUTED_VALUE"""),15107582)</f>
        <v>15107582</v>
      </c>
      <c r="L1119" s="2" t="str">
        <f ca="1">IFERROR(__xludf.DUMMYFUNCTION("""COMPUTED_VALUE"""),"001920936740000")</f>
        <v>001920936740000</v>
      </c>
      <c r="M1119" s="2" t="str">
        <f ca="1">IFERROR(__xludf.DUMMYFUNCTION("""COMPUTED_VALUE"""),"1920936740000")</f>
        <v>1920936740000</v>
      </c>
      <c r="N1119" s="1" t="str">
        <f ca="1">IFERROR(__xludf.DUMMYFUNCTION("""COMPUTED_VALUE"""),"EEEM ALUISIO LOCH")</f>
        <v>EEEM ALUISIO LOCH</v>
      </c>
      <c r="O1119" s="1"/>
      <c r="P1119" s="1"/>
      <c r="Q1119" s="1" t="s">
        <v>1119</v>
      </c>
    </row>
    <row r="1120" spans="1:17" x14ac:dyDescent="0.25">
      <c r="A1120" s="2" t="str">
        <f ca="1">IFERROR(__xludf.DUMMYFUNCTION("""COMPUTED_VALUE"""),"REG DE INTEGRA DO XINGU")</f>
        <v>REG DE INTEGRA DO XINGU</v>
      </c>
      <c r="B1120" s="1" t="str">
        <f ca="1">IFERROR(__xludf.DUMMYFUNCTION("""COMPUTED_VALUE"""),"DRE TUCURUI")</f>
        <v>DRE TUCURUI</v>
      </c>
      <c r="C1120" s="2" t="str">
        <f ca="1">IFERROR(__xludf.DUMMYFUNCTION("""COMPUTED_VALUE"""),"DRE - TUCURUI")</f>
        <v>DRE - TUCURUI</v>
      </c>
      <c r="D1120" s="1"/>
      <c r="E1120" s="2" t="str">
        <f ca="1">IFERROR(__xludf.DUMMYFUNCTION("""COMPUTED_VALUE"""),"DRE - TUCURUI")</f>
        <v>DRE - TUCURUI</v>
      </c>
      <c r="F1120" s="1">
        <f ca="1">IFERROR(__xludf.DUMMYFUNCTION("""COMPUTED_VALUE"""),2)</f>
        <v>2</v>
      </c>
      <c r="G1120" s="1" t="str">
        <f ca="1">IFERROR(__xludf.DUMMYFUNCTION("""COMPUTED_VALUE"""),"DRE TUCURUI")</f>
        <v>DRE TUCURUI</v>
      </c>
      <c r="H1120" s="1" t="str">
        <f ca="1">IFERROR(__xludf.DUMMYFUNCTION("""COMPUTED_VALUE"""),"16A URE - TUCURUI")</f>
        <v>16A URE - TUCURUI</v>
      </c>
      <c r="I1120" s="1"/>
      <c r="J1120" s="1" t="str">
        <f ca="1">IFERROR(__xludf.DUMMYFUNCTION("""COMPUTED_VALUE"""),"PACAJA")</f>
        <v>PACAJA</v>
      </c>
      <c r="K1120" s="1">
        <f ca="1">IFERROR(__xludf.DUMMYFUNCTION("""COMPUTED_VALUE"""),15211053)</f>
        <v>15211053</v>
      </c>
      <c r="L1120" s="2" t="str">
        <f ca="1">IFERROR(__xludf.DUMMYFUNCTION("""COMPUTED_VALUE"""),"001920937450000")</f>
        <v>001920937450000</v>
      </c>
      <c r="M1120" s="2" t="str">
        <f ca="1">IFERROR(__xludf.DUMMYFUNCTION("""COMPUTED_VALUE"""),"1920937450000")</f>
        <v>1920937450000</v>
      </c>
      <c r="N1120" s="1" t="str">
        <f ca="1">IFERROR(__xludf.DUMMYFUNCTION("""COMPUTED_VALUE"""),"EEEM DOM JOSE ELIAS CHAVES")</f>
        <v>EEEM DOM JOSE ELIAS CHAVES</v>
      </c>
      <c r="O1120" s="1"/>
      <c r="P1120" s="1"/>
      <c r="Q1120" s="1" t="s">
        <v>1119</v>
      </c>
    </row>
    <row r="1121" spans="1:17" x14ac:dyDescent="0.25">
      <c r="A1121" s="2" t="str">
        <f ca="1">IFERROR(__xludf.DUMMYFUNCTION("""COMPUTED_VALUE"""),"REG DE INTEGRA DO XINGU")</f>
        <v>REG DE INTEGRA DO XINGU</v>
      </c>
      <c r="B1121" s="1" t="str">
        <f ca="1">IFERROR(__xludf.DUMMYFUNCTION("""COMPUTED_VALUE"""),"DRE TUCURUI")</f>
        <v>DRE TUCURUI</v>
      </c>
      <c r="C1121" s="2" t="str">
        <f ca="1">IFERROR(__xludf.DUMMYFUNCTION("""COMPUTED_VALUE"""),"DRE - TUCURUI")</f>
        <v>DRE - TUCURUI</v>
      </c>
      <c r="D1121" s="1"/>
      <c r="E1121" s="2" t="str">
        <f ca="1">IFERROR(__xludf.DUMMYFUNCTION("""COMPUTED_VALUE"""),"DRE - TUCURUI")</f>
        <v>DRE - TUCURUI</v>
      </c>
      <c r="F1121" s="1">
        <f ca="1">IFERROR(__xludf.DUMMYFUNCTION("""COMPUTED_VALUE"""),2)</f>
        <v>2</v>
      </c>
      <c r="G1121" s="1" t="str">
        <f ca="1">IFERROR(__xludf.DUMMYFUNCTION("""COMPUTED_VALUE"""),"DRE TUCURUI")</f>
        <v>DRE TUCURUI</v>
      </c>
      <c r="H1121" s="1" t="str">
        <f ca="1">IFERROR(__xludf.DUMMYFUNCTION("""COMPUTED_VALUE"""),"16A URE - TUCURUI")</f>
        <v>16A URE - TUCURUI</v>
      </c>
      <c r="I1121" s="1"/>
      <c r="J1121" s="1" t="str">
        <f ca="1">IFERROR(__xludf.DUMMYFUNCTION("""COMPUTED_VALUE"""),"PACAJA")</f>
        <v>PACAJA</v>
      </c>
      <c r="K1121" s="1"/>
      <c r="L1121" s="2" t="str">
        <f ca="1">IFERROR(__xludf.DUMMYFUNCTION("""COMPUTED_VALUE"""),"001921037000000")</f>
        <v>001921037000000</v>
      </c>
      <c r="M1121" s="2" t="str">
        <f ca="1">IFERROR(__xludf.DUMMYFUNCTION("""COMPUTED_VALUE"""),"1921037000000")</f>
        <v>1921037000000</v>
      </c>
      <c r="N1121" s="1" t="str">
        <f ca="1">IFERROR(__xludf.DUMMYFUNCTION("""COMPUTED_VALUE"""),"ESCOLA ESTADUAL RURAL DE PACAJA")</f>
        <v>ESCOLA ESTADUAL RURAL DE PACAJA</v>
      </c>
      <c r="O1121" s="1"/>
      <c r="P1121" s="1"/>
      <c r="Q1121" s="1" t="s">
        <v>1119</v>
      </c>
    </row>
    <row r="1122" spans="1:17" x14ac:dyDescent="0.25">
      <c r="A1122" s="2" t="str">
        <f ca="1">IFERROR(__xludf.DUMMYFUNCTION("""COMPUTED_VALUE"""),"REG DE INT DO LAGO DE TUCURUI")</f>
        <v>REG DE INT DO LAGO DE TUCURUI</v>
      </c>
      <c r="B1122" s="1" t="str">
        <f ca="1">IFERROR(__xludf.DUMMYFUNCTION("""COMPUTED_VALUE"""),"DRE TUCURUI")</f>
        <v>DRE TUCURUI</v>
      </c>
      <c r="C1122" s="2" t="str">
        <f ca="1">IFERROR(__xludf.DUMMYFUNCTION("""COMPUTED_VALUE"""),"DRE - TUCURUI")</f>
        <v>DRE - TUCURUI</v>
      </c>
      <c r="D1122" s="1"/>
      <c r="E1122" s="2" t="str">
        <f ca="1">IFERROR(__xludf.DUMMYFUNCTION("""COMPUTED_VALUE"""),"DRE - TUCURUI")</f>
        <v>DRE - TUCURUI</v>
      </c>
      <c r="F1122" s="1">
        <f ca="1">IFERROR(__xludf.DUMMYFUNCTION("""COMPUTED_VALUE"""),2)</f>
        <v>2</v>
      </c>
      <c r="G1122" s="1" t="str">
        <f ca="1">IFERROR(__xludf.DUMMYFUNCTION("""COMPUTED_VALUE"""),"DRE TUCURUI")</f>
        <v>DRE TUCURUI</v>
      </c>
      <c r="H1122" s="1" t="str">
        <f ca="1">IFERROR(__xludf.DUMMYFUNCTION("""COMPUTED_VALUE"""),"16A URE - TUCURUI")</f>
        <v>16A URE - TUCURUI</v>
      </c>
      <c r="I1122" s="1"/>
      <c r="J1122" s="1" t="str">
        <f ca="1">IFERROR(__xludf.DUMMYFUNCTION("""COMPUTED_VALUE"""),"TUCURUI")</f>
        <v>TUCURUI</v>
      </c>
      <c r="K1122" s="1"/>
      <c r="L1122" s="2" t="str">
        <f ca="1">IFERROR(__xludf.DUMMYFUNCTION("""COMPUTED_VALUE"""),"001920900160000")</f>
        <v>001920900160000</v>
      </c>
      <c r="M1122" s="2" t="str">
        <f ca="1">IFERROR(__xludf.DUMMYFUNCTION("""COMPUTED_VALUE"""),"1920900160000")</f>
        <v>1920900160000</v>
      </c>
      <c r="N1122" s="1" t="str">
        <f ca="1">IFERROR(__xludf.DUMMYFUNCTION("""COMPUTED_VALUE"""),"16 URE")</f>
        <v>16 URE</v>
      </c>
      <c r="O1122" s="1"/>
      <c r="P1122" s="1"/>
      <c r="Q1122" s="1" t="s">
        <v>1119</v>
      </c>
    </row>
    <row r="1123" spans="1:17" x14ac:dyDescent="0.25">
      <c r="A1123" s="2" t="str">
        <f ca="1">IFERROR(__xludf.DUMMYFUNCTION("""COMPUTED_VALUE"""),"REG DE INT DO LAGO DE TUCURUI")</f>
        <v>REG DE INT DO LAGO DE TUCURUI</v>
      </c>
      <c r="B1123" s="1" t="str">
        <f ca="1">IFERROR(__xludf.DUMMYFUNCTION("""COMPUTED_VALUE"""),"DRE TUCURUI")</f>
        <v>DRE TUCURUI</v>
      </c>
      <c r="C1123" s="2" t="str">
        <f ca="1">IFERROR(__xludf.DUMMYFUNCTION("""COMPUTED_VALUE"""),"DRE - TUCURUI")</f>
        <v>DRE - TUCURUI</v>
      </c>
      <c r="D1123" s="1"/>
      <c r="E1123" s="2" t="str">
        <f ca="1">IFERROR(__xludf.DUMMYFUNCTION("""COMPUTED_VALUE"""),"DRE - TUCURUI")</f>
        <v>DRE - TUCURUI</v>
      </c>
      <c r="F1123" s="1">
        <f ca="1">IFERROR(__xludf.DUMMYFUNCTION("""COMPUTED_VALUE"""),2)</f>
        <v>2</v>
      </c>
      <c r="G1123" s="1" t="str">
        <f ca="1">IFERROR(__xludf.DUMMYFUNCTION("""COMPUTED_VALUE"""),"DRE TUCURUI")</f>
        <v>DRE TUCURUI</v>
      </c>
      <c r="H1123" s="1" t="str">
        <f ca="1">IFERROR(__xludf.DUMMYFUNCTION("""COMPUTED_VALUE"""),"16A URE - TUCURUI")</f>
        <v>16A URE - TUCURUI</v>
      </c>
      <c r="I1123" s="1"/>
      <c r="J1123" s="1" t="str">
        <f ca="1">IFERROR(__xludf.DUMMYFUNCTION("""COMPUTED_VALUE"""),"TUCURUI")</f>
        <v>TUCURUI</v>
      </c>
      <c r="K1123" s="1">
        <f ca="1">IFERROR(__xludf.DUMMYFUNCTION("""COMPUTED_VALUE"""),15177580)</f>
        <v>15177580</v>
      </c>
      <c r="L1123" s="2" t="str">
        <f ca="1">IFERROR(__xludf.DUMMYFUNCTION("""COMPUTED_VALUE"""),"001920911000003")</f>
        <v>001920911000003</v>
      </c>
      <c r="M1123" s="2" t="str">
        <f ca="1">IFERROR(__xludf.DUMMYFUNCTION("""COMPUTED_VALUE"""),"1920911000003")</f>
        <v>1920911000003</v>
      </c>
      <c r="N1123" s="1" t="str">
        <f ca="1">IFERROR(__xludf.DUMMYFUNCTION("""COMPUTED_VALUE"""),"ANEXO RURAL DEP RAIMUNDO RIBEIRO DE SOUZA")</f>
        <v>ANEXO RURAL DEP RAIMUNDO RIBEIRO DE SOUZA</v>
      </c>
      <c r="O1123" s="1"/>
      <c r="P1123" s="1"/>
      <c r="Q1123" s="1" t="s">
        <v>1119</v>
      </c>
    </row>
    <row r="1124" spans="1:17" x14ac:dyDescent="0.25">
      <c r="A1124" s="2" t="str">
        <f ca="1">IFERROR(__xludf.DUMMYFUNCTION("""COMPUTED_VALUE"""),"REG DE INT DO LAGO DE TUCURUI")</f>
        <v>REG DE INT DO LAGO DE TUCURUI</v>
      </c>
      <c r="B1124" s="1" t="str">
        <f ca="1">IFERROR(__xludf.DUMMYFUNCTION("""COMPUTED_VALUE"""),"DRE TUCURUI")</f>
        <v>DRE TUCURUI</v>
      </c>
      <c r="C1124" s="2" t="str">
        <f ca="1">IFERROR(__xludf.DUMMYFUNCTION("""COMPUTED_VALUE"""),"DRE - TUCURUI")</f>
        <v>DRE - TUCURUI</v>
      </c>
      <c r="D1124" s="1"/>
      <c r="E1124" s="2" t="str">
        <f ca="1">IFERROR(__xludf.DUMMYFUNCTION("""COMPUTED_VALUE"""),"DRE - TUCURUI")</f>
        <v>DRE - TUCURUI</v>
      </c>
      <c r="F1124" s="1">
        <f ca="1">IFERROR(__xludf.DUMMYFUNCTION("""COMPUTED_VALUE"""),2)</f>
        <v>2</v>
      </c>
      <c r="G1124" s="1" t="str">
        <f ca="1">IFERROR(__xludf.DUMMYFUNCTION("""COMPUTED_VALUE"""),"DRE TUCURUI")</f>
        <v>DRE TUCURUI</v>
      </c>
      <c r="H1124" s="1" t="str">
        <f ca="1">IFERROR(__xludf.DUMMYFUNCTION("""COMPUTED_VALUE"""),"16A URE - TUCURUI")</f>
        <v>16A URE - TUCURUI</v>
      </c>
      <c r="I1124" s="1"/>
      <c r="J1124" s="1" t="str">
        <f ca="1">IFERROR(__xludf.DUMMYFUNCTION("""COMPUTED_VALUE"""),"TUCURUI")</f>
        <v>TUCURUI</v>
      </c>
      <c r="K1124" s="1">
        <f ca="1">IFERROR(__xludf.DUMMYFUNCTION("""COMPUTED_VALUE"""),15551415)</f>
        <v>15551415</v>
      </c>
      <c r="L1124" s="2" t="str">
        <f ca="1">IFERROR(__xludf.DUMMYFUNCTION("""COMPUTED_VALUE"""),"001920911060000")</f>
        <v>001920911060000</v>
      </c>
      <c r="M1124" s="2" t="str">
        <f ca="1">IFERROR(__xludf.DUMMYFUNCTION("""COMPUTED_VALUE"""),"1920911060000")</f>
        <v>1920911060000</v>
      </c>
      <c r="N1124" s="1" t="str">
        <f ca="1">IFERROR(__xludf.DUMMYFUNCTION("""COMPUTED_VALUE"""),"EEEM ANA PONTES FRANCEZ")</f>
        <v>EEEM ANA PONTES FRANCEZ</v>
      </c>
      <c r="O1124" s="1"/>
      <c r="P1124" s="1"/>
      <c r="Q1124" s="1" t="s">
        <v>1119</v>
      </c>
    </row>
    <row r="1125" spans="1:17" x14ac:dyDescent="0.25">
      <c r="A1125" s="2" t="str">
        <f ca="1">IFERROR(__xludf.DUMMYFUNCTION("""COMPUTED_VALUE"""),"REG DE INT DO LAGO DE TUCURUI")</f>
        <v>REG DE INT DO LAGO DE TUCURUI</v>
      </c>
      <c r="B1125" s="1" t="str">
        <f ca="1">IFERROR(__xludf.DUMMYFUNCTION("""COMPUTED_VALUE"""),"DRE TUCURUI")</f>
        <v>DRE TUCURUI</v>
      </c>
      <c r="C1125" s="2" t="str">
        <f ca="1">IFERROR(__xludf.DUMMYFUNCTION("""COMPUTED_VALUE"""),"DRE - TUCURUI")</f>
        <v>DRE - TUCURUI</v>
      </c>
      <c r="D1125" s="1"/>
      <c r="E1125" s="2" t="str">
        <f ca="1">IFERROR(__xludf.DUMMYFUNCTION("""COMPUTED_VALUE"""),"DRE - TUCURUI")</f>
        <v>DRE - TUCURUI</v>
      </c>
      <c r="F1125" s="1">
        <f ca="1">IFERROR(__xludf.DUMMYFUNCTION("""COMPUTED_VALUE"""),2)</f>
        <v>2</v>
      </c>
      <c r="G1125" s="1" t="str">
        <f ca="1">IFERROR(__xludf.DUMMYFUNCTION("""COMPUTED_VALUE"""),"DRE TUCURUI")</f>
        <v>DRE TUCURUI</v>
      </c>
      <c r="H1125" s="1" t="str">
        <f ca="1">IFERROR(__xludf.DUMMYFUNCTION("""COMPUTED_VALUE"""),"16A URE - TUCURUI")</f>
        <v>16A URE - TUCURUI</v>
      </c>
      <c r="I1125" s="1"/>
      <c r="J1125" s="1" t="str">
        <f ca="1">IFERROR(__xludf.DUMMYFUNCTION("""COMPUTED_VALUE"""),"TUCURUI")</f>
        <v>TUCURUI</v>
      </c>
      <c r="K1125" s="1">
        <f ca="1">IFERROR(__xludf.DUMMYFUNCTION("""COMPUTED_VALUE"""),15115704)</f>
        <v>15115704</v>
      </c>
      <c r="L1125" s="2" t="str">
        <f ca="1">IFERROR(__xludf.DUMMYFUNCTION("""COMPUTED_VALUE"""),"001920911000000")</f>
        <v>001920911000000</v>
      </c>
      <c r="M1125" s="2" t="str">
        <f ca="1">IFERROR(__xludf.DUMMYFUNCTION("""COMPUTED_VALUE"""),"1920911000000")</f>
        <v>1920911000000</v>
      </c>
      <c r="N1125" s="1" t="str">
        <f ca="1">IFERROR(__xludf.DUMMYFUNCTION("""COMPUTED_VALUE"""),"EEEM DEP RAIMUNDO RIBEIRO DE SOUZA")</f>
        <v>EEEM DEP RAIMUNDO RIBEIRO DE SOUZA</v>
      </c>
      <c r="O1125" s="1"/>
      <c r="P1125" s="1"/>
      <c r="Q1125" s="1" t="s">
        <v>1119</v>
      </c>
    </row>
    <row r="1126" spans="1:17" x14ac:dyDescent="0.25">
      <c r="A1126" s="2" t="str">
        <f ca="1">IFERROR(__xludf.DUMMYFUNCTION("""COMPUTED_VALUE"""),"REG DE INT DO LAGO DE TUCURUI")</f>
        <v>REG DE INT DO LAGO DE TUCURUI</v>
      </c>
      <c r="B1126" s="1" t="str">
        <f ca="1">IFERROR(__xludf.DUMMYFUNCTION("""COMPUTED_VALUE"""),"DRE TUCURUI")</f>
        <v>DRE TUCURUI</v>
      </c>
      <c r="C1126" s="2" t="str">
        <f ca="1">IFERROR(__xludf.DUMMYFUNCTION("""COMPUTED_VALUE"""),"DRE - TUCURUI")</f>
        <v>DRE - TUCURUI</v>
      </c>
      <c r="D1126" s="1"/>
      <c r="E1126" s="2" t="str">
        <f ca="1">IFERROR(__xludf.DUMMYFUNCTION("""COMPUTED_VALUE"""),"DRE - TUCURUI")</f>
        <v>DRE - TUCURUI</v>
      </c>
      <c r="F1126" s="1">
        <f ca="1">IFERROR(__xludf.DUMMYFUNCTION("""COMPUTED_VALUE"""),2)</f>
        <v>2</v>
      </c>
      <c r="G1126" s="1" t="str">
        <f ca="1">IFERROR(__xludf.DUMMYFUNCTION("""COMPUTED_VALUE"""),"DRE TUCURUI")</f>
        <v>DRE TUCURUI</v>
      </c>
      <c r="H1126" s="1" t="str">
        <f ca="1">IFERROR(__xludf.DUMMYFUNCTION("""COMPUTED_VALUE"""),"16A URE - TUCURUI")</f>
        <v>16A URE - TUCURUI</v>
      </c>
      <c r="I1126" s="1"/>
      <c r="J1126" s="1" t="str">
        <f ca="1">IFERROR(__xludf.DUMMYFUNCTION("""COMPUTED_VALUE"""),"TUCURUI")</f>
        <v>TUCURUI</v>
      </c>
      <c r="K1126" s="1">
        <f ca="1">IFERROR(__xludf.DUMMYFUNCTION("""COMPUTED_VALUE"""),15551423)</f>
        <v>15551423</v>
      </c>
      <c r="L1126" s="2" t="str">
        <f ca="1">IFERROR(__xludf.DUMMYFUNCTION("""COMPUTED_VALUE"""),"001920927690000")</f>
        <v>001920927690000</v>
      </c>
      <c r="M1126" s="2" t="str">
        <f ca="1">IFERROR(__xludf.DUMMYFUNCTION("""COMPUTED_VALUE"""),"1920927690000")</f>
        <v>1920927690000</v>
      </c>
      <c r="N1126" s="1" t="str">
        <f ca="1">IFERROR(__xludf.DUMMYFUNCTION("""COMPUTED_VALUE"""),"EEEM RUI BARBOSA")</f>
        <v>EEEM RUI BARBOSA</v>
      </c>
      <c r="O1126" s="1"/>
      <c r="P1126" s="1"/>
      <c r="Q1126" s="1" t="s">
        <v>1119</v>
      </c>
    </row>
    <row r="1127" spans="1:17" x14ac:dyDescent="0.25">
      <c r="A1127" s="2" t="str">
        <f ca="1">IFERROR(__xludf.DUMMYFUNCTION("""COMPUTED_VALUE"""),"REG DE INT DO LAGO DE TUCURUI")</f>
        <v>REG DE INT DO LAGO DE TUCURUI</v>
      </c>
      <c r="B1127" s="1" t="str">
        <f ca="1">IFERROR(__xludf.DUMMYFUNCTION("""COMPUTED_VALUE"""),"DRE TUCURUI")</f>
        <v>DRE TUCURUI</v>
      </c>
      <c r="C1127" s="2" t="str">
        <f ca="1">IFERROR(__xludf.DUMMYFUNCTION("""COMPUTED_VALUE"""),"DRE - TUCURUI")</f>
        <v>DRE - TUCURUI</v>
      </c>
      <c r="D1127" s="1"/>
      <c r="E1127" s="2" t="str">
        <f ca="1">IFERROR(__xludf.DUMMYFUNCTION("""COMPUTED_VALUE"""),"DRE - TUCURUI")</f>
        <v>DRE - TUCURUI</v>
      </c>
      <c r="F1127" s="1">
        <f ca="1">IFERROR(__xludf.DUMMYFUNCTION("""COMPUTED_VALUE"""),2)</f>
        <v>2</v>
      </c>
      <c r="G1127" s="1" t="str">
        <f ca="1">IFERROR(__xludf.DUMMYFUNCTION("""COMPUTED_VALUE"""),"DRE TUCURUI")</f>
        <v>DRE TUCURUI</v>
      </c>
      <c r="H1127" s="1" t="str">
        <f ca="1">IFERROR(__xludf.DUMMYFUNCTION("""COMPUTED_VALUE"""),"16A URE - TUCURUI")</f>
        <v>16A URE - TUCURUI</v>
      </c>
      <c r="I1127" s="1"/>
      <c r="J1127" s="1" t="str">
        <f ca="1">IFERROR(__xludf.DUMMYFUNCTION("""COMPUTED_VALUE"""),"TUCURUI")</f>
        <v>TUCURUI</v>
      </c>
      <c r="K1127" s="1">
        <f ca="1">IFERROR(__xludf.DUMMYFUNCTION("""COMPUTED_VALUE"""),15588610)</f>
        <v>15588610</v>
      </c>
      <c r="L1127" s="2" t="str">
        <f ca="1">IFERROR(__xludf.DUMMYFUNCTION("""COMPUTED_VALUE"""),"001920937140000")</f>
        <v>001920937140000</v>
      </c>
      <c r="M1127" s="2" t="str">
        <f ca="1">IFERROR(__xludf.DUMMYFUNCTION("""COMPUTED_VALUE"""),"1920937140000")</f>
        <v>1920937140000</v>
      </c>
      <c r="N1127" s="1" t="str">
        <f ca="1">IFERROR(__xludf.DUMMYFUNCTION("""COMPUTED_VALUE"""),"EEEM SIMAO JACINTO DOS REIS")</f>
        <v>EEEM SIMAO JACINTO DOS REIS</v>
      </c>
      <c r="O1127" s="1"/>
      <c r="P1127" s="1"/>
      <c r="Q1127" s="1" t="s">
        <v>1119</v>
      </c>
    </row>
    <row r="1128" spans="1:17" x14ac:dyDescent="0.25">
      <c r="A1128" s="2" t="str">
        <f ca="1">IFERROR(__xludf.DUMMYFUNCTION("""COMPUTED_VALUE"""),"REG DE INT DO LAGO DE TUCURUI")</f>
        <v>REG DE INT DO LAGO DE TUCURUI</v>
      </c>
      <c r="B1128" s="1" t="str">
        <f ca="1">IFERROR(__xludf.DUMMYFUNCTION("""COMPUTED_VALUE"""),"DRE TUCURUI")</f>
        <v>DRE TUCURUI</v>
      </c>
      <c r="C1128" s="2" t="str">
        <f ca="1">IFERROR(__xludf.DUMMYFUNCTION("""COMPUTED_VALUE"""),"DRE - TUCURUI")</f>
        <v>DRE - TUCURUI</v>
      </c>
      <c r="D1128" s="1"/>
      <c r="E1128" s="2" t="str">
        <f ca="1">IFERROR(__xludf.DUMMYFUNCTION("""COMPUTED_VALUE"""),"DRE - TUCURUI")</f>
        <v>DRE - TUCURUI</v>
      </c>
      <c r="F1128" s="1">
        <f ca="1">IFERROR(__xludf.DUMMYFUNCTION("""COMPUTED_VALUE"""),2)</f>
        <v>2</v>
      </c>
      <c r="G1128" s="1" t="str">
        <f ca="1">IFERROR(__xludf.DUMMYFUNCTION("""COMPUTED_VALUE"""),"DRE TUCURUI")</f>
        <v>DRE TUCURUI</v>
      </c>
      <c r="H1128" s="1" t="str">
        <f ca="1">IFERROR(__xludf.DUMMYFUNCTION("""COMPUTED_VALUE"""),"16A URE - TUCURUI")</f>
        <v>16A URE - TUCURUI</v>
      </c>
      <c r="I1128" s="1"/>
      <c r="J1128" s="1" t="str">
        <f ca="1">IFERROR(__xludf.DUMMYFUNCTION("""COMPUTED_VALUE"""),"TUCURUI")</f>
        <v>TUCURUI</v>
      </c>
      <c r="K1128" s="1"/>
      <c r="L1128" s="2" t="str">
        <f ca="1">IFERROR(__xludf.DUMMYFUNCTION("""COMPUTED_VALUE"""),"001921038000000")</f>
        <v>001921038000000</v>
      </c>
      <c r="M1128" s="2" t="str">
        <f ca="1">IFERROR(__xludf.DUMMYFUNCTION("""COMPUTED_VALUE"""),"1921038000000")</f>
        <v>1921038000000</v>
      </c>
      <c r="N1128" s="1" t="str">
        <f ca="1">IFERROR(__xludf.DUMMYFUNCTION("""COMPUTED_VALUE"""),"ESCOLA ESTADUAL RURAL DE TUCURUI")</f>
        <v>ESCOLA ESTADUAL RURAL DE TUCURUI</v>
      </c>
      <c r="O1128" s="1"/>
      <c r="P1128" s="1"/>
      <c r="Q1128" s="1" t="s">
        <v>1119</v>
      </c>
    </row>
    <row r="1129" spans="1:17" x14ac:dyDescent="0.25">
      <c r="A1129" s="2" t="str">
        <f ca="1">IFERROR(__xludf.DUMMYFUNCTION("""COMPUTED_VALUE"""),"REG DE INTEGRA DO ARAGUAIA")</f>
        <v>REG DE INTEGRA DO ARAGUAIA</v>
      </c>
      <c r="B1129" s="1" t="str">
        <f ca="1">IFERROR(__xludf.DUMMYFUNCTION("""COMPUTED_VALUE"""),"DRE XINGUARA")</f>
        <v>DRE XINGUARA</v>
      </c>
      <c r="C1129" s="2" t="str">
        <f ca="1">IFERROR(__xludf.DUMMYFUNCTION("""COMPUTED_VALUE"""),"DRE - XINGUARA")</f>
        <v>DRE - XINGUARA</v>
      </c>
      <c r="D1129" s="1"/>
      <c r="E1129" s="2" t="str">
        <f ca="1">IFERROR(__xludf.DUMMYFUNCTION("""COMPUTED_VALUE"""),"DRE - XINGUARA")</f>
        <v>DRE - XINGUARA</v>
      </c>
      <c r="F1129" s="1">
        <f ca="1">IFERROR(__xludf.DUMMYFUNCTION("""COMPUTED_VALUE"""),3)</f>
        <v>3</v>
      </c>
      <c r="G1129" s="1"/>
      <c r="H1129" s="1" t="str">
        <f ca="1">IFERROR(__xludf.DUMMYFUNCTION("""COMPUTED_VALUE"""),"22A URE - XINGUARA")</f>
        <v>22A URE - XINGUARA</v>
      </c>
      <c r="I1129" s="1"/>
      <c r="J1129" s="1" t="str">
        <f ca="1">IFERROR(__xludf.DUMMYFUNCTION("""COMPUTED_VALUE"""),"AGUA AZUL DO NORTE")</f>
        <v>AGUA AZUL DO NORTE</v>
      </c>
      <c r="K1129" s="1">
        <f ca="1">IFERROR(__xludf.DUMMYFUNCTION("""COMPUTED_VALUE"""),15177904)</f>
        <v>15177904</v>
      </c>
      <c r="L1129" s="2" t="str">
        <f ca="1">IFERROR(__xludf.DUMMYFUNCTION("""COMPUTED_VALUE"""),"001920937190002")</f>
        <v>001920937190002</v>
      </c>
      <c r="M1129" s="2" t="str">
        <f ca="1">IFERROR(__xludf.DUMMYFUNCTION("""COMPUTED_VALUE"""),"1920937190002")</f>
        <v>1920937190002</v>
      </c>
      <c r="N1129" s="1" t="str">
        <f ca="1">IFERROR(__xludf.DUMMYFUNCTION("""COMPUTED_VALUE"""),"ANEXO RURAL  JOSE LUIZ MARTINS")</f>
        <v>ANEXO RURAL  JOSE LUIZ MARTINS</v>
      </c>
      <c r="O1129" s="1"/>
      <c r="P1129" s="1"/>
      <c r="Q1129" s="1" t="s">
        <v>1143</v>
      </c>
    </row>
    <row r="1130" spans="1:17" x14ac:dyDescent="0.25">
      <c r="A1130" s="2" t="str">
        <f ca="1">IFERROR(__xludf.DUMMYFUNCTION("""COMPUTED_VALUE"""),"REG DE INTEGRA DO ARAGUAIA")</f>
        <v>REG DE INTEGRA DO ARAGUAIA</v>
      </c>
      <c r="B1130" s="1" t="str">
        <f ca="1">IFERROR(__xludf.DUMMYFUNCTION("""COMPUTED_VALUE"""),"DRE XINGUARA")</f>
        <v>DRE XINGUARA</v>
      </c>
      <c r="C1130" s="2" t="str">
        <f ca="1">IFERROR(__xludf.DUMMYFUNCTION("""COMPUTED_VALUE"""),"DRE - XINGUARA")</f>
        <v>DRE - XINGUARA</v>
      </c>
      <c r="D1130" s="1"/>
      <c r="E1130" s="2" t="str">
        <f ca="1">IFERROR(__xludf.DUMMYFUNCTION("""COMPUTED_VALUE"""),"DRE - XINGUARA")</f>
        <v>DRE - XINGUARA</v>
      </c>
      <c r="F1130" s="1">
        <f ca="1">IFERROR(__xludf.DUMMYFUNCTION("""COMPUTED_VALUE"""),3)</f>
        <v>3</v>
      </c>
      <c r="G1130" s="1" t="str">
        <f ca="1">IFERROR(__xludf.DUMMYFUNCTION("""COMPUTED_VALUE"""),"DRE XINGUARA")</f>
        <v>DRE XINGUARA</v>
      </c>
      <c r="H1130" s="1" t="str">
        <f ca="1">IFERROR(__xludf.DUMMYFUNCTION("""COMPUTED_VALUE"""),"22A URE - XINGUARA")</f>
        <v>22A URE - XINGUARA</v>
      </c>
      <c r="I1130" s="1"/>
      <c r="J1130" s="1" t="str">
        <f ca="1">IFERROR(__xludf.DUMMYFUNCTION("""COMPUTED_VALUE"""),"AGUA AZUL DO NORTE")</f>
        <v>AGUA AZUL DO NORTE</v>
      </c>
      <c r="K1130" s="1">
        <f ca="1">IFERROR(__xludf.DUMMYFUNCTION("""COMPUTED_VALUE"""),15123618)</f>
        <v>15123618</v>
      </c>
      <c r="L1130" s="2" t="str">
        <f ca="1">IFERROR(__xludf.DUMMYFUNCTION("""COMPUTED_VALUE"""),"001920937190000")</f>
        <v>001920937190000</v>
      </c>
      <c r="M1130" s="2" t="str">
        <f ca="1">IFERROR(__xludf.DUMMYFUNCTION("""COMPUTED_VALUE"""),"1920937190000")</f>
        <v>1920937190000</v>
      </c>
      <c r="N1130" s="1" t="str">
        <f ca="1">IFERROR(__xludf.DUMMYFUNCTION("""COMPUTED_VALUE"""),"EEEM JOSE LUIZ MARTINS")</f>
        <v>EEEM JOSE LUIZ MARTINS</v>
      </c>
      <c r="O1130" s="1"/>
      <c r="P1130" s="1"/>
      <c r="Q1130" s="1" t="s">
        <v>1143</v>
      </c>
    </row>
    <row r="1131" spans="1:17" x14ac:dyDescent="0.25">
      <c r="A1131" s="2" t="str">
        <f ca="1">IFERROR(__xludf.DUMMYFUNCTION("""COMPUTED_VALUE"""),"REG DE INTEGRA DO ARAGUAIA")</f>
        <v>REG DE INTEGRA DO ARAGUAIA</v>
      </c>
      <c r="B1131" s="1" t="str">
        <f ca="1">IFERROR(__xludf.DUMMYFUNCTION("""COMPUTED_VALUE"""),"DRE XINGUARA")</f>
        <v>DRE XINGUARA</v>
      </c>
      <c r="C1131" s="2" t="str">
        <f ca="1">IFERROR(__xludf.DUMMYFUNCTION("""COMPUTED_VALUE"""),"DRE - XINGUARA")</f>
        <v>DRE - XINGUARA</v>
      </c>
      <c r="D1131" s="1"/>
      <c r="E1131" s="2" t="str">
        <f ca="1">IFERROR(__xludf.DUMMYFUNCTION("""COMPUTED_VALUE"""),"DRE - XINGUARA")</f>
        <v>DRE - XINGUARA</v>
      </c>
      <c r="F1131" s="1">
        <f ca="1">IFERROR(__xludf.DUMMYFUNCTION("""COMPUTED_VALUE"""),3)</f>
        <v>3</v>
      </c>
      <c r="G1131" s="1" t="str">
        <f ca="1">IFERROR(__xludf.DUMMYFUNCTION("""COMPUTED_VALUE"""),"DRE XINGUARA")</f>
        <v>DRE XINGUARA</v>
      </c>
      <c r="H1131" s="1" t="str">
        <f ca="1">IFERROR(__xludf.DUMMYFUNCTION("""COMPUTED_VALUE"""),"22A URE - XINGUARA")</f>
        <v>22A URE - XINGUARA</v>
      </c>
      <c r="I1131" s="1"/>
      <c r="J1131" s="1" t="str">
        <f ca="1">IFERROR(__xludf.DUMMYFUNCTION("""COMPUTED_VALUE"""),"AGUA AZUL DO NORTE")</f>
        <v>AGUA AZUL DO NORTE</v>
      </c>
      <c r="K1131" s="1">
        <f ca="1">IFERROR(__xludf.DUMMYFUNCTION("""COMPUTED_VALUE"""),15169952)</f>
        <v>15169952</v>
      </c>
      <c r="L1131" s="2" t="str">
        <f ca="1">IFERROR(__xludf.DUMMYFUNCTION("""COMPUTED_VALUE"""),"001920937190001")</f>
        <v>001920937190001</v>
      </c>
      <c r="M1131" s="2" t="str">
        <f ca="1">IFERROR(__xludf.DUMMYFUNCTION("""COMPUTED_VALUE"""),"1920937190001")</f>
        <v>1920937190001</v>
      </c>
      <c r="N1131" s="1" t="str">
        <f ca="1">IFERROR(__xludf.DUMMYFUNCTION("""COMPUTED_VALUE"""),"EEEM JOSE LUIZ MARTINS  - ANEXO I")</f>
        <v>EEEM JOSE LUIZ MARTINS  - ANEXO I</v>
      </c>
      <c r="O1131" s="1"/>
      <c r="P1131" s="1"/>
      <c r="Q1131" s="1" t="s">
        <v>1143</v>
      </c>
    </row>
    <row r="1132" spans="1:17" x14ac:dyDescent="0.25">
      <c r="A1132" s="2" t="str">
        <f ca="1">IFERROR(__xludf.DUMMYFUNCTION("""COMPUTED_VALUE"""),"REG DE INTEGRA DO ARAGUAIA")</f>
        <v>REG DE INTEGRA DO ARAGUAIA</v>
      </c>
      <c r="B1132" s="1" t="str">
        <f ca="1">IFERROR(__xludf.DUMMYFUNCTION("""COMPUTED_VALUE"""),"DRE XINGUARA")</f>
        <v>DRE XINGUARA</v>
      </c>
      <c r="C1132" s="2" t="str">
        <f ca="1">IFERROR(__xludf.DUMMYFUNCTION("""COMPUTED_VALUE"""),"DRE - XINGUARA")</f>
        <v>DRE - XINGUARA</v>
      </c>
      <c r="D1132" s="1"/>
      <c r="E1132" s="2" t="str">
        <f ca="1">IFERROR(__xludf.DUMMYFUNCTION("""COMPUTED_VALUE"""),"DRE - XINGUARA")</f>
        <v>DRE - XINGUARA</v>
      </c>
      <c r="F1132" s="1"/>
      <c r="G1132" s="1"/>
      <c r="H1132" s="1" t="str">
        <f ca="1">IFERROR(__xludf.DUMMYFUNCTION("""COMPUTED_VALUE"""),"22A URE - XINGUARA")</f>
        <v>22A URE - XINGUARA</v>
      </c>
      <c r="I1132" s="1"/>
      <c r="J1132" s="1" t="str">
        <f ca="1">IFERROR(__xludf.DUMMYFUNCTION("""COMPUTED_VALUE"""),"AGUA AZUL DO NORTE")</f>
        <v>AGUA AZUL DO NORTE</v>
      </c>
      <c r="K1132" s="1"/>
      <c r="L1132" s="2" t="str">
        <f ca="1">IFERROR(__xludf.DUMMYFUNCTION("""COMPUTED_VALUE"""),"001921054000000")</f>
        <v>001921054000000</v>
      </c>
      <c r="M1132" s="2" t="str">
        <f ca="1">IFERROR(__xludf.DUMMYFUNCTION("""COMPUTED_VALUE"""),"1921054000000")</f>
        <v>1921054000000</v>
      </c>
      <c r="N1132" s="1" t="str">
        <f ca="1">IFERROR(__xludf.DUMMYFUNCTION("""COMPUTED_VALUE"""),"ESCOLA ESTADUAL RURAL DE AGUA AZUL DO NORTE")</f>
        <v>ESCOLA ESTADUAL RURAL DE AGUA AZUL DO NORTE</v>
      </c>
      <c r="O1132" s="1"/>
      <c r="P1132" s="1"/>
      <c r="Q1132" s="1" t="s">
        <v>1143</v>
      </c>
    </row>
    <row r="1133" spans="1:17" x14ac:dyDescent="0.25">
      <c r="A1133" s="2" t="str">
        <f ca="1">IFERROR(__xludf.DUMMYFUNCTION("""COMPUTED_VALUE"""),"REG DE INTEGRA DO ARAGUAIA")</f>
        <v>REG DE INTEGRA DO ARAGUAIA</v>
      </c>
      <c r="B1133" s="1" t="str">
        <f ca="1">IFERROR(__xludf.DUMMYFUNCTION("""COMPUTED_VALUE"""),"DRE XINGUARA")</f>
        <v>DRE XINGUARA</v>
      </c>
      <c r="C1133" s="2" t="str">
        <f ca="1">IFERROR(__xludf.DUMMYFUNCTION("""COMPUTED_VALUE"""),"DRE - XINGUARA")</f>
        <v>DRE - XINGUARA</v>
      </c>
      <c r="D1133" s="1"/>
      <c r="E1133" s="2" t="str">
        <f ca="1">IFERROR(__xludf.DUMMYFUNCTION("""COMPUTED_VALUE"""),"DRE - XINGUARA")</f>
        <v>DRE - XINGUARA</v>
      </c>
      <c r="F1133" s="1">
        <f ca="1">IFERROR(__xludf.DUMMYFUNCTION("""COMPUTED_VALUE"""),3)</f>
        <v>3</v>
      </c>
      <c r="G1133" s="1"/>
      <c r="H1133" s="1" t="str">
        <f ca="1">IFERROR(__xludf.DUMMYFUNCTION("""COMPUTED_VALUE"""),"22A URE - XINGUARA")</f>
        <v>22A URE - XINGUARA</v>
      </c>
      <c r="I1133" s="1"/>
      <c r="J1133" s="1" t="str">
        <f ca="1">IFERROR(__xludf.DUMMYFUNCTION("""COMPUTED_VALUE"""),"BANNACH")</f>
        <v>BANNACH</v>
      </c>
      <c r="K1133" s="1">
        <f ca="1">IFERROR(__xludf.DUMMYFUNCTION("""COMPUTED_VALUE"""),15177947)</f>
        <v>15177947</v>
      </c>
      <c r="L1133" s="2" t="str">
        <f ca="1">IFERROR(__xludf.DUMMYFUNCTION("""COMPUTED_VALUE"""),"001920937000001")</f>
        <v>001920937000001</v>
      </c>
      <c r="M1133" s="2" t="str">
        <f ca="1">IFERROR(__xludf.DUMMYFUNCTION("""COMPUTED_VALUE"""),"1920937000001")</f>
        <v>1920937000001</v>
      </c>
      <c r="N1133" s="1" t="str">
        <f ca="1">IFERROR(__xludf.DUMMYFUNCTION("""COMPUTED_VALUE"""),"ANEXO RURAL GERALDO FERNANDES DE OLIVEIRA")</f>
        <v>ANEXO RURAL GERALDO FERNANDES DE OLIVEIRA</v>
      </c>
      <c r="O1133" s="1"/>
      <c r="P1133" s="1"/>
      <c r="Q1133" s="1" t="s">
        <v>1143</v>
      </c>
    </row>
    <row r="1134" spans="1:17" x14ac:dyDescent="0.25">
      <c r="A1134" s="2" t="str">
        <f ca="1">IFERROR(__xludf.DUMMYFUNCTION("""COMPUTED_VALUE"""),"REG DE INTEGRA DO ARAGUAIA")</f>
        <v>REG DE INTEGRA DO ARAGUAIA</v>
      </c>
      <c r="B1134" s="1" t="str">
        <f ca="1">IFERROR(__xludf.DUMMYFUNCTION("""COMPUTED_VALUE"""),"DRE XINGUARA")</f>
        <v>DRE XINGUARA</v>
      </c>
      <c r="C1134" s="2" t="str">
        <f ca="1">IFERROR(__xludf.DUMMYFUNCTION("""COMPUTED_VALUE"""),"DRE - XINGUARA")</f>
        <v>DRE - XINGUARA</v>
      </c>
      <c r="D1134" s="1"/>
      <c r="E1134" s="2" t="str">
        <f ca="1">IFERROR(__xludf.DUMMYFUNCTION("""COMPUTED_VALUE"""),"DRE - XINGUARA")</f>
        <v>DRE - XINGUARA</v>
      </c>
      <c r="F1134" s="1">
        <f ca="1">IFERROR(__xludf.DUMMYFUNCTION("""COMPUTED_VALUE"""),3)</f>
        <v>3</v>
      </c>
      <c r="G1134" s="1" t="str">
        <f ca="1">IFERROR(__xludf.DUMMYFUNCTION("""COMPUTED_VALUE"""),"DRE XINGUARA")</f>
        <v>DRE XINGUARA</v>
      </c>
      <c r="H1134" s="1" t="str">
        <f ca="1">IFERROR(__xludf.DUMMYFUNCTION("""COMPUTED_VALUE"""),"22A URE - XINGUARA")</f>
        <v>22A URE - XINGUARA</v>
      </c>
      <c r="I1134" s="1"/>
      <c r="J1134" s="1" t="str">
        <f ca="1">IFERROR(__xludf.DUMMYFUNCTION("""COMPUTED_VALUE"""),"BANNACH")</f>
        <v>BANNACH</v>
      </c>
      <c r="K1134" s="1">
        <f ca="1">IFERROR(__xludf.DUMMYFUNCTION("""COMPUTED_VALUE"""),15120864)</f>
        <v>15120864</v>
      </c>
      <c r="L1134" s="2" t="str">
        <f ca="1">IFERROR(__xludf.DUMMYFUNCTION("""COMPUTED_VALUE"""),"001920937000000")</f>
        <v>001920937000000</v>
      </c>
      <c r="M1134" s="2" t="str">
        <f ca="1">IFERROR(__xludf.DUMMYFUNCTION("""COMPUTED_VALUE"""),"1920937000000")</f>
        <v>1920937000000</v>
      </c>
      <c r="N1134" s="1" t="str">
        <f ca="1">IFERROR(__xludf.DUMMYFUNCTION("""COMPUTED_VALUE"""),"EEEM GERALDO FERNANDES DE OLIVEIRA")</f>
        <v>EEEM GERALDO FERNANDES DE OLIVEIRA</v>
      </c>
      <c r="O1134" s="1"/>
      <c r="P1134" s="1"/>
      <c r="Q1134" s="1" t="s">
        <v>1143</v>
      </c>
    </row>
    <row r="1135" spans="1:17" x14ac:dyDescent="0.25">
      <c r="A1135" s="2" t="str">
        <f ca="1">IFERROR(__xludf.DUMMYFUNCTION("""COMPUTED_VALUE"""),"REG DE INTEGRA DO ARAGUAIA")</f>
        <v>REG DE INTEGRA DO ARAGUAIA</v>
      </c>
      <c r="B1135" s="1" t="str">
        <f ca="1">IFERROR(__xludf.DUMMYFUNCTION("""COMPUTED_VALUE"""),"DRE XINGUARA")</f>
        <v>DRE XINGUARA</v>
      </c>
      <c r="C1135" s="2" t="str">
        <f ca="1">IFERROR(__xludf.DUMMYFUNCTION("""COMPUTED_VALUE"""),"DRE - XINGUARA")</f>
        <v>DRE - XINGUARA</v>
      </c>
      <c r="D1135" s="1"/>
      <c r="E1135" s="2" t="str">
        <f ca="1">IFERROR(__xludf.DUMMYFUNCTION("""COMPUTED_VALUE"""),"DRE - XINGUARA")</f>
        <v>DRE - XINGUARA</v>
      </c>
      <c r="F1135" s="1"/>
      <c r="G1135" s="1"/>
      <c r="H1135" s="1" t="str">
        <f ca="1">IFERROR(__xludf.DUMMYFUNCTION("""COMPUTED_VALUE"""),"22A URE - XINGUARA")</f>
        <v>22A URE - XINGUARA</v>
      </c>
      <c r="I1135" s="1"/>
      <c r="J1135" s="1" t="str">
        <f ca="1">IFERROR(__xludf.DUMMYFUNCTION("""COMPUTED_VALUE"""),"BANNACH")</f>
        <v>BANNACH</v>
      </c>
      <c r="K1135" s="1"/>
      <c r="L1135" s="2" t="str">
        <f ca="1">IFERROR(__xludf.DUMMYFUNCTION("""COMPUTED_VALUE"""),"001921055000000")</f>
        <v>001921055000000</v>
      </c>
      <c r="M1135" s="2" t="str">
        <f ca="1">IFERROR(__xludf.DUMMYFUNCTION("""COMPUTED_VALUE"""),"1921055000000")</f>
        <v>1921055000000</v>
      </c>
      <c r="N1135" s="1" t="str">
        <f ca="1">IFERROR(__xludf.DUMMYFUNCTION("""COMPUTED_VALUE"""),"ESCOLA ESTADUAL RURAL DE BANNACH")</f>
        <v>ESCOLA ESTADUAL RURAL DE BANNACH</v>
      </c>
      <c r="O1135" s="1"/>
      <c r="P1135" s="1"/>
      <c r="Q1135" s="1" t="s">
        <v>1143</v>
      </c>
    </row>
    <row r="1136" spans="1:17" x14ac:dyDescent="0.25">
      <c r="A1136" s="2" t="str">
        <f ca="1">IFERROR(__xludf.DUMMYFUNCTION("""COMPUTED_VALUE"""),"REG DE INTEGRA DO ARAGUAIA")</f>
        <v>REG DE INTEGRA DO ARAGUAIA</v>
      </c>
      <c r="B1136" s="1" t="str">
        <f ca="1">IFERROR(__xludf.DUMMYFUNCTION("""COMPUTED_VALUE"""),"DRE XINGUARA")</f>
        <v>DRE XINGUARA</v>
      </c>
      <c r="C1136" s="2" t="str">
        <f ca="1">IFERROR(__xludf.DUMMYFUNCTION("""COMPUTED_VALUE"""),"DRE - XINGUARA")</f>
        <v>DRE - XINGUARA</v>
      </c>
      <c r="D1136" s="1"/>
      <c r="E1136" s="2" t="str">
        <f ca="1">IFERROR(__xludf.DUMMYFUNCTION("""COMPUTED_VALUE"""),"DRE - XINGUARA")</f>
        <v>DRE - XINGUARA</v>
      </c>
      <c r="F1136" s="1">
        <f ca="1">IFERROR(__xludf.DUMMYFUNCTION("""COMPUTED_VALUE"""),3)</f>
        <v>3</v>
      </c>
      <c r="G1136" s="1"/>
      <c r="H1136" s="1" t="str">
        <f ca="1">IFERROR(__xludf.DUMMYFUNCTION("""COMPUTED_VALUE"""),"22A URE - XINGUARA")</f>
        <v>22A URE - XINGUARA</v>
      </c>
      <c r="I1136" s="1"/>
      <c r="J1136" s="1" t="str">
        <f ca="1">IFERROR(__xludf.DUMMYFUNCTION("""COMPUTED_VALUE"""),"OURILANDIA DO NORTE")</f>
        <v>OURILANDIA DO NORTE</v>
      </c>
      <c r="K1136" s="1">
        <f ca="1">IFERROR(__xludf.DUMMYFUNCTION("""COMPUTED_VALUE"""),15178056)</f>
        <v>15178056</v>
      </c>
      <c r="L1136" s="2" t="str">
        <f ca="1">IFERROR(__xludf.DUMMYFUNCTION("""COMPUTED_VALUE"""),"001920936410002")</f>
        <v>001920936410002</v>
      </c>
      <c r="M1136" s="2" t="str">
        <f ca="1">IFERROR(__xludf.DUMMYFUNCTION("""COMPUTED_VALUE"""),"1920936410002")</f>
        <v>1920936410002</v>
      </c>
      <c r="N1136" s="1" t="str">
        <f ca="1">IFERROR(__xludf.DUMMYFUNCTION("""COMPUTED_VALUE"""),"ANEXO RURAL DR ROMILDO VELOSO E SILVA")</f>
        <v>ANEXO RURAL DR ROMILDO VELOSO E SILVA</v>
      </c>
      <c r="O1136" s="1"/>
      <c r="P1136" s="1"/>
      <c r="Q1136" s="1" t="s">
        <v>1143</v>
      </c>
    </row>
    <row r="1137" spans="1:17" x14ac:dyDescent="0.25">
      <c r="A1137" s="2" t="str">
        <f ca="1">IFERROR(__xludf.DUMMYFUNCTION("""COMPUTED_VALUE"""),"REG DE INTEGRA DO ARAGUAIA")</f>
        <v>REG DE INTEGRA DO ARAGUAIA</v>
      </c>
      <c r="B1137" s="1" t="str">
        <f ca="1">IFERROR(__xludf.DUMMYFUNCTION("""COMPUTED_VALUE"""),"DRE XINGUARA")</f>
        <v>DRE XINGUARA</v>
      </c>
      <c r="C1137" s="2" t="str">
        <f ca="1">IFERROR(__xludf.DUMMYFUNCTION("""COMPUTED_VALUE"""),"DRE - XINGUARA")</f>
        <v>DRE - XINGUARA</v>
      </c>
      <c r="D1137" s="1"/>
      <c r="E1137" s="2" t="str">
        <f ca="1">IFERROR(__xludf.DUMMYFUNCTION("""COMPUTED_VALUE"""),"DRE - XINGUARA")</f>
        <v>DRE - XINGUARA</v>
      </c>
      <c r="F1137" s="1">
        <f ca="1">IFERROR(__xludf.DUMMYFUNCTION("""COMPUTED_VALUE"""),3)</f>
        <v>3</v>
      </c>
      <c r="G1137" s="1" t="str">
        <f ca="1">IFERROR(__xludf.DUMMYFUNCTION("""COMPUTED_VALUE"""),"DRE XINGUARA")</f>
        <v>DRE XINGUARA</v>
      </c>
      <c r="H1137" s="1" t="str">
        <f ca="1">IFERROR(__xludf.DUMMYFUNCTION("""COMPUTED_VALUE"""),"22A URE - XINGUARA")</f>
        <v>22A URE - XINGUARA</v>
      </c>
      <c r="I1137" s="1"/>
      <c r="J1137" s="1" t="str">
        <f ca="1">IFERROR(__xludf.DUMMYFUNCTION("""COMPUTED_VALUE"""),"OURILANDIA DO NORTE")</f>
        <v>OURILANDIA DO NORTE</v>
      </c>
      <c r="K1137" s="1">
        <f ca="1">IFERROR(__xludf.DUMMYFUNCTION("""COMPUTED_VALUE"""),15120902)</f>
        <v>15120902</v>
      </c>
      <c r="L1137" s="2" t="str">
        <f ca="1">IFERROR(__xludf.DUMMYFUNCTION("""COMPUTED_VALUE"""),"001920936410000")</f>
        <v>001920936410000</v>
      </c>
      <c r="M1137" s="2" t="str">
        <f ca="1">IFERROR(__xludf.DUMMYFUNCTION("""COMPUTED_VALUE"""),"1920936410000")</f>
        <v>1920936410000</v>
      </c>
      <c r="N1137" s="1" t="str">
        <f ca="1">IFERROR(__xludf.DUMMYFUNCTION("""COMPUTED_VALUE"""),"EEEM DR ROMILDO VELOSO E SILVA")</f>
        <v>EEEM DR ROMILDO VELOSO E SILVA</v>
      </c>
      <c r="O1137" s="1"/>
      <c r="P1137" s="1"/>
      <c r="Q1137" s="1" t="s">
        <v>1143</v>
      </c>
    </row>
    <row r="1138" spans="1:17" x14ac:dyDescent="0.25">
      <c r="A1138" s="2" t="str">
        <f ca="1">IFERROR(__xludf.DUMMYFUNCTION("""COMPUTED_VALUE"""),"REG DE INTEGRA DO ARAGUAIA")</f>
        <v>REG DE INTEGRA DO ARAGUAIA</v>
      </c>
      <c r="B1138" s="1" t="str">
        <f ca="1">IFERROR(__xludf.DUMMYFUNCTION("""COMPUTED_VALUE"""),"DRE XINGUARA")</f>
        <v>DRE XINGUARA</v>
      </c>
      <c r="C1138" s="2" t="str">
        <f ca="1">IFERROR(__xludf.DUMMYFUNCTION("""COMPUTED_VALUE"""),"DRE - XINGUARA")</f>
        <v>DRE - XINGUARA</v>
      </c>
      <c r="D1138" s="1"/>
      <c r="E1138" s="2" t="str">
        <f ca="1">IFERROR(__xludf.DUMMYFUNCTION("""COMPUTED_VALUE"""),"DRE - XINGUARA")</f>
        <v>DRE - XINGUARA</v>
      </c>
      <c r="F1138" s="1"/>
      <c r="G1138" s="1"/>
      <c r="H1138" s="1" t="str">
        <f ca="1">IFERROR(__xludf.DUMMYFUNCTION("""COMPUTED_VALUE"""),"22A URE - XINGUARA")</f>
        <v>22A URE - XINGUARA</v>
      </c>
      <c r="I1138" s="1"/>
      <c r="J1138" s="1" t="str">
        <f ca="1">IFERROR(__xludf.DUMMYFUNCTION("""COMPUTED_VALUE"""),"OURILANDIA DO NORTE")</f>
        <v>OURILANDIA DO NORTE</v>
      </c>
      <c r="K1138" s="1"/>
      <c r="L1138" s="2" t="str">
        <f ca="1">IFERROR(__xludf.DUMMYFUNCTION("""COMPUTED_VALUE"""),"001921056000000")</f>
        <v>001921056000000</v>
      </c>
      <c r="M1138" s="2" t="str">
        <f ca="1">IFERROR(__xludf.DUMMYFUNCTION("""COMPUTED_VALUE"""),"1921056000000")</f>
        <v>1921056000000</v>
      </c>
      <c r="N1138" s="1" t="str">
        <f ca="1">IFERROR(__xludf.DUMMYFUNCTION("""COMPUTED_VALUE"""),"ESCOLA ESTADUAL RURAL DE OURILANDIA DO NORTE")</f>
        <v>ESCOLA ESTADUAL RURAL DE OURILANDIA DO NORTE</v>
      </c>
      <c r="O1138" s="1"/>
      <c r="P1138" s="1"/>
      <c r="Q1138" s="1" t="s">
        <v>1143</v>
      </c>
    </row>
    <row r="1139" spans="1:17" x14ac:dyDescent="0.25">
      <c r="A1139" s="2" t="str">
        <f ca="1">IFERROR(__xludf.DUMMYFUNCTION("""COMPUTED_VALUE"""),"REG DE INTEGRA DO ARAGUAIA")</f>
        <v>REG DE INTEGRA DO ARAGUAIA</v>
      </c>
      <c r="B1139" s="1" t="str">
        <f ca="1">IFERROR(__xludf.DUMMYFUNCTION("""COMPUTED_VALUE"""),"DRE XINGUARA")</f>
        <v>DRE XINGUARA</v>
      </c>
      <c r="C1139" s="2" t="str">
        <f ca="1">IFERROR(__xludf.DUMMYFUNCTION("""COMPUTED_VALUE"""),"DRE - XINGUARA")</f>
        <v>DRE - XINGUARA</v>
      </c>
      <c r="D1139" s="1"/>
      <c r="E1139" s="2" t="str">
        <f ca="1">IFERROR(__xludf.DUMMYFUNCTION("""COMPUTED_VALUE"""),"DRE - XINGUARA")</f>
        <v>DRE - XINGUARA</v>
      </c>
      <c r="F1139" s="1">
        <f ca="1">IFERROR(__xludf.DUMMYFUNCTION("""COMPUTED_VALUE"""),3)</f>
        <v>3</v>
      </c>
      <c r="G1139" s="1"/>
      <c r="H1139" s="1" t="str">
        <f ca="1">IFERROR(__xludf.DUMMYFUNCTION("""COMPUTED_VALUE"""),"22A URE - XINGUARA")</f>
        <v>22A URE - XINGUARA</v>
      </c>
      <c r="I1139" s="1"/>
      <c r="J1139" s="1" t="str">
        <f ca="1">IFERROR(__xludf.DUMMYFUNCTION("""COMPUTED_VALUE"""),"RIO MARIA")</f>
        <v>RIO MARIA</v>
      </c>
      <c r="K1139" s="1">
        <f ca="1">IFERROR(__xludf.DUMMYFUNCTION("""COMPUTED_VALUE"""),15178080)</f>
        <v>15178080</v>
      </c>
      <c r="L1139" s="2" t="str">
        <f ca="1">IFERROR(__xludf.DUMMYFUNCTION("""COMPUTED_VALUE"""),"001920912810005")</f>
        <v>001920912810005</v>
      </c>
      <c r="M1139" s="2" t="str">
        <f ca="1">IFERROR(__xludf.DUMMYFUNCTION("""COMPUTED_VALUE"""),"1920912810005")</f>
        <v>1920912810005</v>
      </c>
      <c r="N1139" s="1" t="str">
        <f ca="1">IFERROR(__xludf.DUMMYFUNCTION("""COMPUTED_VALUE"""),"ANEXO RURAL SEN CATETE PINHEIRO")</f>
        <v>ANEXO RURAL SEN CATETE PINHEIRO</v>
      </c>
      <c r="O1139" s="1"/>
      <c r="P1139" s="1"/>
      <c r="Q1139" s="1" t="s">
        <v>1143</v>
      </c>
    </row>
    <row r="1140" spans="1:17" x14ac:dyDescent="0.25">
      <c r="A1140" s="2" t="str">
        <f ca="1">IFERROR(__xludf.DUMMYFUNCTION("""COMPUTED_VALUE"""),"REG DE INTEGRA DO ARAGUAIA")</f>
        <v>REG DE INTEGRA DO ARAGUAIA</v>
      </c>
      <c r="B1140" s="1" t="str">
        <f ca="1">IFERROR(__xludf.DUMMYFUNCTION("""COMPUTED_VALUE"""),"DRE XINGUARA")</f>
        <v>DRE XINGUARA</v>
      </c>
      <c r="C1140" s="2" t="str">
        <f ca="1">IFERROR(__xludf.DUMMYFUNCTION("""COMPUTED_VALUE"""),"DRE - XINGUARA")</f>
        <v>DRE - XINGUARA</v>
      </c>
      <c r="D1140" s="1"/>
      <c r="E1140" s="2" t="str">
        <f ca="1">IFERROR(__xludf.DUMMYFUNCTION("""COMPUTED_VALUE"""),"DRE - XINGUARA")</f>
        <v>DRE - XINGUARA</v>
      </c>
      <c r="F1140" s="1">
        <f ca="1">IFERROR(__xludf.DUMMYFUNCTION("""COMPUTED_VALUE"""),3)</f>
        <v>3</v>
      </c>
      <c r="G1140" s="1" t="str">
        <f ca="1">IFERROR(__xludf.DUMMYFUNCTION("""COMPUTED_VALUE"""),"DRE XINGUARA")</f>
        <v>DRE XINGUARA</v>
      </c>
      <c r="H1140" s="1" t="str">
        <f ca="1">IFERROR(__xludf.DUMMYFUNCTION("""COMPUTED_VALUE"""),"22A URE - XINGUARA")</f>
        <v>22A URE - XINGUARA</v>
      </c>
      <c r="I1140" s="1"/>
      <c r="J1140" s="1" t="str">
        <f ca="1">IFERROR(__xludf.DUMMYFUNCTION("""COMPUTED_VALUE"""),"RIO MARIA")</f>
        <v>RIO MARIA</v>
      </c>
      <c r="K1140" s="1">
        <f ca="1">IFERROR(__xludf.DUMMYFUNCTION("""COMPUTED_VALUE"""),15131831)</f>
        <v>15131831</v>
      </c>
      <c r="L1140" s="2" t="str">
        <f ca="1">IFERROR(__xludf.DUMMYFUNCTION("""COMPUTED_VALUE"""),"001920912810000")</f>
        <v>001920912810000</v>
      </c>
      <c r="M1140" s="2" t="str">
        <f ca="1">IFERROR(__xludf.DUMMYFUNCTION("""COMPUTED_VALUE"""),"1920912810000")</f>
        <v>1920912810000</v>
      </c>
      <c r="N1140" s="1" t="str">
        <f ca="1">IFERROR(__xludf.DUMMYFUNCTION("""COMPUTED_VALUE"""),"EEEM SEN CATETE PINHEIRO SEDE")</f>
        <v>EEEM SEN CATETE PINHEIRO SEDE</v>
      </c>
      <c r="O1140" s="1"/>
      <c r="P1140" s="1"/>
      <c r="Q1140" s="1" t="s">
        <v>1143</v>
      </c>
    </row>
    <row r="1141" spans="1:17" x14ac:dyDescent="0.25">
      <c r="A1141" s="2" t="str">
        <f ca="1">IFERROR(__xludf.DUMMYFUNCTION("""COMPUTED_VALUE"""),"REG DE INTEGRA DO ARAGUAIA")</f>
        <v>REG DE INTEGRA DO ARAGUAIA</v>
      </c>
      <c r="B1141" s="1" t="str">
        <f ca="1">IFERROR(__xludf.DUMMYFUNCTION("""COMPUTED_VALUE"""),"DRE XINGUARA")</f>
        <v>DRE XINGUARA</v>
      </c>
      <c r="C1141" s="2" t="str">
        <f ca="1">IFERROR(__xludf.DUMMYFUNCTION("""COMPUTED_VALUE"""),"DRE - XINGUARA")</f>
        <v>DRE - XINGUARA</v>
      </c>
      <c r="D1141" s="1"/>
      <c r="E1141" s="2" t="str">
        <f ca="1">IFERROR(__xludf.DUMMYFUNCTION("""COMPUTED_VALUE"""),"DRE - XINGUARA")</f>
        <v>DRE - XINGUARA</v>
      </c>
      <c r="F1141" s="1"/>
      <c r="G1141" s="1"/>
      <c r="H1141" s="1" t="str">
        <f ca="1">IFERROR(__xludf.DUMMYFUNCTION("""COMPUTED_VALUE"""),"22A URE - XINGUARA")</f>
        <v>22A URE - XINGUARA</v>
      </c>
      <c r="I1141" s="1"/>
      <c r="J1141" s="1" t="str">
        <f ca="1">IFERROR(__xludf.DUMMYFUNCTION("""COMPUTED_VALUE"""),"RIO MARIA")</f>
        <v>RIO MARIA</v>
      </c>
      <c r="K1141" s="1"/>
      <c r="L1141" s="2" t="str">
        <f ca="1">IFERROR(__xludf.DUMMYFUNCTION("""COMPUTED_VALUE"""),"001921057000000")</f>
        <v>001921057000000</v>
      </c>
      <c r="M1141" s="2" t="str">
        <f ca="1">IFERROR(__xludf.DUMMYFUNCTION("""COMPUTED_VALUE"""),"1921057000000")</f>
        <v>1921057000000</v>
      </c>
      <c r="N1141" s="1" t="str">
        <f ca="1">IFERROR(__xludf.DUMMYFUNCTION("""COMPUTED_VALUE"""),"ESCOLA ESTADUAL RURAL DE RIO MARIA")</f>
        <v>ESCOLA ESTADUAL RURAL DE RIO MARIA</v>
      </c>
      <c r="O1141" s="1"/>
      <c r="P1141" s="1"/>
      <c r="Q1141" s="1" t="s">
        <v>1143</v>
      </c>
    </row>
    <row r="1142" spans="1:17" x14ac:dyDescent="0.25">
      <c r="A1142" s="2" t="str">
        <f ca="1">IFERROR(__xludf.DUMMYFUNCTION("""COMPUTED_VALUE"""),"REG DE INTEGRA DO ARAGUAIA")</f>
        <v>REG DE INTEGRA DO ARAGUAIA</v>
      </c>
      <c r="B1142" s="1" t="str">
        <f ca="1">IFERROR(__xludf.DUMMYFUNCTION("""COMPUTED_VALUE"""),"DRE XINGUARA")</f>
        <v>DRE XINGUARA</v>
      </c>
      <c r="C1142" s="2" t="str">
        <f ca="1">IFERROR(__xludf.DUMMYFUNCTION("""COMPUTED_VALUE"""),"DRE - XINGUARA")</f>
        <v>DRE - XINGUARA</v>
      </c>
      <c r="D1142" s="1"/>
      <c r="E1142" s="2" t="str">
        <f ca="1">IFERROR(__xludf.DUMMYFUNCTION("""COMPUTED_VALUE"""),"DRE - XINGUARA")</f>
        <v>DRE - XINGUARA</v>
      </c>
      <c r="F1142" s="1">
        <f ca="1">IFERROR(__xludf.DUMMYFUNCTION("""COMPUTED_VALUE"""),3)</f>
        <v>3</v>
      </c>
      <c r="G1142" s="1"/>
      <c r="H1142" s="1" t="str">
        <f ca="1">IFERROR(__xludf.DUMMYFUNCTION("""COMPUTED_VALUE"""),"22A URE - XINGUARA")</f>
        <v>22A URE - XINGUARA</v>
      </c>
      <c r="I1142" s="1"/>
      <c r="J1142" s="1" t="str">
        <f ca="1">IFERROR(__xludf.DUMMYFUNCTION("""COMPUTED_VALUE"""),"SAO FELIX DO XINGU")</f>
        <v>SAO FELIX DO XINGU</v>
      </c>
      <c r="K1142" s="1">
        <f ca="1">IFERROR(__xludf.DUMMYFUNCTION("""COMPUTED_VALUE"""),15178102)</f>
        <v>15178102</v>
      </c>
      <c r="L1142" s="2" t="str">
        <f ca="1">IFERROR(__xludf.DUMMYFUNCTION("""COMPUTED_VALUE"""),"001920907550004")</f>
        <v>001920907550004</v>
      </c>
      <c r="M1142" s="2" t="str">
        <f ca="1">IFERROR(__xludf.DUMMYFUNCTION("""COMPUTED_VALUE"""),"1920907550004")</f>
        <v>1920907550004</v>
      </c>
      <c r="N1142" s="1" t="str">
        <f ca="1">IFERROR(__xludf.DUMMYFUNCTION("""COMPUTED_VALUE"""),"ANEXO RURAL CARMINA GOMES")</f>
        <v>ANEXO RURAL CARMINA GOMES</v>
      </c>
      <c r="O1142" s="1"/>
      <c r="P1142" s="1"/>
      <c r="Q1142" s="1" t="s">
        <v>1143</v>
      </c>
    </row>
    <row r="1143" spans="1:17" x14ac:dyDescent="0.25">
      <c r="A1143" s="2" t="str">
        <f ca="1">IFERROR(__xludf.DUMMYFUNCTION("""COMPUTED_VALUE"""),"REG DE INTEGRA DO ARAGUAIA")</f>
        <v>REG DE INTEGRA DO ARAGUAIA</v>
      </c>
      <c r="B1143" s="1" t="str">
        <f ca="1">IFERROR(__xludf.DUMMYFUNCTION("""COMPUTED_VALUE"""),"DRE XINGUARA")</f>
        <v>DRE XINGUARA</v>
      </c>
      <c r="C1143" s="2" t="str">
        <f ca="1">IFERROR(__xludf.DUMMYFUNCTION("""COMPUTED_VALUE"""),"DRE - XINGUARA")</f>
        <v>DRE - XINGUARA</v>
      </c>
      <c r="D1143" s="1"/>
      <c r="E1143" s="2" t="str">
        <f ca="1">IFERROR(__xludf.DUMMYFUNCTION("""COMPUTED_VALUE"""),"DRE - XINGUARA")</f>
        <v>DRE - XINGUARA</v>
      </c>
      <c r="F1143" s="1">
        <f ca="1">IFERROR(__xludf.DUMMYFUNCTION("""COMPUTED_VALUE"""),3)</f>
        <v>3</v>
      </c>
      <c r="G1143" s="1" t="str">
        <f ca="1">IFERROR(__xludf.DUMMYFUNCTION("""COMPUTED_VALUE"""),"DRE XINGUARA")</f>
        <v>DRE XINGUARA</v>
      </c>
      <c r="H1143" s="1" t="str">
        <f ca="1">IFERROR(__xludf.DUMMYFUNCTION("""COMPUTED_VALUE"""),"22A URE - XINGUARA")</f>
        <v>22A URE - XINGUARA</v>
      </c>
      <c r="I1143" s="1"/>
      <c r="J1143" s="1" t="str">
        <f ca="1">IFERROR(__xludf.DUMMYFUNCTION("""COMPUTED_VALUE"""),"SAO FELIX DO XINGU")</f>
        <v>SAO FELIX DO XINGU</v>
      </c>
      <c r="K1143" s="1">
        <f ca="1">IFERROR(__xludf.DUMMYFUNCTION("""COMPUTED_VALUE"""),15121607)</f>
        <v>15121607</v>
      </c>
      <c r="L1143" s="2" t="str">
        <f ca="1">IFERROR(__xludf.DUMMYFUNCTION("""COMPUTED_VALUE"""),"001920907550000")</f>
        <v>001920907550000</v>
      </c>
      <c r="M1143" s="2" t="str">
        <f ca="1">IFERROR(__xludf.DUMMYFUNCTION("""COMPUTED_VALUE"""),"1920907550000")</f>
        <v>1920907550000</v>
      </c>
      <c r="N1143" s="1" t="str">
        <f ca="1">IFERROR(__xludf.DUMMYFUNCTION("""COMPUTED_VALUE"""),"EEEM CARMINA GOMES")</f>
        <v>EEEM CARMINA GOMES</v>
      </c>
      <c r="O1143" s="1"/>
      <c r="P1143" s="1"/>
      <c r="Q1143" s="1" t="s">
        <v>1143</v>
      </c>
    </row>
    <row r="1144" spans="1:17" x14ac:dyDescent="0.25">
      <c r="A1144" s="2" t="str">
        <f ca="1">IFERROR(__xludf.DUMMYFUNCTION("""COMPUTED_VALUE"""),"REG DE INTEGRA DO ARAGUAIA")</f>
        <v>REG DE INTEGRA DO ARAGUAIA</v>
      </c>
      <c r="B1144" s="1" t="str">
        <f ca="1">IFERROR(__xludf.DUMMYFUNCTION("""COMPUTED_VALUE"""),"DRE XINGUARA")</f>
        <v>DRE XINGUARA</v>
      </c>
      <c r="C1144" s="2" t="str">
        <f ca="1">IFERROR(__xludf.DUMMYFUNCTION("""COMPUTED_VALUE"""),"DRE - XINGUARA")</f>
        <v>DRE - XINGUARA</v>
      </c>
      <c r="D1144" s="1"/>
      <c r="E1144" s="2" t="str">
        <f ca="1">IFERROR(__xludf.DUMMYFUNCTION("""COMPUTED_VALUE"""),"DRE - XINGUARA")</f>
        <v>DRE - XINGUARA</v>
      </c>
      <c r="F1144" s="1">
        <f ca="1">IFERROR(__xludf.DUMMYFUNCTION("""COMPUTED_VALUE"""),3)</f>
        <v>3</v>
      </c>
      <c r="G1144" s="1" t="str">
        <f ca="1">IFERROR(__xludf.DUMMYFUNCTION("""COMPUTED_VALUE"""),"DRE XINGUARA")</f>
        <v>DRE XINGUARA</v>
      </c>
      <c r="H1144" s="1" t="str">
        <f ca="1">IFERROR(__xludf.DUMMYFUNCTION("""COMPUTED_VALUE"""),"22A URE - XINGUARA")</f>
        <v>22A URE - XINGUARA</v>
      </c>
      <c r="I1144" s="1"/>
      <c r="J1144" s="1" t="str">
        <f ca="1">IFERROR(__xludf.DUMMYFUNCTION("""COMPUTED_VALUE"""),"SAO FELIX DO XINGU")</f>
        <v>SAO FELIX DO XINGU</v>
      </c>
      <c r="K1144" s="1">
        <f ca="1">IFERROR(__xludf.DUMMYFUNCTION("""COMPUTED_VALUE"""),15170160)</f>
        <v>15170160</v>
      </c>
      <c r="L1144" s="2" t="str">
        <f ca="1">IFERROR(__xludf.DUMMYFUNCTION("""COMPUTED_VALUE"""),"001920907550003")</f>
        <v>001920907550003</v>
      </c>
      <c r="M1144" s="2" t="str">
        <f ca="1">IFERROR(__xludf.DUMMYFUNCTION("""COMPUTED_VALUE"""),"1920907550003")</f>
        <v>1920907550003</v>
      </c>
      <c r="N1144" s="1" t="str">
        <f ca="1">IFERROR(__xludf.DUMMYFUNCTION("""COMPUTED_VALUE"""),"EEEM CARMINA GOMES - ANEXO III")</f>
        <v>EEEM CARMINA GOMES - ANEXO III</v>
      </c>
      <c r="O1144" s="1"/>
      <c r="P1144" s="1"/>
      <c r="Q1144" s="1" t="s">
        <v>1143</v>
      </c>
    </row>
    <row r="1145" spans="1:17" x14ac:dyDescent="0.25">
      <c r="A1145" s="2" t="str">
        <f ca="1">IFERROR(__xludf.DUMMYFUNCTION("""COMPUTED_VALUE"""),"REG DE INTEGRA DO ARAGUAIA")</f>
        <v>REG DE INTEGRA DO ARAGUAIA</v>
      </c>
      <c r="B1145" s="1" t="str">
        <f ca="1">IFERROR(__xludf.DUMMYFUNCTION("""COMPUTED_VALUE"""),"DRE XINGUARA")</f>
        <v>DRE XINGUARA</v>
      </c>
      <c r="C1145" s="2" t="str">
        <f ca="1">IFERROR(__xludf.DUMMYFUNCTION("""COMPUTED_VALUE"""),"DRE - XINGUARA")</f>
        <v>DRE - XINGUARA</v>
      </c>
      <c r="D1145" s="1"/>
      <c r="E1145" s="2" t="str">
        <f ca="1">IFERROR(__xludf.DUMMYFUNCTION("""COMPUTED_VALUE"""),"DRE - XINGUARA")</f>
        <v>DRE - XINGUARA</v>
      </c>
      <c r="F1145" s="1">
        <f ca="1">IFERROR(__xludf.DUMMYFUNCTION("""COMPUTED_VALUE"""),3)</f>
        <v>3</v>
      </c>
      <c r="G1145" s="1" t="str">
        <f ca="1">IFERROR(__xludf.DUMMYFUNCTION("""COMPUTED_VALUE"""),"DRE XINGUARA")</f>
        <v>DRE XINGUARA</v>
      </c>
      <c r="H1145" s="1" t="str">
        <f ca="1">IFERROR(__xludf.DUMMYFUNCTION("""COMPUTED_VALUE"""),"22A URE - XINGUARA")</f>
        <v>22A URE - XINGUARA</v>
      </c>
      <c r="I1145" s="1"/>
      <c r="J1145" s="1" t="str">
        <f ca="1">IFERROR(__xludf.DUMMYFUNCTION("""COMPUTED_VALUE"""),"SAO FELIX DO XINGU")</f>
        <v>SAO FELIX DO XINGU</v>
      </c>
      <c r="K1145" s="1">
        <f ca="1">IFERROR(__xludf.DUMMYFUNCTION("""COMPUTED_VALUE"""),15168859)</f>
        <v>15168859</v>
      </c>
      <c r="L1145" s="2" t="str">
        <f ca="1">IFERROR(__xludf.DUMMYFUNCTION("""COMPUTED_VALUE"""),"001920907550002")</f>
        <v>001920907550002</v>
      </c>
      <c r="M1145" s="2" t="str">
        <f ca="1">IFERROR(__xludf.DUMMYFUNCTION("""COMPUTED_VALUE"""),"1920907550002")</f>
        <v>1920907550002</v>
      </c>
      <c r="N1145" s="1" t="str">
        <f ca="1">IFERROR(__xludf.DUMMYFUNCTION("""COMPUTED_VALUE"""),"EEEM CARMINA GOMES ANEXO II")</f>
        <v>EEEM CARMINA GOMES ANEXO II</v>
      </c>
      <c r="O1145" s="1"/>
      <c r="P1145" s="1"/>
      <c r="Q1145" s="1" t="s">
        <v>1143</v>
      </c>
    </row>
    <row r="1146" spans="1:17" x14ac:dyDescent="0.25">
      <c r="A1146" s="2" t="str">
        <f ca="1">IFERROR(__xludf.DUMMYFUNCTION("""COMPUTED_VALUE"""),"REG DE INTEGRA DO ARAGUAIA")</f>
        <v>REG DE INTEGRA DO ARAGUAIA</v>
      </c>
      <c r="B1146" s="1" t="str">
        <f ca="1">IFERROR(__xludf.DUMMYFUNCTION("""COMPUTED_VALUE"""),"DRE XINGUARA")</f>
        <v>DRE XINGUARA</v>
      </c>
      <c r="C1146" s="2" t="str">
        <f ca="1">IFERROR(__xludf.DUMMYFUNCTION("""COMPUTED_VALUE"""),"DRE - XINGUARA")</f>
        <v>DRE - XINGUARA</v>
      </c>
      <c r="D1146" s="1"/>
      <c r="E1146" s="2" t="str">
        <f ca="1">IFERROR(__xludf.DUMMYFUNCTION("""COMPUTED_VALUE"""),"DRE - XINGUARA")</f>
        <v>DRE - XINGUARA</v>
      </c>
      <c r="F1146" s="1"/>
      <c r="G1146" s="1"/>
      <c r="H1146" s="1" t="str">
        <f ca="1">IFERROR(__xludf.DUMMYFUNCTION("""COMPUTED_VALUE"""),"22A URE - XINGUARA")</f>
        <v>22A URE - XINGUARA</v>
      </c>
      <c r="I1146" s="1"/>
      <c r="J1146" s="1" t="str">
        <f ca="1">IFERROR(__xludf.DUMMYFUNCTION("""COMPUTED_VALUE"""),"SAO FELIX DO XINGU")</f>
        <v>SAO FELIX DO XINGU</v>
      </c>
      <c r="K1146" s="1"/>
      <c r="L1146" s="2" t="str">
        <f ca="1">IFERROR(__xludf.DUMMYFUNCTION("""COMPUTED_VALUE"""),"001921058000000")</f>
        <v>001921058000000</v>
      </c>
      <c r="M1146" s="2" t="str">
        <f ca="1">IFERROR(__xludf.DUMMYFUNCTION("""COMPUTED_VALUE"""),"1921058000000")</f>
        <v>1921058000000</v>
      </c>
      <c r="N1146" s="1" t="str">
        <f ca="1">IFERROR(__xludf.DUMMYFUNCTION("""COMPUTED_VALUE"""),"ESCOLA ESTADUAL RURAL DE SAO FELIX DO XINGU")</f>
        <v>ESCOLA ESTADUAL RURAL DE SAO FELIX DO XINGU</v>
      </c>
      <c r="O1146" s="1"/>
      <c r="P1146" s="1"/>
      <c r="Q1146" s="1" t="s">
        <v>1143</v>
      </c>
    </row>
    <row r="1147" spans="1:17" x14ac:dyDescent="0.25">
      <c r="A1147" s="2" t="str">
        <f ca="1">IFERROR(__xludf.DUMMYFUNCTION("""COMPUTED_VALUE"""),"REG DE INTEGRA DO ARAGUAIA")</f>
        <v>REG DE INTEGRA DO ARAGUAIA</v>
      </c>
      <c r="B1147" s="1" t="str">
        <f ca="1">IFERROR(__xludf.DUMMYFUNCTION("""COMPUTED_VALUE"""),"DRE XINGUARA")</f>
        <v>DRE XINGUARA</v>
      </c>
      <c r="C1147" s="2" t="str">
        <f ca="1">IFERROR(__xludf.DUMMYFUNCTION("""COMPUTED_VALUE"""),"DRE - XINGUARA")</f>
        <v>DRE - XINGUARA</v>
      </c>
      <c r="D1147" s="1"/>
      <c r="E1147" s="2" t="str">
        <f ca="1">IFERROR(__xludf.DUMMYFUNCTION("""COMPUTED_VALUE"""),"DRE - XINGUARA")</f>
        <v>DRE - XINGUARA</v>
      </c>
      <c r="F1147" s="1">
        <f ca="1">IFERROR(__xludf.DUMMYFUNCTION("""COMPUTED_VALUE"""),3)</f>
        <v>3</v>
      </c>
      <c r="G1147" s="1" t="str">
        <f ca="1">IFERROR(__xludf.DUMMYFUNCTION("""COMPUTED_VALUE"""),"DRE XINGUARA")</f>
        <v>DRE XINGUARA</v>
      </c>
      <c r="H1147" s="1" t="str">
        <f ca="1">IFERROR(__xludf.DUMMYFUNCTION("""COMPUTED_VALUE"""),"22A URE - XINGUARA")</f>
        <v>22A URE - XINGUARA</v>
      </c>
      <c r="I1147" s="1"/>
      <c r="J1147" s="1" t="str">
        <f ca="1">IFERROR(__xludf.DUMMYFUNCTION("""COMPUTED_VALUE"""),"SAPUCAIA")</f>
        <v>SAPUCAIA</v>
      </c>
      <c r="K1147" s="1">
        <f ca="1">IFERROR(__xludf.DUMMYFUNCTION("""COMPUTED_VALUE"""),15134016)</f>
        <v>15134016</v>
      </c>
      <c r="L1147" s="2" t="str">
        <f ca="1">IFERROR(__xludf.DUMMYFUNCTION("""COMPUTED_VALUE"""),"001920936260000")</f>
        <v>001920936260000</v>
      </c>
      <c r="M1147" s="2" t="str">
        <f ca="1">IFERROR(__xludf.DUMMYFUNCTION("""COMPUTED_VALUE"""),"1920936260000")</f>
        <v>1920936260000</v>
      </c>
      <c r="N1147" s="1" t="str">
        <f ca="1">IFERROR(__xludf.DUMMYFUNCTION("""COMPUTED_VALUE"""),"EEEM PAULO FREIRE")</f>
        <v>EEEM PAULO FREIRE</v>
      </c>
      <c r="O1147" s="1"/>
      <c r="P1147" s="1"/>
      <c r="Q1147" s="1" t="s">
        <v>1143</v>
      </c>
    </row>
    <row r="1148" spans="1:17" x14ac:dyDescent="0.25">
      <c r="A1148" s="2" t="str">
        <f ca="1">IFERROR(__xludf.DUMMYFUNCTION("""COMPUTED_VALUE"""),"REG DE INTEGRA DO ARAGUAIA")</f>
        <v>REG DE INTEGRA DO ARAGUAIA</v>
      </c>
      <c r="B1148" s="1" t="str">
        <f ca="1">IFERROR(__xludf.DUMMYFUNCTION("""COMPUTED_VALUE"""),"DRE XINGUARA")</f>
        <v>DRE XINGUARA</v>
      </c>
      <c r="C1148" s="2" t="str">
        <f ca="1">IFERROR(__xludf.DUMMYFUNCTION("""COMPUTED_VALUE"""),"DRE - XINGUARA")</f>
        <v>DRE - XINGUARA</v>
      </c>
      <c r="D1148" s="1"/>
      <c r="E1148" s="2" t="str">
        <f ca="1">IFERROR(__xludf.DUMMYFUNCTION("""COMPUTED_VALUE"""),"DRE - XINGUARA")</f>
        <v>DRE - XINGUARA</v>
      </c>
      <c r="F1148" s="1">
        <f ca="1">IFERROR(__xludf.DUMMYFUNCTION("""COMPUTED_VALUE"""),3)</f>
        <v>3</v>
      </c>
      <c r="G1148" s="1"/>
      <c r="H1148" s="1" t="str">
        <f ca="1">IFERROR(__xludf.DUMMYFUNCTION("""COMPUTED_VALUE"""),"22A URE - XINGUARA")</f>
        <v>22A URE - XINGUARA</v>
      </c>
      <c r="I1148" s="1"/>
      <c r="J1148" s="1" t="str">
        <f ca="1">IFERROR(__xludf.DUMMYFUNCTION("""COMPUTED_VALUE"""),"TUCUMA")</f>
        <v>TUCUMA</v>
      </c>
      <c r="K1148" s="1">
        <f ca="1">IFERROR(__xludf.DUMMYFUNCTION("""COMPUTED_VALUE"""),15178110)</f>
        <v>15178110</v>
      </c>
      <c r="L1148" s="2" t="str">
        <f ca="1">IFERROR(__xludf.DUMMYFUNCTION("""COMPUTED_VALUE"""),"001920928180003")</f>
        <v>001920928180003</v>
      </c>
      <c r="M1148" s="2" t="str">
        <f ca="1">IFERROR(__xludf.DUMMYFUNCTION("""COMPUTED_VALUE"""),"1920928180003")</f>
        <v>1920928180003</v>
      </c>
      <c r="N1148" s="1" t="str">
        <f ca="1">IFERROR(__xludf.DUMMYFUNCTION("""COMPUTED_VALUE"""),"ANEXO RURAL PROF GERALDO ANGELO PEREIRA")</f>
        <v>ANEXO RURAL PROF GERALDO ANGELO PEREIRA</v>
      </c>
      <c r="O1148" s="1"/>
      <c r="P1148" s="1"/>
      <c r="Q1148" s="1" t="s">
        <v>1143</v>
      </c>
    </row>
    <row r="1149" spans="1:17" x14ac:dyDescent="0.25">
      <c r="A1149" s="2" t="str">
        <f ca="1">IFERROR(__xludf.DUMMYFUNCTION("""COMPUTED_VALUE"""),"REG DE INTEGRA DO ARAGUAIA")</f>
        <v>REG DE INTEGRA DO ARAGUAIA</v>
      </c>
      <c r="B1149" s="1" t="str">
        <f ca="1">IFERROR(__xludf.DUMMYFUNCTION("""COMPUTED_VALUE"""),"DRE XINGUARA")</f>
        <v>DRE XINGUARA</v>
      </c>
      <c r="C1149" s="2" t="str">
        <f ca="1">IFERROR(__xludf.DUMMYFUNCTION("""COMPUTED_VALUE"""),"DRE - XINGUARA")</f>
        <v>DRE - XINGUARA</v>
      </c>
      <c r="D1149" s="1"/>
      <c r="E1149" s="2" t="str">
        <f ca="1">IFERROR(__xludf.DUMMYFUNCTION("""COMPUTED_VALUE"""),"DRE - XINGUARA")</f>
        <v>DRE - XINGUARA</v>
      </c>
      <c r="F1149" s="1">
        <f ca="1">IFERROR(__xludf.DUMMYFUNCTION("""COMPUTED_VALUE"""),3)</f>
        <v>3</v>
      </c>
      <c r="G1149" s="1" t="str">
        <f ca="1">IFERROR(__xludf.DUMMYFUNCTION("""COMPUTED_VALUE"""),"DRE XINGUARA")</f>
        <v>DRE XINGUARA</v>
      </c>
      <c r="H1149" s="1" t="str">
        <f ca="1">IFERROR(__xludf.DUMMYFUNCTION("""COMPUTED_VALUE"""),"22A URE - XINGUARA")</f>
        <v>22A URE - XINGUARA</v>
      </c>
      <c r="I1149" s="1"/>
      <c r="J1149" s="1" t="str">
        <f ca="1">IFERROR(__xludf.DUMMYFUNCTION("""COMPUTED_VALUE"""),"TUCUMA")</f>
        <v>TUCUMA</v>
      </c>
      <c r="K1149" s="1">
        <f ca="1">IFERROR(__xludf.DUMMYFUNCTION("""COMPUTED_VALUE"""),15140776)</f>
        <v>15140776</v>
      </c>
      <c r="L1149" s="2" t="str">
        <f ca="1">IFERROR(__xludf.DUMMYFUNCTION("""COMPUTED_VALUE"""),"001920928180000")</f>
        <v>001920928180000</v>
      </c>
      <c r="M1149" s="2" t="str">
        <f ca="1">IFERROR(__xludf.DUMMYFUNCTION("""COMPUTED_VALUE"""),"1920928180000")</f>
        <v>1920928180000</v>
      </c>
      <c r="N1149" s="1" t="str">
        <f ca="1">IFERROR(__xludf.DUMMYFUNCTION("""COMPUTED_VALUE"""),"EEEM PROF GERALDO ANGELO PEREIRA SEDE")</f>
        <v>EEEM PROF GERALDO ANGELO PEREIRA SEDE</v>
      </c>
      <c r="O1149" s="1"/>
      <c r="P1149" s="1"/>
      <c r="Q1149" s="1" t="s">
        <v>1143</v>
      </c>
    </row>
    <row r="1150" spans="1:17" x14ac:dyDescent="0.25">
      <c r="A1150" s="2" t="str">
        <f ca="1">IFERROR(__xludf.DUMMYFUNCTION("""COMPUTED_VALUE"""),"REG DE INTEGRA DO ARAGUAIA")</f>
        <v>REG DE INTEGRA DO ARAGUAIA</v>
      </c>
      <c r="B1150" s="1" t="str">
        <f ca="1">IFERROR(__xludf.DUMMYFUNCTION("""COMPUTED_VALUE"""),"DRE XINGUARA")</f>
        <v>DRE XINGUARA</v>
      </c>
      <c r="C1150" s="2" t="str">
        <f ca="1">IFERROR(__xludf.DUMMYFUNCTION("""COMPUTED_VALUE"""),"DRE - XINGUARA")</f>
        <v>DRE - XINGUARA</v>
      </c>
      <c r="D1150" s="1"/>
      <c r="E1150" s="2" t="str">
        <f ca="1">IFERROR(__xludf.DUMMYFUNCTION("""COMPUTED_VALUE"""),"DRE - XINGUARA")</f>
        <v>DRE - XINGUARA</v>
      </c>
      <c r="F1150" s="1">
        <f ca="1">IFERROR(__xludf.DUMMYFUNCTION("""COMPUTED_VALUE"""),3)</f>
        <v>3</v>
      </c>
      <c r="G1150" s="1" t="str">
        <f ca="1">IFERROR(__xludf.DUMMYFUNCTION("""COMPUTED_VALUE"""),"DRE XINGUARA")</f>
        <v>DRE XINGUARA</v>
      </c>
      <c r="H1150" s="1" t="str">
        <f ca="1">IFERROR(__xludf.DUMMYFUNCTION("""COMPUTED_VALUE"""),"22A URE - XINGUARA")</f>
        <v>22A URE - XINGUARA</v>
      </c>
      <c r="I1150" s="1"/>
      <c r="J1150" s="1" t="str">
        <f ca="1">IFERROR(__xludf.DUMMYFUNCTION("""COMPUTED_VALUE"""),"TUCUMA")</f>
        <v>TUCUMA</v>
      </c>
      <c r="K1150" s="1">
        <f ca="1">IFERROR(__xludf.DUMMYFUNCTION("""COMPUTED_VALUE"""),15167160)</f>
        <v>15167160</v>
      </c>
      <c r="L1150" s="2" t="str">
        <f ca="1">IFERROR(__xludf.DUMMYFUNCTION("""COMPUTED_VALUE"""),"001920937910000")</f>
        <v>001920937910000</v>
      </c>
      <c r="M1150" s="2" t="str">
        <f ca="1">IFERROR(__xludf.DUMMYFUNCTION("""COMPUTED_VALUE"""),"1920937910000")</f>
        <v>1920937910000</v>
      </c>
      <c r="N1150" s="1" t="str">
        <f ca="1">IFERROR(__xludf.DUMMYFUNCTION("""COMPUTED_VALUE"""),"EEEM THIAGO GONCALVES DE SOUZA")</f>
        <v>EEEM THIAGO GONCALVES DE SOUZA</v>
      </c>
      <c r="O1150" s="1"/>
      <c r="P1150" s="1"/>
      <c r="Q1150" s="1" t="s">
        <v>1143</v>
      </c>
    </row>
    <row r="1151" spans="1:17" x14ac:dyDescent="0.25">
      <c r="A1151" s="2" t="str">
        <f ca="1">IFERROR(__xludf.DUMMYFUNCTION("""COMPUTED_VALUE"""),"REG DE INTEGRA DO ARAGUAIA")</f>
        <v>REG DE INTEGRA DO ARAGUAIA</v>
      </c>
      <c r="B1151" s="1" t="str">
        <f ca="1">IFERROR(__xludf.DUMMYFUNCTION("""COMPUTED_VALUE"""),"DRE XINGUARA")</f>
        <v>DRE XINGUARA</v>
      </c>
      <c r="C1151" s="2" t="str">
        <f ca="1">IFERROR(__xludf.DUMMYFUNCTION("""COMPUTED_VALUE"""),"DRE - XINGUARA")</f>
        <v>DRE - XINGUARA</v>
      </c>
      <c r="D1151" s="1"/>
      <c r="E1151" s="2" t="str">
        <f ca="1">IFERROR(__xludf.DUMMYFUNCTION("""COMPUTED_VALUE"""),"DRE - XINGUARA")</f>
        <v>DRE - XINGUARA</v>
      </c>
      <c r="F1151" s="1"/>
      <c r="G1151" s="1"/>
      <c r="H1151" s="1" t="str">
        <f ca="1">IFERROR(__xludf.DUMMYFUNCTION("""COMPUTED_VALUE"""),"22A URE - XINGUARA")</f>
        <v>22A URE - XINGUARA</v>
      </c>
      <c r="I1151" s="1"/>
      <c r="J1151" s="1" t="str">
        <f ca="1">IFERROR(__xludf.DUMMYFUNCTION("""COMPUTED_VALUE"""),"TUCUMA")</f>
        <v>TUCUMA</v>
      </c>
      <c r="K1151" s="1"/>
      <c r="L1151" s="2" t="str">
        <f ca="1">IFERROR(__xludf.DUMMYFUNCTION("""COMPUTED_VALUE"""),"001921059000000")</f>
        <v>001921059000000</v>
      </c>
      <c r="M1151" s="2" t="str">
        <f ca="1">IFERROR(__xludf.DUMMYFUNCTION("""COMPUTED_VALUE"""),"1921059000000")</f>
        <v>1921059000000</v>
      </c>
      <c r="N1151" s="1" t="str">
        <f ca="1">IFERROR(__xludf.DUMMYFUNCTION("""COMPUTED_VALUE"""),"ESCOLA ESTADUAL RURAL DE TUCUMA")</f>
        <v>ESCOLA ESTADUAL RURAL DE TUCUMA</v>
      </c>
      <c r="O1151" s="1"/>
      <c r="P1151" s="1"/>
      <c r="Q1151" s="1" t="s">
        <v>1143</v>
      </c>
    </row>
    <row r="1152" spans="1:17" x14ac:dyDescent="0.25">
      <c r="A1152" s="2" t="str">
        <f ca="1">IFERROR(__xludf.DUMMYFUNCTION("""COMPUTED_VALUE"""),"REG DE INTEGRA DO ARAGUAIA")</f>
        <v>REG DE INTEGRA DO ARAGUAIA</v>
      </c>
      <c r="B1152" s="1" t="str">
        <f ca="1">IFERROR(__xludf.DUMMYFUNCTION("""COMPUTED_VALUE"""),"DRE XINGUARA")</f>
        <v>DRE XINGUARA</v>
      </c>
      <c r="C1152" s="2" t="str">
        <f ca="1">IFERROR(__xludf.DUMMYFUNCTION("""COMPUTED_VALUE"""),"DRE - XINGUARA")</f>
        <v>DRE - XINGUARA</v>
      </c>
      <c r="D1152" s="1"/>
      <c r="E1152" s="2" t="str">
        <f ca="1">IFERROR(__xludf.DUMMYFUNCTION("""COMPUTED_VALUE"""),"DRE - XINGUARA")</f>
        <v>DRE - XINGUARA</v>
      </c>
      <c r="F1152" s="1">
        <f ca="1">IFERROR(__xludf.DUMMYFUNCTION("""COMPUTED_VALUE"""),3)</f>
        <v>3</v>
      </c>
      <c r="G1152" s="1" t="str">
        <f ca="1">IFERROR(__xludf.DUMMYFUNCTION("""COMPUTED_VALUE"""),"DRE XINGUARA")</f>
        <v>DRE XINGUARA</v>
      </c>
      <c r="H1152" s="1" t="str">
        <f ca="1">IFERROR(__xludf.DUMMYFUNCTION("""COMPUTED_VALUE"""),"22A URE - XINGUARA")</f>
        <v>22A URE - XINGUARA</v>
      </c>
      <c r="I1152" s="1"/>
      <c r="J1152" s="1" t="str">
        <f ca="1">IFERROR(__xludf.DUMMYFUNCTION("""COMPUTED_VALUE"""),"XINGUARA")</f>
        <v>XINGUARA</v>
      </c>
      <c r="K1152" s="1"/>
      <c r="L1152" s="2" t="str">
        <f ca="1">IFERROR(__xludf.DUMMYFUNCTION("""COMPUTED_VALUE"""),"001920900220000")</f>
        <v>001920900220000</v>
      </c>
      <c r="M1152" s="2" t="str">
        <f ca="1">IFERROR(__xludf.DUMMYFUNCTION("""COMPUTED_VALUE"""),"1920900220000")</f>
        <v>1920900220000</v>
      </c>
      <c r="N1152" s="1" t="str">
        <f ca="1">IFERROR(__xludf.DUMMYFUNCTION("""COMPUTED_VALUE"""),"22 URE")</f>
        <v>22 URE</v>
      </c>
      <c r="O1152" s="1"/>
      <c r="P1152" s="1"/>
      <c r="Q1152" s="1" t="s">
        <v>1143</v>
      </c>
    </row>
    <row r="1153" spans="1:17" x14ac:dyDescent="0.25">
      <c r="A1153" s="2" t="str">
        <f ca="1">IFERROR(__xludf.DUMMYFUNCTION("""COMPUTED_VALUE"""),"REG DE INTEGRA DO ARAGUAIA")</f>
        <v>REG DE INTEGRA DO ARAGUAIA</v>
      </c>
      <c r="B1153" s="1" t="str">
        <f ca="1">IFERROR(__xludf.DUMMYFUNCTION("""COMPUTED_VALUE"""),"DRE XINGUARA")</f>
        <v>DRE XINGUARA</v>
      </c>
      <c r="C1153" s="2" t="str">
        <f ca="1">IFERROR(__xludf.DUMMYFUNCTION("""COMPUTED_VALUE"""),"DRE - XINGUARA")</f>
        <v>DRE - XINGUARA</v>
      </c>
      <c r="D1153" s="1"/>
      <c r="E1153" s="2" t="str">
        <f ca="1">IFERROR(__xludf.DUMMYFUNCTION("""COMPUTED_VALUE"""),"DRE - XINGUARA")</f>
        <v>DRE - XINGUARA</v>
      </c>
      <c r="F1153" s="1">
        <f ca="1">IFERROR(__xludf.DUMMYFUNCTION("""COMPUTED_VALUE"""),3)</f>
        <v>3</v>
      </c>
      <c r="G1153" s="1" t="str">
        <f ca="1">IFERROR(__xludf.DUMMYFUNCTION("""COMPUTED_VALUE"""),"DRE XINGUARA")</f>
        <v>DRE XINGUARA</v>
      </c>
      <c r="H1153" s="1" t="str">
        <f ca="1">IFERROR(__xludf.DUMMYFUNCTION("""COMPUTED_VALUE"""),"22A URE - XINGUARA")</f>
        <v>22A URE - XINGUARA</v>
      </c>
      <c r="I1153" s="1"/>
      <c r="J1153" s="1" t="str">
        <f ca="1">IFERROR(__xludf.DUMMYFUNCTION("""COMPUTED_VALUE"""),"XINGUARA")</f>
        <v>XINGUARA</v>
      </c>
      <c r="K1153" s="1">
        <f ca="1">IFERROR(__xludf.DUMMYFUNCTION("""COMPUTED_VALUE"""),15535282)</f>
        <v>15535282</v>
      </c>
      <c r="L1153" s="2" t="str">
        <f ca="1">IFERROR(__xludf.DUMMYFUNCTION("""COMPUTED_VALUE"""),"001920912860000")</f>
        <v>001920912860000</v>
      </c>
      <c r="M1153" s="2" t="str">
        <f ca="1">IFERROR(__xludf.DUMMYFUNCTION("""COMPUTED_VALUE"""),"1920912860000")</f>
        <v>1920912860000</v>
      </c>
      <c r="N1153" s="1" t="str">
        <f ca="1">IFERROR(__xludf.DUMMYFUNCTION("""COMPUTED_VALUE"""),"CENTRO DE EDUCACAO DE JOVENS E ADULTOS PROF VIOLETA REFKALEFSKY LOUREIRO CEEJA EM XINGUARA/PA")</f>
        <v>CENTRO DE EDUCACAO DE JOVENS E ADULTOS PROF VIOLETA REFKALEFSKY LOUREIRO CEEJA EM XINGUARA/PA</v>
      </c>
      <c r="O1153" s="1"/>
      <c r="P1153" s="1"/>
      <c r="Q1153" s="1" t="s">
        <v>1143</v>
      </c>
    </row>
    <row r="1154" spans="1:17" x14ac:dyDescent="0.25">
      <c r="A1154" s="2" t="str">
        <f ca="1">IFERROR(__xludf.DUMMYFUNCTION("""COMPUTED_VALUE"""),"REG DE INTEGRA DO ARAGUAIA")</f>
        <v>REG DE INTEGRA DO ARAGUAIA</v>
      </c>
      <c r="B1154" s="1" t="str">
        <f ca="1">IFERROR(__xludf.DUMMYFUNCTION("""COMPUTED_VALUE"""),"DRE XINGUARA")</f>
        <v>DRE XINGUARA</v>
      </c>
      <c r="C1154" s="2" t="str">
        <f ca="1">IFERROR(__xludf.DUMMYFUNCTION("""COMPUTED_VALUE"""),"DRE - XINGUARA")</f>
        <v>DRE - XINGUARA</v>
      </c>
      <c r="D1154" s="1"/>
      <c r="E1154" s="2" t="str">
        <f ca="1">IFERROR(__xludf.DUMMYFUNCTION("""COMPUTED_VALUE"""),"DRE - XINGUARA")</f>
        <v>DRE - XINGUARA</v>
      </c>
      <c r="F1154" s="1">
        <f ca="1">IFERROR(__xludf.DUMMYFUNCTION("""COMPUTED_VALUE"""),3)</f>
        <v>3</v>
      </c>
      <c r="G1154" s="1" t="str">
        <f ca="1">IFERROR(__xludf.DUMMYFUNCTION("""COMPUTED_VALUE"""),"DRE XINGUARA")</f>
        <v>DRE XINGUARA</v>
      </c>
      <c r="H1154" s="1" t="str">
        <f ca="1">IFERROR(__xludf.DUMMYFUNCTION("""COMPUTED_VALUE"""),"22A URE - XINGUARA")</f>
        <v>22A URE - XINGUARA</v>
      </c>
      <c r="I1154" s="1"/>
      <c r="J1154" s="1" t="str">
        <f ca="1">IFERROR(__xludf.DUMMYFUNCTION("""COMPUTED_VALUE"""),"XINGUARA")</f>
        <v>XINGUARA</v>
      </c>
      <c r="K1154" s="1">
        <f ca="1">IFERROR(__xludf.DUMMYFUNCTION("""COMPUTED_VALUE"""),15141128)</f>
        <v>15141128</v>
      </c>
      <c r="L1154" s="2" t="str">
        <f ca="1">IFERROR(__xludf.DUMMYFUNCTION("""COMPUTED_VALUE"""),"001920912830004")</f>
        <v>001920912830004</v>
      </c>
      <c r="M1154" s="2" t="str">
        <f ca="1">IFERROR(__xludf.DUMMYFUNCTION("""COMPUTED_VALUE"""),"1920912830004")</f>
        <v>1920912830004</v>
      </c>
      <c r="N1154" s="1" t="str">
        <f ca="1">IFERROR(__xludf.DUMMYFUNCTION("""COMPUTED_VALUE"""),"EE  DOM LUIZ DE MOURA PALHA - ANEXO II")</f>
        <v>EE  DOM LUIZ DE MOURA PALHA - ANEXO II</v>
      </c>
      <c r="O1154" s="1"/>
      <c r="P1154" s="1"/>
      <c r="Q1154" s="1" t="s">
        <v>1143</v>
      </c>
    </row>
    <row r="1155" spans="1:17" x14ac:dyDescent="0.25">
      <c r="A1155" s="2" t="str">
        <f ca="1">IFERROR(__xludf.DUMMYFUNCTION("""COMPUTED_VALUE"""),"REG DE INTEGRA DO ARAGUAIA")</f>
        <v>REG DE INTEGRA DO ARAGUAIA</v>
      </c>
      <c r="B1155" s="1" t="str">
        <f ca="1">IFERROR(__xludf.DUMMYFUNCTION("""COMPUTED_VALUE"""),"DRE XINGUARA")</f>
        <v>DRE XINGUARA</v>
      </c>
      <c r="C1155" s="2" t="str">
        <f ca="1">IFERROR(__xludf.DUMMYFUNCTION("""COMPUTED_VALUE"""),"DRE - XINGUARA")</f>
        <v>DRE - XINGUARA</v>
      </c>
      <c r="D1155" s="1"/>
      <c r="E1155" s="2" t="str">
        <f ca="1">IFERROR(__xludf.DUMMYFUNCTION("""COMPUTED_VALUE"""),"DRE - XINGUARA")</f>
        <v>DRE - XINGUARA</v>
      </c>
      <c r="F1155" s="1">
        <f ca="1">IFERROR(__xludf.DUMMYFUNCTION("""COMPUTED_VALUE"""),3)</f>
        <v>3</v>
      </c>
      <c r="G1155" s="1" t="str">
        <f ca="1">IFERROR(__xludf.DUMMYFUNCTION("""COMPUTED_VALUE"""),"DRE XINGUARA")</f>
        <v>DRE XINGUARA</v>
      </c>
      <c r="H1155" s="1" t="str">
        <f ca="1">IFERROR(__xludf.DUMMYFUNCTION("""COMPUTED_VALUE"""),"22A URE - XINGUARA")</f>
        <v>22A URE - XINGUARA</v>
      </c>
      <c r="I1155" s="1"/>
      <c r="J1155" s="1" t="str">
        <f ca="1">IFERROR(__xludf.DUMMYFUNCTION("""COMPUTED_VALUE"""),"XINGUARA")</f>
        <v>XINGUARA</v>
      </c>
      <c r="K1155" s="1">
        <f ca="1">IFERROR(__xludf.DUMMYFUNCTION("""COMPUTED_VALUE"""),15168832)</f>
        <v>15168832</v>
      </c>
      <c r="L1155" s="2" t="str">
        <f ca="1">IFERROR(__xludf.DUMMYFUNCTION("""COMPUTED_VALUE"""),"001920912830005")</f>
        <v>001920912830005</v>
      </c>
      <c r="M1155" s="2" t="str">
        <f ca="1">IFERROR(__xludf.DUMMYFUNCTION("""COMPUTED_VALUE"""),"1920912830005")</f>
        <v>1920912830005</v>
      </c>
      <c r="N1155" s="1" t="str">
        <f ca="1">IFERROR(__xludf.DUMMYFUNCTION("""COMPUTED_VALUE"""),"EE  DOM LUIZ DE MOURA PALHA -ANEXO III")</f>
        <v>EE  DOM LUIZ DE MOURA PALHA -ANEXO III</v>
      </c>
      <c r="O1155" s="1"/>
      <c r="P1155" s="1"/>
      <c r="Q1155" s="1" t="s">
        <v>1143</v>
      </c>
    </row>
    <row r="1156" spans="1:17" x14ac:dyDescent="0.25">
      <c r="A1156" s="2" t="str">
        <f ca="1">IFERROR(__xludf.DUMMYFUNCTION("""COMPUTED_VALUE"""),"REG DE INTEGRA DO ARAGUAIA")</f>
        <v>REG DE INTEGRA DO ARAGUAIA</v>
      </c>
      <c r="B1156" s="1" t="str">
        <f ca="1">IFERROR(__xludf.DUMMYFUNCTION("""COMPUTED_VALUE"""),"DRE XINGUARA")</f>
        <v>DRE XINGUARA</v>
      </c>
      <c r="C1156" s="2" t="str">
        <f ca="1">IFERROR(__xludf.DUMMYFUNCTION("""COMPUTED_VALUE"""),"DRE - XINGUARA")</f>
        <v>DRE - XINGUARA</v>
      </c>
      <c r="D1156" s="1"/>
      <c r="E1156" s="2" t="str">
        <f ca="1">IFERROR(__xludf.DUMMYFUNCTION("""COMPUTED_VALUE"""),"DRE - XINGUARA")</f>
        <v>DRE - XINGUARA</v>
      </c>
      <c r="F1156" s="1">
        <f ca="1">IFERROR(__xludf.DUMMYFUNCTION("""COMPUTED_VALUE"""),3)</f>
        <v>3</v>
      </c>
      <c r="G1156" s="1" t="str">
        <f ca="1">IFERROR(__xludf.DUMMYFUNCTION("""COMPUTED_VALUE"""),"DRE XINGUARA")</f>
        <v>DRE XINGUARA</v>
      </c>
      <c r="H1156" s="1" t="str">
        <f ca="1">IFERROR(__xludf.DUMMYFUNCTION("""COMPUTED_VALUE"""),"22A URE - XINGUARA")</f>
        <v>22A URE - XINGUARA</v>
      </c>
      <c r="I1156" s="1"/>
      <c r="J1156" s="1" t="str">
        <f ca="1">IFERROR(__xludf.DUMMYFUNCTION("""COMPUTED_VALUE"""),"XINGUARA")</f>
        <v>XINGUARA</v>
      </c>
      <c r="K1156" s="1">
        <f ca="1">IFERROR(__xludf.DUMMYFUNCTION("""COMPUTED_VALUE"""),15579832)</f>
        <v>15579832</v>
      </c>
      <c r="L1156" s="2" t="str">
        <f ca="1">IFERROR(__xludf.DUMMYFUNCTION("""COMPUTED_VALUE"""),"001920912830002")</f>
        <v>001920912830002</v>
      </c>
      <c r="M1156" s="2" t="str">
        <f ca="1">IFERROR(__xludf.DUMMYFUNCTION("""COMPUTED_VALUE"""),"1920912830002")</f>
        <v>1920912830002</v>
      </c>
      <c r="N1156" s="1" t="str">
        <f ca="1">IFERROR(__xludf.DUMMYFUNCTION("""COMPUTED_VALUE"""),"EEEM  RAIMUNDO HENRIQUE DE MIRANDA- ANEXO")</f>
        <v>EEEM  RAIMUNDO HENRIQUE DE MIRANDA- ANEXO</v>
      </c>
      <c r="O1156" s="1"/>
      <c r="P1156" s="1"/>
      <c r="Q1156" s="1" t="s">
        <v>1143</v>
      </c>
    </row>
    <row r="1157" spans="1:17" x14ac:dyDescent="0.25">
      <c r="A1157" s="2" t="str">
        <f ca="1">IFERROR(__xludf.DUMMYFUNCTION("""COMPUTED_VALUE"""),"REG DE INTEGRA DO ARAGUAIA")</f>
        <v>REG DE INTEGRA DO ARAGUAIA</v>
      </c>
      <c r="B1157" s="1" t="str">
        <f ca="1">IFERROR(__xludf.DUMMYFUNCTION("""COMPUTED_VALUE"""),"DRE XINGUARA")</f>
        <v>DRE XINGUARA</v>
      </c>
      <c r="C1157" s="2" t="str">
        <f ca="1">IFERROR(__xludf.DUMMYFUNCTION("""COMPUTED_VALUE"""),"DRE - XINGUARA")</f>
        <v>DRE - XINGUARA</v>
      </c>
      <c r="D1157" s="1"/>
      <c r="E1157" s="2" t="str">
        <f ca="1">IFERROR(__xludf.DUMMYFUNCTION("""COMPUTED_VALUE"""),"DRE - XINGUARA")</f>
        <v>DRE - XINGUARA</v>
      </c>
      <c r="F1157" s="1">
        <f ca="1">IFERROR(__xludf.DUMMYFUNCTION("""COMPUTED_VALUE"""),3)</f>
        <v>3</v>
      </c>
      <c r="G1157" s="1" t="str">
        <f ca="1">IFERROR(__xludf.DUMMYFUNCTION("""COMPUTED_VALUE"""),"DRE XINGUARA")</f>
        <v>DRE XINGUARA</v>
      </c>
      <c r="H1157" s="1" t="str">
        <f ca="1">IFERROR(__xludf.DUMMYFUNCTION("""COMPUTED_VALUE"""),"22A URE - XINGUARA")</f>
        <v>22A URE - XINGUARA</v>
      </c>
      <c r="I1157" s="1"/>
      <c r="J1157" s="1" t="str">
        <f ca="1">IFERROR(__xludf.DUMMYFUNCTION("""COMPUTED_VALUE"""),"XINGUARA")</f>
        <v>XINGUARA</v>
      </c>
      <c r="K1157" s="1">
        <f ca="1">IFERROR(__xludf.DUMMYFUNCTION("""COMPUTED_VALUE"""),15141128)</f>
        <v>15141128</v>
      </c>
      <c r="L1157" s="2" t="str">
        <f ca="1">IFERROR(__xludf.DUMMYFUNCTION("""COMPUTED_VALUE"""),"001920912830000")</f>
        <v>001920912830000</v>
      </c>
      <c r="M1157" s="2" t="str">
        <f ca="1">IFERROR(__xludf.DUMMYFUNCTION("""COMPUTED_VALUE"""),"1920912830000")</f>
        <v>1920912830000</v>
      </c>
      <c r="N1157" s="1" t="str">
        <f ca="1">IFERROR(__xludf.DUMMYFUNCTION("""COMPUTED_VALUE"""),"EEEM DOM LUIZ DE MOURA PALHA")</f>
        <v>EEEM DOM LUIZ DE MOURA PALHA</v>
      </c>
      <c r="O1157" s="1"/>
      <c r="P1157" s="1"/>
      <c r="Q1157" s="1" t="s">
        <v>1143</v>
      </c>
    </row>
    <row r="1158" spans="1:17" x14ac:dyDescent="0.25">
      <c r="A1158" s="2" t="str">
        <f ca="1">IFERROR(__xludf.DUMMYFUNCTION("""COMPUTED_VALUE"""),"REG DE INTEGRA DO ARAGUAIA")</f>
        <v>REG DE INTEGRA DO ARAGUAIA</v>
      </c>
      <c r="B1158" s="1" t="str">
        <f ca="1">IFERROR(__xludf.DUMMYFUNCTION("""COMPUTED_VALUE"""),"DRE XINGUARA")</f>
        <v>DRE XINGUARA</v>
      </c>
      <c r="C1158" s="2" t="str">
        <f ca="1">IFERROR(__xludf.DUMMYFUNCTION("""COMPUTED_VALUE"""),"DRE - XINGUARA")</f>
        <v>DRE - XINGUARA</v>
      </c>
      <c r="D1158" s="1"/>
      <c r="E1158" s="2" t="str">
        <f ca="1">IFERROR(__xludf.DUMMYFUNCTION("""COMPUTED_VALUE"""),"DRE - XINGUARA")</f>
        <v>DRE - XINGUARA</v>
      </c>
      <c r="F1158" s="1">
        <f ca="1">IFERROR(__xludf.DUMMYFUNCTION("""COMPUTED_VALUE"""),3)</f>
        <v>3</v>
      </c>
      <c r="G1158" s="1" t="str">
        <f ca="1">IFERROR(__xludf.DUMMYFUNCTION("""COMPUTED_VALUE"""),"DRE XINGUARA")</f>
        <v>DRE XINGUARA</v>
      </c>
      <c r="H1158" s="1" t="str">
        <f ca="1">IFERROR(__xludf.DUMMYFUNCTION("""COMPUTED_VALUE"""),"22A URE - XINGUARA")</f>
        <v>22A URE - XINGUARA</v>
      </c>
      <c r="I1158" s="1"/>
      <c r="J1158" s="1" t="str">
        <f ca="1">IFERROR(__xludf.DUMMYFUNCTION("""COMPUTED_VALUE"""),"XINGUARA")</f>
        <v>XINGUARA</v>
      </c>
      <c r="K1158" s="1">
        <f ca="1">IFERROR(__xludf.DUMMYFUNCTION("""COMPUTED_VALUE"""),15133702)</f>
        <v>15133702</v>
      </c>
      <c r="L1158" s="2" t="str">
        <f ca="1">IFERROR(__xludf.DUMMYFUNCTION("""COMPUTED_VALUE"""),"001920937110000")</f>
        <v>001920937110000</v>
      </c>
      <c r="M1158" s="2" t="str">
        <f ca="1">IFERROR(__xludf.DUMMYFUNCTION("""COMPUTED_VALUE"""),"1920937110000")</f>
        <v>1920937110000</v>
      </c>
      <c r="N1158" s="1" t="str">
        <f ca="1">IFERROR(__xludf.DUMMYFUNCTION("""COMPUTED_VALUE"""),"EEEM PEDRO RIBEIRO MOTA")</f>
        <v>EEEM PEDRO RIBEIRO MOTA</v>
      </c>
      <c r="O1158" s="1"/>
      <c r="P1158" s="1"/>
      <c r="Q1158" s="1" t="s">
        <v>1143</v>
      </c>
    </row>
    <row r="1159" spans="1:17" x14ac:dyDescent="0.25">
      <c r="A1159" s="2" t="str">
        <f ca="1">IFERROR(__xludf.DUMMYFUNCTION("""COMPUTED_VALUE"""),"REG DE INTEGRA DO ARAGUAIA")</f>
        <v>REG DE INTEGRA DO ARAGUAIA</v>
      </c>
      <c r="B1159" s="1" t="str">
        <f ca="1">IFERROR(__xludf.DUMMYFUNCTION("""COMPUTED_VALUE"""),"DRE XINGUARA")</f>
        <v>DRE XINGUARA</v>
      </c>
      <c r="C1159" s="2" t="str">
        <f ca="1">IFERROR(__xludf.DUMMYFUNCTION("""COMPUTED_VALUE"""),"DRE - XINGUARA")</f>
        <v>DRE - XINGUARA</v>
      </c>
      <c r="D1159" s="1"/>
      <c r="E1159" s="2" t="str">
        <f ca="1">IFERROR(__xludf.DUMMYFUNCTION("""COMPUTED_VALUE"""),"DRE - XINGUARA")</f>
        <v>DRE - XINGUARA</v>
      </c>
      <c r="F1159" s="1">
        <f ca="1">IFERROR(__xludf.DUMMYFUNCTION("""COMPUTED_VALUE"""),3)</f>
        <v>3</v>
      </c>
      <c r="G1159" s="1" t="str">
        <f ca="1">IFERROR(__xludf.DUMMYFUNCTION("""COMPUTED_VALUE"""),"DRE XINGUARA")</f>
        <v>DRE XINGUARA</v>
      </c>
      <c r="H1159" s="1" t="str">
        <f ca="1">IFERROR(__xludf.DUMMYFUNCTION("""COMPUTED_VALUE"""),"22A URE - XINGUARA")</f>
        <v>22A URE - XINGUARA</v>
      </c>
      <c r="I1159" s="1"/>
      <c r="J1159" s="1" t="str">
        <f ca="1">IFERROR(__xludf.DUMMYFUNCTION("""COMPUTED_VALUE"""),"XINGUARA")</f>
        <v>XINGUARA</v>
      </c>
      <c r="K1159" s="1"/>
      <c r="L1159" s="2" t="str">
        <f ca="1">IFERROR(__xludf.DUMMYFUNCTION("""COMPUTED_VALUE"""),"001920938600000")</f>
        <v>001920938600000</v>
      </c>
      <c r="M1159" s="2" t="str">
        <f ca="1">IFERROR(__xludf.DUMMYFUNCTION("""COMPUTED_VALUE"""),"1920938600000")</f>
        <v>1920938600000</v>
      </c>
      <c r="N1159" s="1" t="str">
        <f ca="1">IFERROR(__xludf.DUMMYFUNCTION("""COMPUTED_VALUE"""),"ESCOLA DE ENS TECN DO EST DO PARA EETEPA XINGUARA")</f>
        <v>ESCOLA DE ENS TECN DO EST DO PARA EETEPA XINGUARA</v>
      </c>
      <c r="O1159" s="1"/>
      <c r="P1159" s="1"/>
      <c r="Q1159" s="1" t="s">
        <v>1143</v>
      </c>
    </row>
    <row r="1160" spans="1:17" x14ac:dyDescent="0.25">
      <c r="A1160" s="2" t="str">
        <f ca="1">IFERROR(__xludf.DUMMYFUNCTION("""COMPUTED_VALUE"""),"REG DE INTEGRA  METROPOLITANA")</f>
        <v>REG DE INTEGRA  METROPOLITANA</v>
      </c>
      <c r="B1160" s="1" t="str">
        <f ca="1">IFERROR(__xludf.DUMMYFUNCTION("""COMPUTED_VALUE"""),"SEDUC SEDE")</f>
        <v>SEDUC SEDE</v>
      </c>
      <c r="C1160" s="1" t="str">
        <f ca="1">IFERROR(__xludf.DUMMYFUNCTION("""COMPUTED_VALUE"""),"SEDUC SEDE")</f>
        <v>SEDUC SEDE</v>
      </c>
      <c r="D1160" s="1" t="str">
        <f ca="1">IFERROR(__xludf.DUMMYFUNCTION("""COMPUTED_VALUE"""),"SEDUC SEDE")</f>
        <v>SEDUC SEDE</v>
      </c>
      <c r="E1160" s="1" t="str">
        <f ca="1">IFERROR(__xludf.DUMMYFUNCTION("""COMPUTED_VALUE"""),"SEDUC SEDE")</f>
        <v>SEDUC SEDE</v>
      </c>
      <c r="F1160" s="1"/>
      <c r="G1160" s="1"/>
      <c r="H1160" s="1" t="str">
        <f ca="1">IFERROR(__xludf.DUMMYFUNCTION("""COMPUTED_VALUE"""),"19A URE - BELEM")</f>
        <v>19A URE - BELEM</v>
      </c>
      <c r="I1160" s="1"/>
      <c r="J1160" s="1" t="str">
        <f ca="1">IFERROR(__xludf.DUMMYFUNCTION("""COMPUTED_VALUE"""),"BELEM")</f>
        <v>BELEM</v>
      </c>
      <c r="K1160" s="1"/>
      <c r="L1160" s="2" t="str">
        <f ca="1">IFERROR(__xludf.DUMMYFUNCTION("""COMPUTED_VALUE"""),"001900000000000")</f>
        <v>001900000000000</v>
      </c>
      <c r="M1160" s="2" t="str">
        <f ca="1">IFERROR(__xludf.DUMMYFUNCTION("""COMPUTED_VALUE"""),"1900000000000")</f>
        <v>1900000000000</v>
      </c>
      <c r="N1160" s="2" t="str">
        <f ca="1">IFERROR(__xludf.DUMMYFUNCTION("""COMPUTED_VALUE"""),"SECRETARIA DE ESTADO DE EDUCACAO")</f>
        <v>SECRETARIA DE ESTADO DE EDUCACAO</v>
      </c>
      <c r="O1160" s="1"/>
      <c r="P1160" s="1"/>
      <c r="Q1160" s="1" t="s">
        <v>1174</v>
      </c>
    </row>
    <row r="1161" spans="1:17" x14ac:dyDescent="0.25">
      <c r="A1161" s="2" t="str">
        <f ca="1">IFERROR(__xludf.DUMMYFUNCTION("""COMPUTED_VALUE"""),"REG DE INTEGRA  METROPOLITANA")</f>
        <v>REG DE INTEGRA  METROPOLITANA</v>
      </c>
      <c r="B1161" s="1" t="str">
        <f ca="1">IFERROR(__xludf.DUMMYFUNCTION("""COMPUTED_VALUE"""),"SEDUC SEDE")</f>
        <v>SEDUC SEDE</v>
      </c>
      <c r="C1161" s="1" t="str">
        <f ca="1">IFERROR(__xludf.DUMMYFUNCTION("""COMPUTED_VALUE"""),"SEDUC SEDE")</f>
        <v>SEDUC SEDE</v>
      </c>
      <c r="D1161" s="1" t="str">
        <f ca="1">IFERROR(__xludf.DUMMYFUNCTION("""COMPUTED_VALUE"""),"SEDUC SEDE")</f>
        <v>SEDUC SEDE</v>
      </c>
      <c r="E1161" s="1" t="str">
        <f ca="1">IFERROR(__xludf.DUMMYFUNCTION("""COMPUTED_VALUE"""),"SEDUC SEDE")</f>
        <v>SEDUC SEDE</v>
      </c>
      <c r="F1161" s="1"/>
      <c r="G1161" s="1"/>
      <c r="H1161" s="1" t="str">
        <f ca="1">IFERROR(__xludf.DUMMYFUNCTION("""COMPUTED_VALUE"""),"19A URE - BELEM")</f>
        <v>19A URE - BELEM</v>
      </c>
      <c r="I1161" s="1"/>
      <c r="J1161" s="1" t="str">
        <f ca="1">IFERROR(__xludf.DUMMYFUNCTION("""COMPUTED_VALUE"""),"BELEM")</f>
        <v>BELEM</v>
      </c>
      <c r="K1161" s="1"/>
      <c r="L1161" s="2" t="str">
        <f ca="1">IFERROR(__xludf.DUMMYFUNCTION("""COMPUTED_VALUE"""),"001910000000000")</f>
        <v>001910000000000</v>
      </c>
      <c r="M1161" s="2" t="str">
        <f ca="1">IFERROR(__xludf.DUMMYFUNCTION("""COMPUTED_VALUE"""),"1910000000000")</f>
        <v>1910000000000</v>
      </c>
      <c r="N1161" s="2" t="str">
        <f ca="1">IFERROR(__xludf.DUMMYFUNCTION("""COMPUTED_VALUE"""),"Conselho Estadual de Educação")</f>
        <v>Conselho Estadual de Educação</v>
      </c>
      <c r="O1161" s="1"/>
      <c r="P1161" s="1"/>
      <c r="Q1161" s="1" t="s">
        <v>1174</v>
      </c>
    </row>
    <row r="1162" spans="1:17" x14ac:dyDescent="0.25">
      <c r="A1162" s="2" t="str">
        <f ca="1">IFERROR(__xludf.DUMMYFUNCTION("""COMPUTED_VALUE"""),"REG DE INTEGRA  METROPOLITANA")</f>
        <v>REG DE INTEGRA  METROPOLITANA</v>
      </c>
      <c r="B1162" s="1" t="str">
        <f ca="1">IFERROR(__xludf.DUMMYFUNCTION("""COMPUTED_VALUE"""),"SEDUC SEDE")</f>
        <v>SEDUC SEDE</v>
      </c>
      <c r="C1162" s="1" t="str">
        <f ca="1">IFERROR(__xludf.DUMMYFUNCTION("""COMPUTED_VALUE"""),"SEDUC SEDE")</f>
        <v>SEDUC SEDE</v>
      </c>
      <c r="D1162" s="1" t="str">
        <f ca="1">IFERROR(__xludf.DUMMYFUNCTION("""COMPUTED_VALUE"""),"SEDUC SEDE")</f>
        <v>SEDUC SEDE</v>
      </c>
      <c r="E1162" s="1" t="str">
        <f ca="1">IFERROR(__xludf.DUMMYFUNCTION("""COMPUTED_VALUE"""),"SEDUC SEDE")</f>
        <v>SEDUC SEDE</v>
      </c>
      <c r="F1162" s="1"/>
      <c r="G1162" s="1"/>
      <c r="H1162" s="1" t="str">
        <f ca="1">IFERROR(__xludf.DUMMYFUNCTION("""COMPUTED_VALUE"""),"19A URE - BELEM")</f>
        <v>19A URE - BELEM</v>
      </c>
      <c r="I1162" s="1"/>
      <c r="J1162" s="1" t="str">
        <f ca="1">IFERROR(__xludf.DUMMYFUNCTION("""COMPUTED_VALUE"""),"BELEM")</f>
        <v>BELEM</v>
      </c>
      <c r="K1162" s="1"/>
      <c r="L1162" s="2" t="str">
        <f ca="1">IFERROR(__xludf.DUMMYFUNCTION("""COMPUTED_VALUE"""),"001920504020004")</f>
        <v>001920504020004</v>
      </c>
      <c r="M1162" s="2" t="str">
        <f ca="1">IFERROR(__xludf.DUMMYFUNCTION("""COMPUTED_VALUE"""),"1920504020004")</f>
        <v>1920504020004</v>
      </c>
      <c r="N1162" s="2" t="str">
        <f ca="1">IFERROR(__xludf.DUMMYFUNCTION("""COMPUTED_VALUE"""),"CENTRO CAPAC DE PROFIS DA EDUC E ATEND PESS SURDEZ")</f>
        <v>CENTRO CAPAC DE PROFIS DA EDUC E ATEND PESS SURDEZ</v>
      </c>
      <c r="O1162" s="1"/>
      <c r="P1162" s="1"/>
      <c r="Q1162" s="1" t="s">
        <v>1174</v>
      </c>
    </row>
    <row r="1163" spans="1:17" x14ac:dyDescent="0.25">
      <c r="A1163" s="2" t="str">
        <f ca="1">IFERROR(__xludf.DUMMYFUNCTION("""COMPUTED_VALUE"""),"REG DE INTEGRA  METROPOLITANA")</f>
        <v>REG DE INTEGRA  METROPOLITANA</v>
      </c>
      <c r="B1163" s="1" t="str">
        <f ca="1">IFERROR(__xludf.DUMMYFUNCTION("""COMPUTED_VALUE"""),"SEDUC SEDE")</f>
        <v>SEDUC SEDE</v>
      </c>
      <c r="C1163" s="1" t="str">
        <f ca="1">IFERROR(__xludf.DUMMYFUNCTION("""COMPUTED_VALUE"""),"SEDUC SEDE")</f>
        <v>SEDUC SEDE</v>
      </c>
      <c r="D1163" s="1" t="str">
        <f ca="1">IFERROR(__xludf.DUMMYFUNCTION("""COMPUTED_VALUE"""),"SEDUC SEDE")</f>
        <v>SEDUC SEDE</v>
      </c>
      <c r="E1163" s="1" t="str">
        <f ca="1">IFERROR(__xludf.DUMMYFUNCTION("""COMPUTED_VALUE"""),"SEDUC SEDE")</f>
        <v>SEDUC SEDE</v>
      </c>
      <c r="F1163" s="1"/>
      <c r="G1163" s="1"/>
      <c r="H1163" s="1" t="str">
        <f ca="1">IFERROR(__xludf.DUMMYFUNCTION("""COMPUTED_VALUE"""),"19A URE - BELEM")</f>
        <v>19A URE - BELEM</v>
      </c>
      <c r="I1163" s="1"/>
      <c r="J1163" s="1" t="str">
        <f ca="1">IFERROR(__xludf.DUMMYFUNCTION("""COMPUTED_VALUE"""),"BELEM")</f>
        <v>BELEM</v>
      </c>
      <c r="K1163" s="1"/>
      <c r="L1163" s="2" t="str">
        <f ca="1">IFERROR(__xludf.DUMMYFUNCTION("""COMPUTED_VALUE"""),"001920100000000")</f>
        <v>001920100000000</v>
      </c>
      <c r="M1163" s="2" t="str">
        <f ca="1">IFERROR(__xludf.DUMMYFUNCTION("""COMPUTED_VALUE"""),"1920100000000")</f>
        <v>1920100000000</v>
      </c>
      <c r="N1163" s="2" t="str">
        <f ca="1">IFERROR(__xludf.DUMMYFUNCTION("""COMPUTED_VALUE"""),"Secretário Adjunto de Educação")</f>
        <v>Secretário Adjunto de Educação</v>
      </c>
      <c r="O1163" s="1"/>
      <c r="P1163" s="1"/>
      <c r="Q1163" s="1" t="s">
        <v>1174</v>
      </c>
    </row>
    <row r="1164" spans="1:17" x14ac:dyDescent="0.25">
      <c r="A1164" s="2" t="str">
        <f ca="1">IFERROR(__xludf.DUMMYFUNCTION("""COMPUTED_VALUE"""),"REG DE INTEGRA  METROPOLITANA")</f>
        <v>REG DE INTEGRA  METROPOLITANA</v>
      </c>
      <c r="B1164" s="1" t="str">
        <f ca="1">IFERROR(__xludf.DUMMYFUNCTION("""COMPUTED_VALUE"""),"SEDUC SEDE")</f>
        <v>SEDUC SEDE</v>
      </c>
      <c r="C1164" s="1" t="str">
        <f ca="1">IFERROR(__xludf.DUMMYFUNCTION("""COMPUTED_VALUE"""),"SEDUC SEDE")</f>
        <v>SEDUC SEDE</v>
      </c>
      <c r="D1164" s="1" t="str">
        <f ca="1">IFERROR(__xludf.DUMMYFUNCTION("""COMPUTED_VALUE"""),"SEDUC SEDE")</f>
        <v>SEDUC SEDE</v>
      </c>
      <c r="E1164" s="1" t="str">
        <f ca="1">IFERROR(__xludf.DUMMYFUNCTION("""COMPUTED_VALUE"""),"SEDUC SEDE")</f>
        <v>SEDUC SEDE</v>
      </c>
      <c r="F1164" s="1"/>
      <c r="G1164" s="1"/>
      <c r="H1164" s="1" t="str">
        <f ca="1">IFERROR(__xludf.DUMMYFUNCTION("""COMPUTED_VALUE"""),"19A URE - BELEM")</f>
        <v>19A URE - BELEM</v>
      </c>
      <c r="I1164" s="1"/>
      <c r="J1164" s="1" t="str">
        <f ca="1">IFERROR(__xludf.DUMMYFUNCTION("""COMPUTED_VALUE"""),"BELEM")</f>
        <v>BELEM</v>
      </c>
      <c r="K1164" s="1"/>
      <c r="L1164" s="2" t="str">
        <f ca="1">IFERROR(__xludf.DUMMYFUNCTION("""COMPUTED_VALUE"""),"001920201000000")</f>
        <v>001920201000000</v>
      </c>
      <c r="M1164" s="2" t="str">
        <f ca="1">IFERROR(__xludf.DUMMYFUNCTION("""COMPUTED_VALUE"""),"1920201000000")</f>
        <v>1920201000000</v>
      </c>
      <c r="N1164" s="2" t="str">
        <f ca="1">IFERROR(__xludf.DUMMYFUNCTION("""COMPUTED_VALUE"""),"Assessoria Técnica")</f>
        <v>Assessoria Técnica</v>
      </c>
      <c r="O1164" s="1"/>
      <c r="P1164" s="1"/>
      <c r="Q1164" s="1" t="s">
        <v>1174</v>
      </c>
    </row>
    <row r="1165" spans="1:17" x14ac:dyDescent="0.25">
      <c r="A1165" s="2" t="str">
        <f ca="1">IFERROR(__xludf.DUMMYFUNCTION("""COMPUTED_VALUE"""),"REG DE INTEGRA  METROPOLITANA")</f>
        <v>REG DE INTEGRA  METROPOLITANA</v>
      </c>
      <c r="B1165" s="1" t="str">
        <f ca="1">IFERROR(__xludf.DUMMYFUNCTION("""COMPUTED_VALUE"""),"SEDUC SEDE")</f>
        <v>SEDUC SEDE</v>
      </c>
      <c r="C1165" s="1" t="str">
        <f ca="1">IFERROR(__xludf.DUMMYFUNCTION("""COMPUTED_VALUE"""),"SEDUC SEDE")</f>
        <v>SEDUC SEDE</v>
      </c>
      <c r="D1165" s="1" t="str">
        <f ca="1">IFERROR(__xludf.DUMMYFUNCTION("""COMPUTED_VALUE"""),"SEDUC SEDE")</f>
        <v>SEDUC SEDE</v>
      </c>
      <c r="E1165" s="1" t="str">
        <f ca="1">IFERROR(__xludf.DUMMYFUNCTION("""COMPUTED_VALUE"""),"SEDUC SEDE")</f>
        <v>SEDUC SEDE</v>
      </c>
      <c r="F1165" s="1"/>
      <c r="G1165" s="1"/>
      <c r="H1165" s="1" t="str">
        <f ca="1">IFERROR(__xludf.DUMMYFUNCTION("""COMPUTED_VALUE"""),"19A URE - BELEM")</f>
        <v>19A URE - BELEM</v>
      </c>
      <c r="I1165" s="1"/>
      <c r="J1165" s="1" t="str">
        <f ca="1">IFERROR(__xludf.DUMMYFUNCTION("""COMPUTED_VALUE"""),"BELEM")</f>
        <v>BELEM</v>
      </c>
      <c r="K1165" s="1"/>
      <c r="L1165" s="2" t="str">
        <f ca="1">IFERROR(__xludf.DUMMYFUNCTION("""COMPUTED_VALUE"""),"001920200000000")</f>
        <v>001920200000000</v>
      </c>
      <c r="M1165" s="2" t="str">
        <f ca="1">IFERROR(__xludf.DUMMYFUNCTION("""COMPUTED_VALUE"""),"1920200000000")</f>
        <v>1920200000000</v>
      </c>
      <c r="N1165" s="1" t="str">
        <f ca="1">IFERROR(__xludf.DUMMYFUNCTION("""COMPUTED_VALUE"""),"Gabinete do Secretário")</f>
        <v>Gabinete do Secretário</v>
      </c>
      <c r="O1165" s="1"/>
      <c r="P1165" s="1"/>
      <c r="Q1165" s="1" t="s">
        <v>1174</v>
      </c>
    </row>
    <row r="1166" spans="1:17" x14ac:dyDescent="0.25">
      <c r="A1166" s="2" t="str">
        <f ca="1">IFERROR(__xludf.DUMMYFUNCTION("""COMPUTED_VALUE"""),"REG DE INTEGRA  METROPOLITANA")</f>
        <v>REG DE INTEGRA  METROPOLITANA</v>
      </c>
      <c r="B1166" s="1" t="str">
        <f ca="1">IFERROR(__xludf.DUMMYFUNCTION("""COMPUTED_VALUE"""),"SEDUC SEDE")</f>
        <v>SEDUC SEDE</v>
      </c>
      <c r="C1166" s="1" t="str">
        <f ca="1">IFERROR(__xludf.DUMMYFUNCTION("""COMPUTED_VALUE"""),"SEDUC SEDE")</f>
        <v>SEDUC SEDE</v>
      </c>
      <c r="D1166" s="1" t="str">
        <f ca="1">IFERROR(__xludf.DUMMYFUNCTION("""COMPUTED_VALUE"""),"SEDUC SEDE")</f>
        <v>SEDUC SEDE</v>
      </c>
      <c r="E1166" s="1" t="str">
        <f ca="1">IFERROR(__xludf.DUMMYFUNCTION("""COMPUTED_VALUE"""),"SEDUC SEDE")</f>
        <v>SEDUC SEDE</v>
      </c>
      <c r="F1166" s="1"/>
      <c r="G1166" s="1"/>
      <c r="H1166" s="1" t="str">
        <f ca="1">IFERROR(__xludf.DUMMYFUNCTION("""COMPUTED_VALUE"""),"19A URE - BELEM")</f>
        <v>19A URE - BELEM</v>
      </c>
      <c r="I1166" s="1"/>
      <c r="J1166" s="1" t="str">
        <f ca="1">IFERROR(__xludf.DUMMYFUNCTION("""COMPUTED_VALUE"""),"BELEM")</f>
        <v>BELEM</v>
      </c>
      <c r="K1166" s="1"/>
      <c r="L1166" s="2" t="str">
        <f ca="1">IFERROR(__xludf.DUMMYFUNCTION("""COMPUTED_VALUE"""),"001920200000000")</f>
        <v>001920200000000</v>
      </c>
      <c r="M1166" s="2" t="str">
        <f ca="1">IFERROR(__xludf.DUMMYFUNCTION("""COMPUTED_VALUE"""),"1920200000000")</f>
        <v>1920200000000</v>
      </c>
      <c r="N1166" s="1" t="str">
        <f ca="1">IFERROR(__xludf.DUMMYFUNCTION("""COMPUTED_VALUE"""),"Departamento Educacional de Atividades Físicas,Gabinete do Secretário")</f>
        <v>Departamento Educacional de Atividades Físicas,Gabinete do Secretário</v>
      </c>
      <c r="O1166" s="1"/>
      <c r="P1166" s="1"/>
      <c r="Q1166" s="1" t="s">
        <v>1174</v>
      </c>
    </row>
    <row r="1167" spans="1:17" x14ac:dyDescent="0.25">
      <c r="A1167" s="2" t="str">
        <f ca="1">IFERROR(__xludf.DUMMYFUNCTION("""COMPUTED_VALUE"""),"REG DE INTEGRA  METROPOLITANA")</f>
        <v>REG DE INTEGRA  METROPOLITANA</v>
      </c>
      <c r="B1167" s="1" t="str">
        <f ca="1">IFERROR(__xludf.DUMMYFUNCTION("""COMPUTED_VALUE"""),"SEDUC SEDE")</f>
        <v>SEDUC SEDE</v>
      </c>
      <c r="C1167" s="1" t="str">
        <f ca="1">IFERROR(__xludf.DUMMYFUNCTION("""COMPUTED_VALUE"""),"SEDUC SEDE")</f>
        <v>SEDUC SEDE</v>
      </c>
      <c r="D1167" s="1" t="str">
        <f ca="1">IFERROR(__xludf.DUMMYFUNCTION("""COMPUTED_VALUE"""),"SEDUC SEDE")</f>
        <v>SEDUC SEDE</v>
      </c>
      <c r="E1167" s="1" t="str">
        <f ca="1">IFERROR(__xludf.DUMMYFUNCTION("""COMPUTED_VALUE"""),"SEDUC SEDE")</f>
        <v>SEDUC SEDE</v>
      </c>
      <c r="F1167" s="1"/>
      <c r="G1167" s="1"/>
      <c r="H1167" s="1" t="str">
        <f ca="1">IFERROR(__xludf.DUMMYFUNCTION("""COMPUTED_VALUE"""),"19A URE - BELEM")</f>
        <v>19A URE - BELEM</v>
      </c>
      <c r="I1167" s="1"/>
      <c r="J1167" s="1" t="str">
        <f ca="1">IFERROR(__xludf.DUMMYFUNCTION("""COMPUTED_VALUE"""),"BELEM")</f>
        <v>BELEM</v>
      </c>
      <c r="K1167" s="1"/>
      <c r="L1167" s="2" t="str">
        <f ca="1">IFERROR(__xludf.DUMMYFUNCTION("""COMPUTED_VALUE"""),"001920202000000")</f>
        <v>001920202000000</v>
      </c>
      <c r="M1167" s="2" t="str">
        <f ca="1">IFERROR(__xludf.DUMMYFUNCTION("""COMPUTED_VALUE"""),"1920202000000")</f>
        <v>1920202000000</v>
      </c>
      <c r="N1167" s="1" t="str">
        <f ca="1">IFERROR(__xludf.DUMMYFUNCTION("""COMPUTED_VALUE"""),"Assessoria Juridica")</f>
        <v>Assessoria Juridica</v>
      </c>
      <c r="O1167" s="1"/>
      <c r="P1167" s="1"/>
      <c r="Q1167" s="1" t="s">
        <v>1174</v>
      </c>
    </row>
    <row r="1168" spans="1:17" x14ac:dyDescent="0.25">
      <c r="A1168" s="2" t="str">
        <f ca="1">IFERROR(__xludf.DUMMYFUNCTION("""COMPUTED_VALUE"""),"REG DE INTEGRA  METROPOLITANA")</f>
        <v>REG DE INTEGRA  METROPOLITANA</v>
      </c>
      <c r="B1168" s="1" t="str">
        <f ca="1">IFERROR(__xludf.DUMMYFUNCTION("""COMPUTED_VALUE"""),"SEDUC SEDE")</f>
        <v>SEDUC SEDE</v>
      </c>
      <c r="C1168" s="1" t="str">
        <f ca="1">IFERROR(__xludf.DUMMYFUNCTION("""COMPUTED_VALUE"""),"SEDUC SEDE")</f>
        <v>SEDUC SEDE</v>
      </c>
      <c r="D1168" s="1" t="str">
        <f ca="1">IFERROR(__xludf.DUMMYFUNCTION("""COMPUTED_VALUE"""),"SEDUC SEDE")</f>
        <v>SEDUC SEDE</v>
      </c>
      <c r="E1168" s="1" t="str">
        <f ca="1">IFERROR(__xludf.DUMMYFUNCTION("""COMPUTED_VALUE"""),"SEDUC SEDE")</f>
        <v>SEDUC SEDE</v>
      </c>
      <c r="F1168" s="1"/>
      <c r="G1168" s="1"/>
      <c r="H1168" s="1" t="str">
        <f ca="1">IFERROR(__xludf.DUMMYFUNCTION("""COMPUTED_VALUE"""),"19A URE - BELEM")</f>
        <v>19A URE - BELEM</v>
      </c>
      <c r="I1168" s="1"/>
      <c r="J1168" s="1" t="str">
        <f ca="1">IFERROR(__xludf.DUMMYFUNCTION("""COMPUTED_VALUE"""),"BELEM")</f>
        <v>BELEM</v>
      </c>
      <c r="K1168" s="1"/>
      <c r="L1168" s="2" t="str">
        <f ca="1">IFERROR(__xludf.DUMMYFUNCTION("""COMPUTED_VALUE"""),"001920203000000")</f>
        <v>001920203000000</v>
      </c>
      <c r="M1168" s="2" t="str">
        <f ca="1">IFERROR(__xludf.DUMMYFUNCTION("""COMPUTED_VALUE"""),"1920203000000")</f>
        <v>1920203000000</v>
      </c>
      <c r="N1168" s="1" t="str">
        <f ca="1">IFERROR(__xludf.DUMMYFUNCTION("""COMPUTED_VALUE"""),"Assessoria de Comunicação Social")</f>
        <v>Assessoria de Comunicação Social</v>
      </c>
      <c r="O1168" s="1"/>
      <c r="P1168" s="1"/>
      <c r="Q1168" s="1" t="s">
        <v>1174</v>
      </c>
    </row>
    <row r="1169" spans="1:17" x14ac:dyDescent="0.25">
      <c r="A1169" s="2" t="str">
        <f ca="1">IFERROR(__xludf.DUMMYFUNCTION("""COMPUTED_VALUE"""),"REG DE INTEGRA  METROPOLITANA")</f>
        <v>REG DE INTEGRA  METROPOLITANA</v>
      </c>
      <c r="B1169" s="1" t="str">
        <f ca="1">IFERROR(__xludf.DUMMYFUNCTION("""COMPUTED_VALUE"""),"SEDUC SEDE")</f>
        <v>SEDUC SEDE</v>
      </c>
      <c r="C1169" s="1" t="str">
        <f ca="1">IFERROR(__xludf.DUMMYFUNCTION("""COMPUTED_VALUE"""),"SEDUC SEDE")</f>
        <v>SEDUC SEDE</v>
      </c>
      <c r="D1169" s="1" t="str">
        <f ca="1">IFERROR(__xludf.DUMMYFUNCTION("""COMPUTED_VALUE"""),"SEDUC SEDE")</f>
        <v>SEDUC SEDE</v>
      </c>
      <c r="E1169" s="1" t="str">
        <f ca="1">IFERROR(__xludf.DUMMYFUNCTION("""COMPUTED_VALUE"""),"SEDUC SEDE")</f>
        <v>SEDUC SEDE</v>
      </c>
      <c r="F1169" s="1"/>
      <c r="G1169" s="1"/>
      <c r="H1169" s="1" t="str">
        <f ca="1">IFERROR(__xludf.DUMMYFUNCTION("""COMPUTED_VALUE"""),"19A URE - BELEM")</f>
        <v>19A URE - BELEM</v>
      </c>
      <c r="I1169" s="1"/>
      <c r="J1169" s="1" t="str">
        <f ca="1">IFERROR(__xludf.DUMMYFUNCTION("""COMPUTED_VALUE"""),"BELEM")</f>
        <v>BELEM</v>
      </c>
      <c r="K1169" s="1"/>
      <c r="L1169" s="2" t="str">
        <f ca="1">IFERROR(__xludf.DUMMYFUNCTION("""COMPUTED_VALUE"""),"001920204000000")</f>
        <v>001920204000000</v>
      </c>
      <c r="M1169" s="2" t="str">
        <f ca="1">IFERROR(__xludf.DUMMYFUNCTION("""COMPUTED_VALUE"""),"1920204000000")</f>
        <v>1920204000000</v>
      </c>
      <c r="N1169" s="1" t="str">
        <f ca="1">IFERROR(__xludf.DUMMYFUNCTION("""COMPUTED_VALUE"""),"Comissão Permanente de Licitação")</f>
        <v>Comissão Permanente de Licitação</v>
      </c>
      <c r="O1169" s="1"/>
      <c r="P1169" s="1"/>
      <c r="Q1169" s="1" t="s">
        <v>1174</v>
      </c>
    </row>
    <row r="1170" spans="1:17" x14ac:dyDescent="0.25">
      <c r="A1170" s="2" t="str">
        <f ca="1">IFERROR(__xludf.DUMMYFUNCTION("""COMPUTED_VALUE"""),"REG DE INTEGRA  METROPOLITANA")</f>
        <v>REG DE INTEGRA  METROPOLITANA</v>
      </c>
      <c r="B1170" s="1" t="str">
        <f ca="1">IFERROR(__xludf.DUMMYFUNCTION("""COMPUTED_VALUE"""),"SEDUC SEDE")</f>
        <v>SEDUC SEDE</v>
      </c>
      <c r="C1170" s="1" t="str">
        <f ca="1">IFERROR(__xludf.DUMMYFUNCTION("""COMPUTED_VALUE"""),"SEDUC SEDE")</f>
        <v>SEDUC SEDE</v>
      </c>
      <c r="D1170" s="1" t="str">
        <f ca="1">IFERROR(__xludf.DUMMYFUNCTION("""COMPUTED_VALUE"""),"SEDUC SEDE")</f>
        <v>SEDUC SEDE</v>
      </c>
      <c r="E1170" s="1" t="str">
        <f ca="1">IFERROR(__xludf.DUMMYFUNCTION("""COMPUTED_VALUE"""),"SEDUC SEDE")</f>
        <v>SEDUC SEDE</v>
      </c>
      <c r="F1170" s="1"/>
      <c r="G1170" s="1"/>
      <c r="H1170" s="1" t="str">
        <f ca="1">IFERROR(__xludf.DUMMYFUNCTION("""COMPUTED_VALUE"""),"19A URE - BELEM")</f>
        <v>19A URE - BELEM</v>
      </c>
      <c r="I1170" s="1"/>
      <c r="J1170" s="1" t="str">
        <f ca="1">IFERROR(__xludf.DUMMYFUNCTION("""COMPUTED_VALUE"""),"BELEM")</f>
        <v>BELEM</v>
      </c>
      <c r="K1170" s="1"/>
      <c r="L1170" s="2" t="str">
        <f ca="1">IFERROR(__xludf.DUMMYFUNCTION("""COMPUTED_VALUE"""),"001920205000000")</f>
        <v>001920205000000</v>
      </c>
      <c r="M1170" s="2" t="str">
        <f ca="1">IFERROR(__xludf.DUMMYFUNCTION("""COMPUTED_VALUE"""),"1920205000000")</f>
        <v>1920205000000</v>
      </c>
      <c r="N1170" s="1" t="str">
        <f ca="1">IFERROR(__xludf.DUMMYFUNCTION("""COMPUTED_VALUE"""),"Corregedoria")</f>
        <v>Corregedoria</v>
      </c>
      <c r="O1170" s="1"/>
      <c r="P1170" s="1"/>
      <c r="Q1170" s="1" t="s">
        <v>1174</v>
      </c>
    </row>
    <row r="1171" spans="1:17" x14ac:dyDescent="0.25">
      <c r="A1171" s="2" t="str">
        <f ca="1">IFERROR(__xludf.DUMMYFUNCTION("""COMPUTED_VALUE"""),"REG DE INTEGRA  METROPOLITANA")</f>
        <v>REG DE INTEGRA  METROPOLITANA</v>
      </c>
      <c r="B1171" s="1" t="str">
        <f ca="1">IFERROR(__xludf.DUMMYFUNCTION("""COMPUTED_VALUE"""),"SEDUC SEDE")</f>
        <v>SEDUC SEDE</v>
      </c>
      <c r="C1171" s="1" t="str">
        <f ca="1">IFERROR(__xludf.DUMMYFUNCTION("""COMPUTED_VALUE"""),"SEDUC SEDE")</f>
        <v>SEDUC SEDE</v>
      </c>
      <c r="D1171" s="1" t="str">
        <f ca="1">IFERROR(__xludf.DUMMYFUNCTION("""COMPUTED_VALUE"""),"SEDUC SEDE")</f>
        <v>SEDUC SEDE</v>
      </c>
      <c r="E1171" s="1" t="str">
        <f ca="1">IFERROR(__xludf.DUMMYFUNCTION("""COMPUTED_VALUE"""),"SEDUC SEDE")</f>
        <v>SEDUC SEDE</v>
      </c>
      <c r="F1171" s="1"/>
      <c r="G1171" s="1"/>
      <c r="H1171" s="1" t="str">
        <f ca="1">IFERROR(__xludf.DUMMYFUNCTION("""COMPUTED_VALUE"""),"19A URE - BELEM")</f>
        <v>19A URE - BELEM</v>
      </c>
      <c r="I1171" s="1"/>
      <c r="J1171" s="1" t="str">
        <f ca="1">IFERROR(__xludf.DUMMYFUNCTION("""COMPUTED_VALUE"""),"BELEM")</f>
        <v>BELEM</v>
      </c>
      <c r="K1171" s="1"/>
      <c r="L1171" s="2" t="str">
        <f ca="1">IFERROR(__xludf.DUMMYFUNCTION("""COMPUTED_VALUE"""),"001920300000000")</f>
        <v>001920300000000</v>
      </c>
      <c r="M1171" s="2" t="str">
        <f ca="1">IFERROR(__xludf.DUMMYFUNCTION("""COMPUTED_VALUE"""),"1920300000000")</f>
        <v>1920300000000</v>
      </c>
      <c r="N1171" s="1" t="str">
        <f ca="1">IFERROR(__xludf.DUMMYFUNCTION("""COMPUTED_VALUE"""),"Assessoria de Planejamento")</f>
        <v>Assessoria de Planejamento</v>
      </c>
      <c r="O1171" s="1"/>
      <c r="P1171" s="1"/>
      <c r="Q1171" s="1" t="s">
        <v>1174</v>
      </c>
    </row>
    <row r="1172" spans="1:17" x14ac:dyDescent="0.25">
      <c r="A1172" s="2" t="str">
        <f ca="1">IFERROR(__xludf.DUMMYFUNCTION("""COMPUTED_VALUE"""),"REG DE INTEGRA  METROPOLITANA")</f>
        <v>REG DE INTEGRA  METROPOLITANA</v>
      </c>
      <c r="B1172" s="1" t="str">
        <f ca="1">IFERROR(__xludf.DUMMYFUNCTION("""COMPUTED_VALUE"""),"SEDUC SEDE")</f>
        <v>SEDUC SEDE</v>
      </c>
      <c r="C1172" s="1" t="str">
        <f ca="1">IFERROR(__xludf.DUMMYFUNCTION("""COMPUTED_VALUE"""),"SEDUC SEDE")</f>
        <v>SEDUC SEDE</v>
      </c>
      <c r="D1172" s="1" t="str">
        <f ca="1">IFERROR(__xludf.DUMMYFUNCTION("""COMPUTED_VALUE"""),"SEDUC SEDE")</f>
        <v>SEDUC SEDE</v>
      </c>
      <c r="E1172" s="1" t="str">
        <f ca="1">IFERROR(__xludf.DUMMYFUNCTION("""COMPUTED_VALUE"""),"SEDUC SEDE")</f>
        <v>SEDUC SEDE</v>
      </c>
      <c r="F1172" s="1"/>
      <c r="G1172" s="1"/>
      <c r="H1172" s="1" t="str">
        <f ca="1">IFERROR(__xludf.DUMMYFUNCTION("""COMPUTED_VALUE"""),"19A URE - BELEM")</f>
        <v>19A URE - BELEM</v>
      </c>
      <c r="I1172" s="1"/>
      <c r="J1172" s="1" t="str">
        <f ca="1">IFERROR(__xludf.DUMMYFUNCTION("""COMPUTED_VALUE"""),"BELEM")</f>
        <v>BELEM</v>
      </c>
      <c r="K1172" s="1"/>
      <c r="L1172" s="2" t="str">
        <f ca="1">IFERROR(__xludf.DUMMYFUNCTION("""COMPUTED_VALUE"""),"001920400000000")</f>
        <v>001920400000000</v>
      </c>
      <c r="M1172" s="2" t="str">
        <f ca="1">IFERROR(__xludf.DUMMYFUNCTION("""COMPUTED_VALUE"""),"1920400000000")</f>
        <v>1920400000000</v>
      </c>
      <c r="N1172" s="1" t="str">
        <f ca="1">IFERROR(__xludf.DUMMYFUNCTION("""COMPUTED_VALUE"""),"Assessoria de Rede Física")</f>
        <v>Assessoria de Rede Física</v>
      </c>
      <c r="O1172" s="1"/>
      <c r="P1172" s="1"/>
      <c r="Q1172" s="1" t="s">
        <v>1174</v>
      </c>
    </row>
    <row r="1173" spans="1:17" x14ac:dyDescent="0.25">
      <c r="A1173" s="2" t="str">
        <f ca="1">IFERROR(__xludf.DUMMYFUNCTION("""COMPUTED_VALUE"""),"REG DE INTEGRA  METROPOLITANA")</f>
        <v>REG DE INTEGRA  METROPOLITANA</v>
      </c>
      <c r="B1173" s="1" t="str">
        <f ca="1">IFERROR(__xludf.DUMMYFUNCTION("""COMPUTED_VALUE"""),"SEDUC SEDE")</f>
        <v>SEDUC SEDE</v>
      </c>
      <c r="C1173" s="1" t="str">
        <f ca="1">IFERROR(__xludf.DUMMYFUNCTION("""COMPUTED_VALUE"""),"SEDUC SEDE")</f>
        <v>SEDUC SEDE</v>
      </c>
      <c r="D1173" s="1" t="str">
        <f ca="1">IFERROR(__xludf.DUMMYFUNCTION("""COMPUTED_VALUE"""),"SEDUC SEDE")</f>
        <v>SEDUC SEDE</v>
      </c>
      <c r="E1173" s="1" t="str">
        <f ca="1">IFERROR(__xludf.DUMMYFUNCTION("""COMPUTED_VALUE"""),"SEDUC SEDE")</f>
        <v>SEDUC SEDE</v>
      </c>
      <c r="F1173" s="1"/>
      <c r="G1173" s="1"/>
      <c r="H1173" s="1" t="str">
        <f ca="1">IFERROR(__xludf.DUMMYFUNCTION("""COMPUTED_VALUE"""),"19A URE - BELEM")</f>
        <v>19A URE - BELEM</v>
      </c>
      <c r="I1173" s="1"/>
      <c r="J1173" s="1" t="str">
        <f ca="1">IFERROR(__xludf.DUMMYFUNCTION("""COMPUTED_VALUE"""),"BELEM")</f>
        <v>BELEM</v>
      </c>
      <c r="K1173" s="1"/>
      <c r="L1173" s="2" t="str">
        <f ca="1">IFERROR(__xludf.DUMMYFUNCTION("""COMPUTED_VALUE"""),"001920500000000")</f>
        <v>001920500000000</v>
      </c>
      <c r="M1173" s="2" t="str">
        <f ca="1">IFERROR(__xludf.DUMMYFUNCTION("""COMPUTED_VALUE"""),"1920500000000")</f>
        <v>1920500000000</v>
      </c>
      <c r="N1173" s="1" t="str">
        <f ca="1">IFERROR(__xludf.DUMMYFUNCTION("""COMPUTED_VALUE"""),"Diretoria de Ensino")</f>
        <v>Diretoria de Ensino</v>
      </c>
      <c r="O1173" s="1"/>
      <c r="P1173" s="1"/>
      <c r="Q1173" s="1" t="s">
        <v>1174</v>
      </c>
    </row>
    <row r="1174" spans="1:17" x14ac:dyDescent="0.25">
      <c r="A1174" s="2" t="str">
        <f ca="1">IFERROR(__xludf.DUMMYFUNCTION("""COMPUTED_VALUE"""),"REG DE INTEGRA  METROPOLITANA")</f>
        <v>REG DE INTEGRA  METROPOLITANA</v>
      </c>
      <c r="B1174" s="1" t="str">
        <f ca="1">IFERROR(__xludf.DUMMYFUNCTION("""COMPUTED_VALUE"""),"SEDUC SEDE")</f>
        <v>SEDUC SEDE</v>
      </c>
      <c r="C1174" s="1" t="str">
        <f ca="1">IFERROR(__xludf.DUMMYFUNCTION("""COMPUTED_VALUE"""),"SEDUC SEDE")</f>
        <v>SEDUC SEDE</v>
      </c>
      <c r="D1174" s="1" t="str">
        <f ca="1">IFERROR(__xludf.DUMMYFUNCTION("""COMPUTED_VALUE"""),"SEDUC SEDE")</f>
        <v>SEDUC SEDE</v>
      </c>
      <c r="E1174" s="1" t="str">
        <f ca="1">IFERROR(__xludf.DUMMYFUNCTION("""COMPUTED_VALUE"""),"SEDUC SEDE")</f>
        <v>SEDUC SEDE</v>
      </c>
      <c r="F1174" s="1"/>
      <c r="G1174" s="1"/>
      <c r="H1174" s="1" t="str">
        <f ca="1">IFERROR(__xludf.DUMMYFUNCTION("""COMPUTED_VALUE"""),"19A URE - BELEM")</f>
        <v>19A URE - BELEM</v>
      </c>
      <c r="I1174" s="1"/>
      <c r="J1174" s="1" t="str">
        <f ca="1">IFERROR(__xludf.DUMMYFUNCTION("""COMPUTED_VALUE"""),"BELEM")</f>
        <v>BELEM</v>
      </c>
      <c r="K1174" s="1"/>
      <c r="L1174" s="2" t="str">
        <f ca="1">IFERROR(__xludf.DUMMYFUNCTION("""COMPUTED_VALUE"""),"001920503000000")</f>
        <v>001920503000000</v>
      </c>
      <c r="M1174" s="2" t="str">
        <f ca="1">IFERROR(__xludf.DUMMYFUNCTION("""COMPUTED_VALUE"""),"1920503000000")</f>
        <v>1920503000000</v>
      </c>
      <c r="N1174" s="1" t="str">
        <f ca="1">IFERROR(__xludf.DUMMYFUNCTION("""COMPUTED_VALUE"""),"Departamento Educacional de Atividades Físicas")</f>
        <v>Departamento Educacional de Atividades Físicas</v>
      </c>
      <c r="O1174" s="1"/>
      <c r="P1174" s="1"/>
      <c r="Q1174" s="1" t="s">
        <v>1174</v>
      </c>
    </row>
    <row r="1175" spans="1:17" x14ac:dyDescent="0.25">
      <c r="A1175" s="2" t="str">
        <f ca="1">IFERROR(__xludf.DUMMYFUNCTION("""COMPUTED_VALUE"""),"REG DE INTEGRA  METROPOLITANA")</f>
        <v>REG DE INTEGRA  METROPOLITANA</v>
      </c>
      <c r="B1175" s="1" t="str">
        <f ca="1">IFERROR(__xludf.DUMMYFUNCTION("""COMPUTED_VALUE"""),"SEDUC SEDE")</f>
        <v>SEDUC SEDE</v>
      </c>
      <c r="C1175" s="1" t="str">
        <f ca="1">IFERROR(__xludf.DUMMYFUNCTION("""COMPUTED_VALUE"""),"SEDUC SEDE")</f>
        <v>SEDUC SEDE</v>
      </c>
      <c r="D1175" s="1" t="str">
        <f ca="1">IFERROR(__xludf.DUMMYFUNCTION("""COMPUTED_VALUE"""),"SEDUC SEDE")</f>
        <v>SEDUC SEDE</v>
      </c>
      <c r="E1175" s="1" t="str">
        <f ca="1">IFERROR(__xludf.DUMMYFUNCTION("""COMPUTED_VALUE"""),"SEDUC SEDE")</f>
        <v>SEDUC SEDE</v>
      </c>
      <c r="F1175" s="1"/>
      <c r="G1175" s="1"/>
      <c r="H1175" s="1" t="str">
        <f ca="1">IFERROR(__xludf.DUMMYFUNCTION("""COMPUTED_VALUE"""),"19A URE - BELEM")</f>
        <v>19A URE - BELEM</v>
      </c>
      <c r="I1175" s="1"/>
      <c r="J1175" s="1" t="str">
        <f ca="1">IFERROR(__xludf.DUMMYFUNCTION("""COMPUTED_VALUE"""),"BELEM")</f>
        <v>BELEM</v>
      </c>
      <c r="K1175" s="1"/>
      <c r="L1175" s="2" t="str">
        <f ca="1">IFERROR(__xludf.DUMMYFUNCTION("""COMPUTED_VALUE"""),"001920504000000")</f>
        <v>001920504000000</v>
      </c>
      <c r="M1175" s="2" t="str">
        <f ca="1">IFERROR(__xludf.DUMMYFUNCTION("""COMPUTED_VALUE"""),"1920504000000")</f>
        <v>1920504000000</v>
      </c>
      <c r="N1175" s="1" t="str">
        <f ca="1">IFERROR(__xludf.DUMMYFUNCTION("""COMPUTED_VALUE"""),"Departamento de Educação Especial")</f>
        <v>Departamento de Educação Especial</v>
      </c>
      <c r="O1175" s="1"/>
      <c r="P1175" s="1"/>
      <c r="Q1175" s="1" t="s">
        <v>1174</v>
      </c>
    </row>
    <row r="1176" spans="1:17" x14ac:dyDescent="0.25">
      <c r="A1176" s="2" t="str">
        <f ca="1">IFERROR(__xludf.DUMMYFUNCTION("""COMPUTED_VALUE"""),"REG DE INTEGRA  METROPOLITANA")</f>
        <v>REG DE INTEGRA  METROPOLITANA</v>
      </c>
      <c r="B1176" s="1" t="str">
        <f ca="1">IFERROR(__xludf.DUMMYFUNCTION("""COMPUTED_VALUE"""),"SEDUC SEDE")</f>
        <v>SEDUC SEDE</v>
      </c>
      <c r="C1176" s="1" t="str">
        <f ca="1">IFERROR(__xludf.DUMMYFUNCTION("""COMPUTED_VALUE"""),"SEDUC SEDE")</f>
        <v>SEDUC SEDE</v>
      </c>
      <c r="D1176" s="1" t="str">
        <f ca="1">IFERROR(__xludf.DUMMYFUNCTION("""COMPUTED_VALUE"""),"SEDUC SEDE")</f>
        <v>SEDUC SEDE</v>
      </c>
      <c r="E1176" s="1" t="str">
        <f ca="1">IFERROR(__xludf.DUMMYFUNCTION("""COMPUTED_VALUE"""),"SEDUC SEDE")</f>
        <v>SEDUC SEDE</v>
      </c>
      <c r="F1176" s="1"/>
      <c r="G1176" s="1"/>
      <c r="H1176" s="1" t="str">
        <f ca="1">IFERROR(__xludf.DUMMYFUNCTION("""COMPUTED_VALUE"""),"19A URE - BELEM")</f>
        <v>19A URE - BELEM</v>
      </c>
      <c r="I1176" s="1"/>
      <c r="J1176" s="1" t="str">
        <f ca="1">IFERROR(__xludf.DUMMYFUNCTION("""COMPUTED_VALUE"""),"BELEM")</f>
        <v>BELEM</v>
      </c>
      <c r="K1176" s="1"/>
      <c r="L1176" s="2" t="str">
        <f ca="1">IFERROR(__xludf.DUMMYFUNCTION("""COMPUTED_VALUE"""),"001920506000000")</f>
        <v>001920506000000</v>
      </c>
      <c r="M1176" s="2" t="str">
        <f ca="1">IFERROR(__xludf.DUMMYFUNCTION("""COMPUTED_VALUE"""),"1920506000000")</f>
        <v>1920506000000</v>
      </c>
      <c r="N1176" s="1" t="str">
        <f ca="1">IFERROR(__xludf.DUMMYFUNCTION("""COMPUTED_VALUE"""),"Depto de Inspeção e Documentação Escolar")</f>
        <v>Depto de Inspeção e Documentação Escolar</v>
      </c>
      <c r="O1176" s="1"/>
      <c r="P1176" s="1"/>
      <c r="Q1176" s="1" t="s">
        <v>1174</v>
      </c>
    </row>
    <row r="1177" spans="1:17" x14ac:dyDescent="0.25">
      <c r="A1177" s="2" t="str">
        <f ca="1">IFERROR(__xludf.DUMMYFUNCTION("""COMPUTED_VALUE"""),"REG DE INTEGRA  METROPOLITANA")</f>
        <v>REG DE INTEGRA  METROPOLITANA</v>
      </c>
      <c r="B1177" s="1" t="str">
        <f ca="1">IFERROR(__xludf.DUMMYFUNCTION("""COMPUTED_VALUE"""),"SEDUC SEDE")</f>
        <v>SEDUC SEDE</v>
      </c>
      <c r="C1177" s="1" t="str">
        <f ca="1">IFERROR(__xludf.DUMMYFUNCTION("""COMPUTED_VALUE"""),"SEDUC SEDE")</f>
        <v>SEDUC SEDE</v>
      </c>
      <c r="D1177" s="1" t="str">
        <f ca="1">IFERROR(__xludf.DUMMYFUNCTION("""COMPUTED_VALUE"""),"SEDUC SEDE")</f>
        <v>SEDUC SEDE</v>
      </c>
      <c r="E1177" s="1" t="str">
        <f ca="1">IFERROR(__xludf.DUMMYFUNCTION("""COMPUTED_VALUE"""),"SEDUC SEDE")</f>
        <v>SEDUC SEDE</v>
      </c>
      <c r="F1177" s="1"/>
      <c r="G1177" s="1"/>
      <c r="H1177" s="1" t="str">
        <f ca="1">IFERROR(__xludf.DUMMYFUNCTION("""COMPUTED_VALUE"""),"19A URE - BELEM")</f>
        <v>19A URE - BELEM</v>
      </c>
      <c r="I1177" s="1"/>
      <c r="J1177" s="1" t="str">
        <f ca="1">IFERROR(__xludf.DUMMYFUNCTION("""COMPUTED_VALUE"""),"BELEM")</f>
        <v>BELEM</v>
      </c>
      <c r="K1177" s="1"/>
      <c r="L1177" s="2" t="str">
        <f ca="1">IFERROR(__xludf.DUMMYFUNCTION("""COMPUTED_VALUE"""),"001920600000000")</f>
        <v>001920600000000</v>
      </c>
      <c r="M1177" s="2" t="str">
        <f ca="1">IFERROR(__xludf.DUMMYFUNCTION("""COMPUTED_VALUE"""),"1920600000000")</f>
        <v>1920600000000</v>
      </c>
      <c r="N1177" s="1" t="str">
        <f ca="1">IFERROR(__xludf.DUMMYFUNCTION("""COMPUTED_VALUE"""),"Diretoria de Assistência ao Estudante")</f>
        <v>Diretoria de Assistência ao Estudante</v>
      </c>
      <c r="O1177" s="1"/>
      <c r="P1177" s="1"/>
      <c r="Q1177" s="1" t="s">
        <v>1174</v>
      </c>
    </row>
    <row r="1178" spans="1:17" x14ac:dyDescent="0.25">
      <c r="A1178" s="2" t="str">
        <f ca="1">IFERROR(__xludf.DUMMYFUNCTION("""COMPUTED_VALUE"""),"REG DE INTEGRA  METROPOLITANA")</f>
        <v>REG DE INTEGRA  METROPOLITANA</v>
      </c>
      <c r="B1178" s="1" t="str">
        <f ca="1">IFERROR(__xludf.DUMMYFUNCTION("""COMPUTED_VALUE"""),"SEDUC SEDE")</f>
        <v>SEDUC SEDE</v>
      </c>
      <c r="C1178" s="1" t="str">
        <f ca="1">IFERROR(__xludf.DUMMYFUNCTION("""COMPUTED_VALUE"""),"SEDUC SEDE")</f>
        <v>SEDUC SEDE</v>
      </c>
      <c r="D1178" s="1" t="str">
        <f ca="1">IFERROR(__xludf.DUMMYFUNCTION("""COMPUTED_VALUE"""),"SEDUC SEDE")</f>
        <v>SEDUC SEDE</v>
      </c>
      <c r="E1178" s="1" t="str">
        <f ca="1">IFERROR(__xludf.DUMMYFUNCTION("""COMPUTED_VALUE"""),"SEDUC SEDE")</f>
        <v>SEDUC SEDE</v>
      </c>
      <c r="F1178" s="1"/>
      <c r="G1178" s="1"/>
      <c r="H1178" s="1" t="str">
        <f ca="1">IFERROR(__xludf.DUMMYFUNCTION("""COMPUTED_VALUE"""),"19A URE - BELEM")</f>
        <v>19A URE - BELEM</v>
      </c>
      <c r="I1178" s="1"/>
      <c r="J1178" s="1" t="str">
        <f ca="1">IFERROR(__xludf.DUMMYFUNCTION("""COMPUTED_VALUE"""),"BELEM")</f>
        <v>BELEM</v>
      </c>
      <c r="K1178" s="1"/>
      <c r="L1178" s="2" t="str">
        <f ca="1">IFERROR(__xludf.DUMMYFUNCTION("""COMPUTED_VALUE"""),"001920700000000")</f>
        <v>001920700000000</v>
      </c>
      <c r="M1178" s="2" t="str">
        <f ca="1">IFERROR(__xludf.DUMMYFUNCTION("""COMPUTED_VALUE"""),"1920700000000")</f>
        <v>1920700000000</v>
      </c>
      <c r="N1178" s="1" t="str">
        <f ca="1">IFERROR(__xludf.DUMMYFUNCTION("""COMPUTED_VALUE"""),"Diretoria de Recursos Humanos")</f>
        <v>Diretoria de Recursos Humanos</v>
      </c>
      <c r="O1178" s="1"/>
      <c r="P1178" s="1"/>
      <c r="Q1178" s="1" t="s">
        <v>1174</v>
      </c>
    </row>
    <row r="1179" spans="1:17" x14ac:dyDescent="0.25">
      <c r="A1179" s="2" t="str">
        <f ca="1">IFERROR(__xludf.DUMMYFUNCTION("""COMPUTED_VALUE"""),"REG DE INTEGRA  METROPOLITANA")</f>
        <v>REG DE INTEGRA  METROPOLITANA</v>
      </c>
      <c r="B1179" s="1" t="str">
        <f ca="1">IFERROR(__xludf.DUMMYFUNCTION("""COMPUTED_VALUE"""),"SEDUC SEDE")</f>
        <v>SEDUC SEDE</v>
      </c>
      <c r="C1179" s="1" t="str">
        <f ca="1">IFERROR(__xludf.DUMMYFUNCTION("""COMPUTED_VALUE"""),"SEDUC SEDE")</f>
        <v>SEDUC SEDE</v>
      </c>
      <c r="D1179" s="1" t="str">
        <f ca="1">IFERROR(__xludf.DUMMYFUNCTION("""COMPUTED_VALUE"""),"SEDUC SEDE")</f>
        <v>SEDUC SEDE</v>
      </c>
      <c r="E1179" s="1" t="str">
        <f ca="1">IFERROR(__xludf.DUMMYFUNCTION("""COMPUTED_VALUE"""),"SEDUC SEDE")</f>
        <v>SEDUC SEDE</v>
      </c>
      <c r="F1179" s="1"/>
      <c r="G1179" s="1"/>
      <c r="H1179" s="1" t="str">
        <f ca="1">IFERROR(__xludf.DUMMYFUNCTION("""COMPUTED_VALUE"""),"19A URE - BELEM")</f>
        <v>19A URE - BELEM</v>
      </c>
      <c r="I1179" s="1"/>
      <c r="J1179" s="1" t="str">
        <f ca="1">IFERROR(__xludf.DUMMYFUNCTION("""COMPUTED_VALUE"""),"BELEM")</f>
        <v>BELEM</v>
      </c>
      <c r="K1179" s="1"/>
      <c r="L1179" s="2" t="str">
        <f ca="1">IFERROR(__xludf.DUMMYFUNCTION("""COMPUTED_VALUE"""),"001920701000000")</f>
        <v>001920701000000</v>
      </c>
      <c r="M1179" s="2" t="str">
        <f ca="1">IFERROR(__xludf.DUMMYFUNCTION("""COMPUTED_VALUE"""),"1920701000000")</f>
        <v>1920701000000</v>
      </c>
      <c r="N1179" s="1" t="str">
        <f ca="1">IFERROR(__xludf.DUMMYFUNCTION("""COMPUTED_VALUE"""),"Departamento de Administração de Pessoal")</f>
        <v>Departamento de Administração de Pessoal</v>
      </c>
      <c r="O1179" s="1"/>
      <c r="P1179" s="1"/>
      <c r="Q1179" s="1" t="s">
        <v>1174</v>
      </c>
    </row>
    <row r="1180" spans="1:17" x14ac:dyDescent="0.25">
      <c r="A1180" s="2" t="str">
        <f ca="1">IFERROR(__xludf.DUMMYFUNCTION("""COMPUTED_VALUE"""),"REG DE INTEGRA  METROPOLITANA")</f>
        <v>REG DE INTEGRA  METROPOLITANA</v>
      </c>
      <c r="B1180" s="1" t="str">
        <f ca="1">IFERROR(__xludf.DUMMYFUNCTION("""COMPUTED_VALUE"""),"SEDUC SEDE")</f>
        <v>SEDUC SEDE</v>
      </c>
      <c r="C1180" s="1" t="str">
        <f ca="1">IFERROR(__xludf.DUMMYFUNCTION("""COMPUTED_VALUE"""),"SEDUC SEDE")</f>
        <v>SEDUC SEDE</v>
      </c>
      <c r="D1180" s="1" t="str">
        <f ca="1">IFERROR(__xludf.DUMMYFUNCTION("""COMPUTED_VALUE"""),"SEDUC SEDE")</f>
        <v>SEDUC SEDE</v>
      </c>
      <c r="E1180" s="1" t="str">
        <f ca="1">IFERROR(__xludf.DUMMYFUNCTION("""COMPUTED_VALUE"""),"SEDUC SEDE")</f>
        <v>SEDUC SEDE</v>
      </c>
      <c r="F1180" s="1"/>
      <c r="G1180" s="1"/>
      <c r="H1180" s="1" t="str">
        <f ca="1">IFERROR(__xludf.DUMMYFUNCTION("""COMPUTED_VALUE"""),"19A URE - BELEM")</f>
        <v>19A URE - BELEM</v>
      </c>
      <c r="I1180" s="1"/>
      <c r="J1180" s="1" t="str">
        <f ca="1">IFERROR(__xludf.DUMMYFUNCTION("""COMPUTED_VALUE"""),"BELEM")</f>
        <v>BELEM</v>
      </c>
      <c r="K1180" s="1"/>
      <c r="L1180" s="2" t="str">
        <f ca="1">IFERROR(__xludf.DUMMYFUNCTION("""COMPUTED_VALUE"""),"001920701010000")</f>
        <v>001920701010000</v>
      </c>
      <c r="M1180" s="2" t="str">
        <f ca="1">IFERROR(__xludf.DUMMYFUNCTION("""COMPUTED_VALUE"""),"1920701010000")</f>
        <v>1920701010000</v>
      </c>
      <c r="N1180" s="1" t="str">
        <f ca="1">IFERROR(__xludf.DUMMYFUNCTION("""COMPUTED_VALUE"""),"Divisão de Cadastro")</f>
        <v>Divisão de Cadastro</v>
      </c>
      <c r="O1180" s="1"/>
      <c r="P1180" s="1"/>
      <c r="Q1180" s="1" t="s">
        <v>1174</v>
      </c>
    </row>
    <row r="1181" spans="1:17" x14ac:dyDescent="0.25">
      <c r="A1181" s="2" t="str">
        <f ca="1">IFERROR(__xludf.DUMMYFUNCTION("""COMPUTED_VALUE"""),"REG DE INTEGRA  METROPOLITANA")</f>
        <v>REG DE INTEGRA  METROPOLITANA</v>
      </c>
      <c r="B1181" s="1" t="str">
        <f ca="1">IFERROR(__xludf.DUMMYFUNCTION("""COMPUTED_VALUE"""),"SEDUC SEDE")</f>
        <v>SEDUC SEDE</v>
      </c>
      <c r="C1181" s="1" t="str">
        <f ca="1">IFERROR(__xludf.DUMMYFUNCTION("""COMPUTED_VALUE"""),"SEDUC SEDE")</f>
        <v>SEDUC SEDE</v>
      </c>
      <c r="D1181" s="1" t="str">
        <f ca="1">IFERROR(__xludf.DUMMYFUNCTION("""COMPUTED_VALUE"""),"SEDUC SEDE")</f>
        <v>SEDUC SEDE</v>
      </c>
      <c r="E1181" s="1" t="str">
        <f ca="1">IFERROR(__xludf.DUMMYFUNCTION("""COMPUTED_VALUE"""),"SEDUC SEDE")</f>
        <v>SEDUC SEDE</v>
      </c>
      <c r="F1181" s="1"/>
      <c r="G1181" s="1"/>
      <c r="H1181" s="1" t="str">
        <f ca="1">IFERROR(__xludf.DUMMYFUNCTION("""COMPUTED_VALUE"""),"19A URE - BELEM")</f>
        <v>19A URE - BELEM</v>
      </c>
      <c r="I1181" s="1"/>
      <c r="J1181" s="1" t="str">
        <f ca="1">IFERROR(__xludf.DUMMYFUNCTION("""COMPUTED_VALUE"""),"BELEM")</f>
        <v>BELEM</v>
      </c>
      <c r="K1181" s="1"/>
      <c r="L1181" s="2" t="str">
        <f ca="1">IFERROR(__xludf.DUMMYFUNCTION("""COMPUTED_VALUE"""),"001920701010001")</f>
        <v>001920701010001</v>
      </c>
      <c r="M1181" s="2" t="str">
        <f ca="1">IFERROR(__xludf.DUMMYFUNCTION("""COMPUTED_VALUE"""),"1920701010001")</f>
        <v>1920701010001</v>
      </c>
      <c r="N1181" s="1" t="str">
        <f ca="1">IFERROR(__xludf.DUMMYFUNCTION("""COMPUTED_VALUE"""),"Seção de Cadastro da Capital")</f>
        <v>Seção de Cadastro da Capital</v>
      </c>
      <c r="O1181" s="1"/>
      <c r="P1181" s="1"/>
      <c r="Q1181" s="1" t="s">
        <v>1174</v>
      </c>
    </row>
    <row r="1182" spans="1:17" x14ac:dyDescent="0.25">
      <c r="A1182" s="2" t="str">
        <f ca="1">IFERROR(__xludf.DUMMYFUNCTION("""COMPUTED_VALUE"""),"REG DE INTEGRA  METROPOLITANA")</f>
        <v>REG DE INTEGRA  METROPOLITANA</v>
      </c>
      <c r="B1182" s="1" t="str">
        <f ca="1">IFERROR(__xludf.DUMMYFUNCTION("""COMPUTED_VALUE"""),"SEDUC SEDE")</f>
        <v>SEDUC SEDE</v>
      </c>
      <c r="C1182" s="1" t="str">
        <f ca="1">IFERROR(__xludf.DUMMYFUNCTION("""COMPUTED_VALUE"""),"SEDUC SEDE")</f>
        <v>SEDUC SEDE</v>
      </c>
      <c r="D1182" s="1" t="str">
        <f ca="1">IFERROR(__xludf.DUMMYFUNCTION("""COMPUTED_VALUE"""),"SEDUC SEDE")</f>
        <v>SEDUC SEDE</v>
      </c>
      <c r="E1182" s="1" t="str">
        <f ca="1">IFERROR(__xludf.DUMMYFUNCTION("""COMPUTED_VALUE"""),"SEDUC SEDE")</f>
        <v>SEDUC SEDE</v>
      </c>
      <c r="F1182" s="1"/>
      <c r="G1182" s="1"/>
      <c r="H1182" s="1" t="str">
        <f ca="1">IFERROR(__xludf.DUMMYFUNCTION("""COMPUTED_VALUE"""),"19A URE - BELEM")</f>
        <v>19A URE - BELEM</v>
      </c>
      <c r="I1182" s="1"/>
      <c r="J1182" s="1" t="str">
        <f ca="1">IFERROR(__xludf.DUMMYFUNCTION("""COMPUTED_VALUE"""),"BELEM")</f>
        <v>BELEM</v>
      </c>
      <c r="K1182" s="1"/>
      <c r="L1182" s="2" t="str">
        <f ca="1">IFERROR(__xludf.DUMMYFUNCTION("""COMPUTED_VALUE"""),"001920701010001")</f>
        <v>001920701010001</v>
      </c>
      <c r="M1182" s="2" t="str">
        <f ca="1">IFERROR(__xludf.DUMMYFUNCTION("""COMPUTED_VALUE"""),"1920701010001")</f>
        <v>1920701010001</v>
      </c>
      <c r="N1182" s="1" t="str">
        <f ca="1">IFERROR(__xludf.DUMMYFUNCTION("""COMPUTED_VALUE"""),"Seção Cadastro do Interior,Seção de Cadastro da Capital")</f>
        <v>Seção Cadastro do Interior,Seção de Cadastro da Capital</v>
      </c>
      <c r="O1182" s="1"/>
      <c r="P1182" s="1"/>
      <c r="Q1182" s="1" t="s">
        <v>1174</v>
      </c>
    </row>
    <row r="1183" spans="1:17" x14ac:dyDescent="0.25">
      <c r="A1183" s="2" t="str">
        <f ca="1">IFERROR(__xludf.DUMMYFUNCTION("""COMPUTED_VALUE"""),"REG DE INTEGRA  METROPOLITANA")</f>
        <v>REG DE INTEGRA  METROPOLITANA</v>
      </c>
      <c r="B1183" s="1" t="str">
        <f ca="1">IFERROR(__xludf.DUMMYFUNCTION("""COMPUTED_VALUE"""),"SEDUC SEDE")</f>
        <v>SEDUC SEDE</v>
      </c>
      <c r="C1183" s="1" t="str">
        <f ca="1">IFERROR(__xludf.DUMMYFUNCTION("""COMPUTED_VALUE"""),"SEDUC SEDE")</f>
        <v>SEDUC SEDE</v>
      </c>
      <c r="D1183" s="1" t="str">
        <f ca="1">IFERROR(__xludf.DUMMYFUNCTION("""COMPUTED_VALUE"""),"SEDUC SEDE")</f>
        <v>SEDUC SEDE</v>
      </c>
      <c r="E1183" s="1" t="str">
        <f ca="1">IFERROR(__xludf.DUMMYFUNCTION("""COMPUTED_VALUE"""),"SEDUC SEDE")</f>
        <v>SEDUC SEDE</v>
      </c>
      <c r="F1183" s="1"/>
      <c r="G1183" s="1"/>
      <c r="H1183" s="1" t="str">
        <f ca="1">IFERROR(__xludf.DUMMYFUNCTION("""COMPUTED_VALUE"""),"19A URE - BELEM")</f>
        <v>19A URE - BELEM</v>
      </c>
      <c r="I1183" s="1"/>
      <c r="J1183" s="1" t="str">
        <f ca="1">IFERROR(__xludf.DUMMYFUNCTION("""COMPUTED_VALUE"""),"BELEM")</f>
        <v>BELEM</v>
      </c>
      <c r="K1183" s="1"/>
      <c r="L1183" s="2" t="str">
        <f ca="1">IFERROR(__xludf.DUMMYFUNCTION("""COMPUTED_VALUE"""),"001920701010002")</f>
        <v>001920701010002</v>
      </c>
      <c r="M1183" s="2" t="str">
        <f ca="1">IFERROR(__xludf.DUMMYFUNCTION("""COMPUTED_VALUE"""),"1920701010002")</f>
        <v>1920701010002</v>
      </c>
      <c r="N1183" s="1" t="str">
        <f ca="1">IFERROR(__xludf.DUMMYFUNCTION("""COMPUTED_VALUE"""),"Seção Cadastro do Interior")</f>
        <v>Seção Cadastro do Interior</v>
      </c>
      <c r="O1183" s="1"/>
      <c r="P1183" s="1"/>
      <c r="Q1183" s="1" t="s">
        <v>1174</v>
      </c>
    </row>
    <row r="1184" spans="1:17" x14ac:dyDescent="0.25">
      <c r="A1184" s="2" t="str">
        <f ca="1">IFERROR(__xludf.DUMMYFUNCTION("""COMPUTED_VALUE"""),"REG DE INTEGRA  METROPOLITANA")</f>
        <v>REG DE INTEGRA  METROPOLITANA</v>
      </c>
      <c r="B1184" s="1" t="str">
        <f ca="1">IFERROR(__xludf.DUMMYFUNCTION("""COMPUTED_VALUE"""),"SEDUC SEDE")</f>
        <v>SEDUC SEDE</v>
      </c>
      <c r="C1184" s="1" t="str">
        <f ca="1">IFERROR(__xludf.DUMMYFUNCTION("""COMPUTED_VALUE"""),"SEDUC SEDE")</f>
        <v>SEDUC SEDE</v>
      </c>
      <c r="D1184" s="1" t="str">
        <f ca="1">IFERROR(__xludf.DUMMYFUNCTION("""COMPUTED_VALUE"""),"SEDUC SEDE")</f>
        <v>SEDUC SEDE</v>
      </c>
      <c r="E1184" s="1" t="str">
        <f ca="1">IFERROR(__xludf.DUMMYFUNCTION("""COMPUTED_VALUE"""),"SEDUC SEDE")</f>
        <v>SEDUC SEDE</v>
      </c>
      <c r="F1184" s="1"/>
      <c r="G1184" s="1"/>
      <c r="H1184" s="1" t="str">
        <f ca="1">IFERROR(__xludf.DUMMYFUNCTION("""COMPUTED_VALUE"""),"19A URE - BELEM")</f>
        <v>19A URE - BELEM</v>
      </c>
      <c r="I1184" s="1"/>
      <c r="J1184" s="1" t="str">
        <f ca="1">IFERROR(__xludf.DUMMYFUNCTION("""COMPUTED_VALUE"""),"BELEM")</f>
        <v>BELEM</v>
      </c>
      <c r="K1184" s="1"/>
      <c r="L1184" s="2" t="str">
        <f ca="1">IFERROR(__xludf.DUMMYFUNCTION("""COMPUTED_VALUE"""),"001920701020000")</f>
        <v>001920701020000</v>
      </c>
      <c r="M1184" s="2" t="str">
        <f ca="1">IFERROR(__xludf.DUMMYFUNCTION("""COMPUTED_VALUE"""),"1920701020000")</f>
        <v>1920701020000</v>
      </c>
      <c r="N1184" s="1" t="str">
        <f ca="1">IFERROR(__xludf.DUMMYFUNCTION("""COMPUTED_VALUE"""),"Divisao de Registro e Movimentacao de Pessoal")</f>
        <v>Divisao de Registro e Movimentacao de Pessoal</v>
      </c>
      <c r="O1184" s="1"/>
      <c r="P1184" s="1"/>
      <c r="Q1184" s="1" t="s">
        <v>1174</v>
      </c>
    </row>
    <row r="1185" spans="1:17" x14ac:dyDescent="0.25">
      <c r="A1185" s="2" t="str">
        <f ca="1">IFERROR(__xludf.DUMMYFUNCTION("""COMPUTED_VALUE"""),"REG DE INTEGRA  METROPOLITANA")</f>
        <v>REG DE INTEGRA  METROPOLITANA</v>
      </c>
      <c r="B1185" s="1" t="str">
        <f ca="1">IFERROR(__xludf.DUMMYFUNCTION("""COMPUTED_VALUE"""),"SEDUC SEDE")</f>
        <v>SEDUC SEDE</v>
      </c>
      <c r="C1185" s="1" t="str">
        <f ca="1">IFERROR(__xludf.DUMMYFUNCTION("""COMPUTED_VALUE"""),"SEDUC SEDE")</f>
        <v>SEDUC SEDE</v>
      </c>
      <c r="D1185" s="1" t="str">
        <f ca="1">IFERROR(__xludf.DUMMYFUNCTION("""COMPUTED_VALUE"""),"SEDUC SEDE")</f>
        <v>SEDUC SEDE</v>
      </c>
      <c r="E1185" s="1" t="str">
        <f ca="1">IFERROR(__xludf.DUMMYFUNCTION("""COMPUTED_VALUE"""),"SEDUC SEDE")</f>
        <v>SEDUC SEDE</v>
      </c>
      <c r="F1185" s="1"/>
      <c r="G1185" s="1"/>
      <c r="H1185" s="1" t="str">
        <f ca="1">IFERROR(__xludf.DUMMYFUNCTION("""COMPUTED_VALUE"""),"19A URE - BELEM")</f>
        <v>19A URE - BELEM</v>
      </c>
      <c r="I1185" s="1"/>
      <c r="J1185" s="1" t="str">
        <f ca="1">IFERROR(__xludf.DUMMYFUNCTION("""COMPUTED_VALUE"""),"BELEM")</f>
        <v>BELEM</v>
      </c>
      <c r="K1185" s="1"/>
      <c r="L1185" s="2" t="str">
        <f ca="1">IFERROR(__xludf.DUMMYFUNCTION("""COMPUTED_VALUE"""),"001920701030000")</f>
        <v>001920701030000</v>
      </c>
      <c r="M1185" s="2" t="str">
        <f ca="1">IFERROR(__xludf.DUMMYFUNCTION("""COMPUTED_VALUE"""),"1920701030000")</f>
        <v>1920701030000</v>
      </c>
      <c r="N1185" s="1" t="str">
        <f ca="1">IFERROR(__xludf.DUMMYFUNCTION("""COMPUTED_VALUE"""),"Divisão de Legislação e Enquadramento")</f>
        <v>Divisão de Legislação e Enquadramento</v>
      </c>
      <c r="O1185" s="1"/>
      <c r="P1185" s="1"/>
      <c r="Q1185" s="1" t="s">
        <v>1174</v>
      </c>
    </row>
    <row r="1186" spans="1:17" x14ac:dyDescent="0.25">
      <c r="A1186" s="2" t="str">
        <f ca="1">IFERROR(__xludf.DUMMYFUNCTION("""COMPUTED_VALUE"""),"REG DE INTEGRA  METROPOLITANA")</f>
        <v>REG DE INTEGRA  METROPOLITANA</v>
      </c>
      <c r="B1186" s="1" t="str">
        <f ca="1">IFERROR(__xludf.DUMMYFUNCTION("""COMPUTED_VALUE"""),"SEDUC SEDE")</f>
        <v>SEDUC SEDE</v>
      </c>
      <c r="C1186" s="1" t="str">
        <f ca="1">IFERROR(__xludf.DUMMYFUNCTION("""COMPUTED_VALUE"""),"SEDUC SEDE")</f>
        <v>SEDUC SEDE</v>
      </c>
      <c r="D1186" s="1" t="str">
        <f ca="1">IFERROR(__xludf.DUMMYFUNCTION("""COMPUTED_VALUE"""),"SEDUC SEDE")</f>
        <v>SEDUC SEDE</v>
      </c>
      <c r="E1186" s="1" t="str">
        <f ca="1">IFERROR(__xludf.DUMMYFUNCTION("""COMPUTED_VALUE"""),"SEDUC SEDE")</f>
        <v>SEDUC SEDE</v>
      </c>
      <c r="F1186" s="1"/>
      <c r="G1186" s="1"/>
      <c r="H1186" s="1" t="str">
        <f ca="1">IFERROR(__xludf.DUMMYFUNCTION("""COMPUTED_VALUE"""),"19A URE - BELEM")</f>
        <v>19A URE - BELEM</v>
      </c>
      <c r="I1186" s="1"/>
      <c r="J1186" s="1" t="str">
        <f ca="1">IFERROR(__xludf.DUMMYFUNCTION("""COMPUTED_VALUE"""),"BELEM")</f>
        <v>BELEM</v>
      </c>
      <c r="K1186" s="1"/>
      <c r="L1186" s="2" t="str">
        <f ca="1">IFERROR(__xludf.DUMMYFUNCTION("""COMPUTED_VALUE"""),"001920701040000")</f>
        <v>001920701040000</v>
      </c>
      <c r="M1186" s="2" t="str">
        <f ca="1">IFERROR(__xludf.DUMMYFUNCTION("""COMPUTED_VALUE"""),"1920701040000")</f>
        <v>1920701040000</v>
      </c>
      <c r="N1186" s="1" t="str">
        <f ca="1">IFERROR(__xludf.DUMMYFUNCTION("""COMPUTED_VALUE"""),"Divisão de Assistência ao Servidor")</f>
        <v>Divisão de Assistência ao Servidor</v>
      </c>
      <c r="O1186" s="1"/>
      <c r="P1186" s="1"/>
      <c r="Q1186" s="1" t="s">
        <v>1174</v>
      </c>
    </row>
    <row r="1187" spans="1:17" x14ac:dyDescent="0.25">
      <c r="A1187" s="2" t="str">
        <f ca="1">IFERROR(__xludf.DUMMYFUNCTION("""COMPUTED_VALUE"""),"REG DE INTEGRA  METROPOLITANA")</f>
        <v>REG DE INTEGRA  METROPOLITANA</v>
      </c>
      <c r="B1187" s="1" t="str">
        <f ca="1">IFERROR(__xludf.DUMMYFUNCTION("""COMPUTED_VALUE"""),"SEDUC SEDE")</f>
        <v>SEDUC SEDE</v>
      </c>
      <c r="C1187" s="1" t="str">
        <f ca="1">IFERROR(__xludf.DUMMYFUNCTION("""COMPUTED_VALUE"""),"SEDUC SEDE")</f>
        <v>SEDUC SEDE</v>
      </c>
      <c r="D1187" s="1" t="str">
        <f ca="1">IFERROR(__xludf.DUMMYFUNCTION("""COMPUTED_VALUE"""),"SEDUC SEDE")</f>
        <v>SEDUC SEDE</v>
      </c>
      <c r="E1187" s="1" t="str">
        <f ca="1">IFERROR(__xludf.DUMMYFUNCTION("""COMPUTED_VALUE"""),"SEDUC SEDE")</f>
        <v>SEDUC SEDE</v>
      </c>
      <c r="F1187" s="1"/>
      <c r="G1187" s="1"/>
      <c r="H1187" s="1" t="str">
        <f ca="1">IFERROR(__xludf.DUMMYFUNCTION("""COMPUTED_VALUE"""),"19A URE - BELEM")</f>
        <v>19A URE - BELEM</v>
      </c>
      <c r="I1187" s="1"/>
      <c r="J1187" s="1" t="str">
        <f ca="1">IFERROR(__xludf.DUMMYFUNCTION("""COMPUTED_VALUE"""),"BELEM")</f>
        <v>BELEM</v>
      </c>
      <c r="K1187" s="1"/>
      <c r="L1187" s="2" t="str">
        <f ca="1">IFERROR(__xludf.DUMMYFUNCTION("""COMPUTED_VALUE"""),"001920702010000")</f>
        <v>001920702010000</v>
      </c>
      <c r="M1187" s="2" t="str">
        <f ca="1">IFERROR(__xludf.DUMMYFUNCTION("""COMPUTED_VALUE"""),"1920702010000")</f>
        <v>1920702010000</v>
      </c>
      <c r="N1187" s="1" t="str">
        <f ca="1">IFERROR(__xludf.DUMMYFUNCTION("""COMPUTED_VALUE"""),"Divisão de Lotação")</f>
        <v>Divisão de Lotação</v>
      </c>
      <c r="O1187" s="1"/>
      <c r="P1187" s="1"/>
      <c r="Q1187" s="1" t="s">
        <v>1174</v>
      </c>
    </row>
    <row r="1188" spans="1:17" x14ac:dyDescent="0.25">
      <c r="A1188" s="2" t="str">
        <f ca="1">IFERROR(__xludf.DUMMYFUNCTION("""COMPUTED_VALUE"""),"REG DE INTEGRA  METROPOLITANA")</f>
        <v>REG DE INTEGRA  METROPOLITANA</v>
      </c>
      <c r="B1188" s="1" t="str">
        <f ca="1">IFERROR(__xludf.DUMMYFUNCTION("""COMPUTED_VALUE"""),"SEDUC SEDE")</f>
        <v>SEDUC SEDE</v>
      </c>
      <c r="C1188" s="1" t="str">
        <f ca="1">IFERROR(__xludf.DUMMYFUNCTION("""COMPUTED_VALUE"""),"SEDUC SEDE")</f>
        <v>SEDUC SEDE</v>
      </c>
      <c r="D1188" s="1" t="str">
        <f ca="1">IFERROR(__xludf.DUMMYFUNCTION("""COMPUTED_VALUE"""),"SEDUC SEDE")</f>
        <v>SEDUC SEDE</v>
      </c>
      <c r="E1188" s="1" t="str">
        <f ca="1">IFERROR(__xludf.DUMMYFUNCTION("""COMPUTED_VALUE"""),"SEDUC SEDE")</f>
        <v>SEDUC SEDE</v>
      </c>
      <c r="F1188" s="1"/>
      <c r="G1188" s="1"/>
      <c r="H1188" s="1" t="str">
        <f ca="1">IFERROR(__xludf.DUMMYFUNCTION("""COMPUTED_VALUE"""),"19A URE - BELEM")</f>
        <v>19A URE - BELEM</v>
      </c>
      <c r="I1188" s="1"/>
      <c r="J1188" s="1" t="str">
        <f ca="1">IFERROR(__xludf.DUMMYFUNCTION("""COMPUTED_VALUE"""),"BELEM")</f>
        <v>BELEM</v>
      </c>
      <c r="K1188" s="1"/>
      <c r="L1188" s="2" t="str">
        <f ca="1">IFERROR(__xludf.DUMMYFUNCTION("""COMPUTED_VALUE"""),"001920702020000")</f>
        <v>001920702020000</v>
      </c>
      <c r="M1188" s="2" t="str">
        <f ca="1">IFERROR(__xludf.DUMMYFUNCTION("""COMPUTED_VALUE"""),"1920702020000")</f>
        <v>1920702020000</v>
      </c>
      <c r="N1188" s="1" t="str">
        <f ca="1">IFERROR(__xludf.DUMMYFUNCTION("""COMPUTED_VALUE"""),"Divisão de Pagamento")</f>
        <v>Divisão de Pagamento</v>
      </c>
      <c r="O1188" s="1"/>
      <c r="P1188" s="1"/>
      <c r="Q1188" s="1" t="s">
        <v>1174</v>
      </c>
    </row>
    <row r="1189" spans="1:17" x14ac:dyDescent="0.25">
      <c r="A1189" s="2" t="str">
        <f ca="1">IFERROR(__xludf.DUMMYFUNCTION("""COMPUTED_VALUE"""),"REG DE INTEGRA  METROPOLITANA")</f>
        <v>REG DE INTEGRA  METROPOLITANA</v>
      </c>
      <c r="B1189" s="1" t="str">
        <f ca="1">IFERROR(__xludf.DUMMYFUNCTION("""COMPUTED_VALUE"""),"SEDUC SEDE")</f>
        <v>SEDUC SEDE</v>
      </c>
      <c r="C1189" s="1" t="str">
        <f ca="1">IFERROR(__xludf.DUMMYFUNCTION("""COMPUTED_VALUE"""),"SEDUC SEDE")</f>
        <v>SEDUC SEDE</v>
      </c>
      <c r="D1189" s="1" t="str">
        <f ca="1">IFERROR(__xludf.DUMMYFUNCTION("""COMPUTED_VALUE"""),"SEDUC SEDE")</f>
        <v>SEDUC SEDE</v>
      </c>
      <c r="E1189" s="1" t="str">
        <f ca="1">IFERROR(__xludf.DUMMYFUNCTION("""COMPUTED_VALUE"""),"SEDUC SEDE")</f>
        <v>SEDUC SEDE</v>
      </c>
      <c r="F1189" s="1"/>
      <c r="G1189" s="1"/>
      <c r="H1189" s="1" t="str">
        <f ca="1">IFERROR(__xludf.DUMMYFUNCTION("""COMPUTED_VALUE"""),"19A URE - BELEM")</f>
        <v>19A URE - BELEM</v>
      </c>
      <c r="I1189" s="1"/>
      <c r="J1189" s="1" t="str">
        <f ca="1">IFERROR(__xludf.DUMMYFUNCTION("""COMPUTED_VALUE"""),"BELEM")</f>
        <v>BELEM</v>
      </c>
      <c r="K1189" s="1"/>
      <c r="L1189" s="2" t="str">
        <f ca="1">IFERROR(__xludf.DUMMYFUNCTION("""COMPUTED_VALUE"""),"001920800000000")</f>
        <v>001920800000000</v>
      </c>
      <c r="M1189" s="2" t="str">
        <f ca="1">IFERROR(__xludf.DUMMYFUNCTION("""COMPUTED_VALUE"""),"1920800000000")</f>
        <v>1920800000000</v>
      </c>
      <c r="N1189" s="1" t="str">
        <f ca="1">IFERROR(__xludf.DUMMYFUNCTION("""COMPUTED_VALUE"""),"Diretoria de Suporte Administrativo")</f>
        <v>Diretoria de Suporte Administrativo</v>
      </c>
      <c r="O1189" s="1"/>
      <c r="P1189" s="1"/>
      <c r="Q1189" s="1" t="s">
        <v>1174</v>
      </c>
    </row>
    <row r="1190" spans="1:17" x14ac:dyDescent="0.25">
      <c r="A1190" s="2" t="str">
        <f ca="1">IFERROR(__xludf.DUMMYFUNCTION("""COMPUTED_VALUE"""),"REG DE INTEGRA  METROPOLITANA")</f>
        <v>REG DE INTEGRA  METROPOLITANA</v>
      </c>
      <c r="B1190" s="1" t="str">
        <f ca="1">IFERROR(__xludf.DUMMYFUNCTION("""COMPUTED_VALUE"""),"SEDUC SEDE")</f>
        <v>SEDUC SEDE</v>
      </c>
      <c r="C1190" s="1" t="str">
        <f ca="1">IFERROR(__xludf.DUMMYFUNCTION("""COMPUTED_VALUE"""),"SEDUC SEDE")</f>
        <v>SEDUC SEDE</v>
      </c>
      <c r="D1190" s="1" t="str">
        <f ca="1">IFERROR(__xludf.DUMMYFUNCTION("""COMPUTED_VALUE"""),"SEDUC SEDE")</f>
        <v>SEDUC SEDE</v>
      </c>
      <c r="E1190" s="1" t="str">
        <f ca="1">IFERROR(__xludf.DUMMYFUNCTION("""COMPUTED_VALUE"""),"SEDUC SEDE")</f>
        <v>SEDUC SEDE</v>
      </c>
      <c r="F1190" s="1"/>
      <c r="G1190" s="1"/>
      <c r="H1190" s="1" t="str">
        <f ca="1">IFERROR(__xludf.DUMMYFUNCTION("""COMPUTED_VALUE"""),"19A URE - BELEM")</f>
        <v>19A URE - BELEM</v>
      </c>
      <c r="I1190" s="1"/>
      <c r="J1190" s="1" t="str">
        <f ca="1">IFERROR(__xludf.DUMMYFUNCTION("""COMPUTED_VALUE"""),"BELEM")</f>
        <v>BELEM</v>
      </c>
      <c r="K1190" s="1"/>
      <c r="L1190" s="2" t="str">
        <f ca="1">IFERROR(__xludf.DUMMYFUNCTION("""COMPUTED_VALUE"""),"001920801000000")</f>
        <v>001920801000000</v>
      </c>
      <c r="M1190" s="2" t="str">
        <f ca="1">IFERROR(__xludf.DUMMYFUNCTION("""COMPUTED_VALUE"""),"1920801000000")</f>
        <v>1920801000000</v>
      </c>
      <c r="N1190" s="1" t="str">
        <f ca="1">IFERROR(__xludf.DUMMYFUNCTION("""COMPUTED_VALUE"""),"Núcleo Contratos e Convênios")</f>
        <v>Núcleo Contratos e Convênios</v>
      </c>
      <c r="O1190" s="1"/>
      <c r="P1190" s="1"/>
      <c r="Q1190" s="1" t="s">
        <v>1174</v>
      </c>
    </row>
    <row r="1191" spans="1:17" x14ac:dyDescent="0.25">
      <c r="A1191" s="2" t="str">
        <f ca="1">IFERROR(__xludf.DUMMYFUNCTION("""COMPUTED_VALUE"""),"REG DE INTEGRA  METROPOLITANA")</f>
        <v>REG DE INTEGRA  METROPOLITANA</v>
      </c>
      <c r="B1191" s="1" t="str">
        <f ca="1">IFERROR(__xludf.DUMMYFUNCTION("""COMPUTED_VALUE"""),"SEDUC SEDE")</f>
        <v>SEDUC SEDE</v>
      </c>
      <c r="C1191" s="1" t="str">
        <f ca="1">IFERROR(__xludf.DUMMYFUNCTION("""COMPUTED_VALUE"""),"SEDUC SEDE")</f>
        <v>SEDUC SEDE</v>
      </c>
      <c r="D1191" s="1" t="str">
        <f ca="1">IFERROR(__xludf.DUMMYFUNCTION("""COMPUTED_VALUE"""),"SEDUC SEDE")</f>
        <v>SEDUC SEDE</v>
      </c>
      <c r="E1191" s="1" t="str">
        <f ca="1">IFERROR(__xludf.DUMMYFUNCTION("""COMPUTED_VALUE"""),"SEDUC SEDE")</f>
        <v>SEDUC SEDE</v>
      </c>
      <c r="F1191" s="1"/>
      <c r="G1191" s="1"/>
      <c r="H1191" s="1" t="str">
        <f ca="1">IFERROR(__xludf.DUMMYFUNCTION("""COMPUTED_VALUE"""),"19A URE - BELEM")</f>
        <v>19A URE - BELEM</v>
      </c>
      <c r="I1191" s="1"/>
      <c r="J1191" s="1" t="str">
        <f ca="1">IFERROR(__xludf.DUMMYFUNCTION("""COMPUTED_VALUE"""),"BELEM")</f>
        <v>BELEM</v>
      </c>
      <c r="K1191" s="1"/>
      <c r="L1191" s="2" t="str">
        <f ca="1">IFERROR(__xludf.DUMMYFUNCTION("""COMPUTED_VALUE"""),"001920802010000")</f>
        <v>001920802010000</v>
      </c>
      <c r="M1191" s="2" t="str">
        <f ca="1">IFERROR(__xludf.DUMMYFUNCTION("""COMPUTED_VALUE"""),"1920802010000")</f>
        <v>1920802010000</v>
      </c>
      <c r="N1191" s="1" t="str">
        <f ca="1">IFERROR(__xludf.DUMMYFUNCTION("""COMPUTED_VALUE"""),"Divisão de Patrimônio Mobiliário")</f>
        <v>Divisão de Patrimônio Mobiliário</v>
      </c>
      <c r="O1191" s="1"/>
      <c r="P1191" s="1"/>
      <c r="Q1191" s="1" t="s">
        <v>1174</v>
      </c>
    </row>
    <row r="1192" spans="1:17" x14ac:dyDescent="0.25">
      <c r="A1192" s="2" t="str">
        <f ca="1">IFERROR(__xludf.DUMMYFUNCTION("""COMPUTED_VALUE"""),"REG DE INTEGRA  METROPOLITANA")</f>
        <v>REG DE INTEGRA  METROPOLITANA</v>
      </c>
      <c r="B1192" s="1" t="str">
        <f ca="1">IFERROR(__xludf.DUMMYFUNCTION("""COMPUTED_VALUE"""),"SEDUC SEDE")</f>
        <v>SEDUC SEDE</v>
      </c>
      <c r="C1192" s="1" t="str">
        <f ca="1">IFERROR(__xludf.DUMMYFUNCTION("""COMPUTED_VALUE"""),"SEDUC SEDE")</f>
        <v>SEDUC SEDE</v>
      </c>
      <c r="D1192" s="1" t="str">
        <f ca="1">IFERROR(__xludf.DUMMYFUNCTION("""COMPUTED_VALUE"""),"SEDUC SEDE")</f>
        <v>SEDUC SEDE</v>
      </c>
      <c r="E1192" s="1" t="str">
        <f ca="1">IFERROR(__xludf.DUMMYFUNCTION("""COMPUTED_VALUE"""),"SEDUC SEDE")</f>
        <v>SEDUC SEDE</v>
      </c>
      <c r="F1192" s="1"/>
      <c r="G1192" s="1"/>
      <c r="H1192" s="1" t="str">
        <f ca="1">IFERROR(__xludf.DUMMYFUNCTION("""COMPUTED_VALUE"""),"19A URE - BELEM")</f>
        <v>19A URE - BELEM</v>
      </c>
      <c r="I1192" s="1"/>
      <c r="J1192" s="1" t="str">
        <f ca="1">IFERROR(__xludf.DUMMYFUNCTION("""COMPUTED_VALUE"""),"BELEM")</f>
        <v>BELEM</v>
      </c>
      <c r="K1192" s="1"/>
      <c r="L1192" s="2" t="str">
        <f ca="1">IFERROR(__xludf.DUMMYFUNCTION("""COMPUTED_VALUE"""),"001920802020000")</f>
        <v>001920802020000</v>
      </c>
      <c r="M1192" s="2" t="str">
        <f ca="1">IFERROR(__xludf.DUMMYFUNCTION("""COMPUTED_VALUE"""),"1920802020000")</f>
        <v>1920802020000</v>
      </c>
      <c r="N1192" s="1" t="str">
        <f ca="1">IFERROR(__xludf.DUMMYFUNCTION("""COMPUTED_VALUE"""),"Divisão de Patrimônio Imobiliário")</f>
        <v>Divisão de Patrimônio Imobiliário</v>
      </c>
      <c r="O1192" s="1"/>
      <c r="P1192" s="1"/>
      <c r="Q1192" s="1" t="s">
        <v>1174</v>
      </c>
    </row>
    <row r="1193" spans="1:17" x14ac:dyDescent="0.25">
      <c r="A1193" s="2" t="str">
        <f ca="1">IFERROR(__xludf.DUMMYFUNCTION("""COMPUTED_VALUE"""),"REG DE INTEGRA  METROPOLITANA")</f>
        <v>REG DE INTEGRA  METROPOLITANA</v>
      </c>
      <c r="B1193" s="1" t="str">
        <f ca="1">IFERROR(__xludf.DUMMYFUNCTION("""COMPUTED_VALUE"""),"SEDUC SEDE")</f>
        <v>SEDUC SEDE</v>
      </c>
      <c r="C1193" s="1" t="str">
        <f ca="1">IFERROR(__xludf.DUMMYFUNCTION("""COMPUTED_VALUE"""),"SEDUC SEDE")</f>
        <v>SEDUC SEDE</v>
      </c>
      <c r="D1193" s="1" t="str">
        <f ca="1">IFERROR(__xludf.DUMMYFUNCTION("""COMPUTED_VALUE"""),"SEDUC SEDE")</f>
        <v>SEDUC SEDE</v>
      </c>
      <c r="E1193" s="1" t="str">
        <f ca="1">IFERROR(__xludf.DUMMYFUNCTION("""COMPUTED_VALUE"""),"SEDUC SEDE")</f>
        <v>SEDUC SEDE</v>
      </c>
      <c r="F1193" s="1"/>
      <c r="G1193" s="1"/>
      <c r="H1193" s="1" t="str">
        <f ca="1">IFERROR(__xludf.DUMMYFUNCTION("""COMPUTED_VALUE"""),"19A URE - BELEM")</f>
        <v>19A URE - BELEM</v>
      </c>
      <c r="I1193" s="1"/>
      <c r="J1193" s="1" t="str">
        <f ca="1">IFERROR(__xludf.DUMMYFUNCTION("""COMPUTED_VALUE"""),"BELEM")</f>
        <v>BELEM</v>
      </c>
      <c r="K1193" s="1"/>
      <c r="L1193" s="2" t="str">
        <f ca="1">IFERROR(__xludf.DUMMYFUNCTION("""COMPUTED_VALUE"""),"001920803000000")</f>
        <v>001920803000000</v>
      </c>
      <c r="M1193" s="2" t="str">
        <f ca="1">IFERROR(__xludf.DUMMYFUNCTION("""COMPUTED_VALUE"""),"1920803000000")</f>
        <v>1920803000000</v>
      </c>
      <c r="N1193" s="1" t="str">
        <f ca="1">IFERROR(__xludf.DUMMYFUNCTION("""COMPUTED_VALUE"""),"Departamento de Administração de Material")</f>
        <v>Departamento de Administração de Material</v>
      </c>
      <c r="O1193" s="1"/>
      <c r="P1193" s="1"/>
      <c r="Q1193" s="1" t="s">
        <v>1174</v>
      </c>
    </row>
    <row r="1194" spans="1:17" x14ac:dyDescent="0.25">
      <c r="A1194" s="2" t="str">
        <f ca="1">IFERROR(__xludf.DUMMYFUNCTION("""COMPUTED_VALUE"""),"REG DE INTEGRA  METROPOLITANA")</f>
        <v>REG DE INTEGRA  METROPOLITANA</v>
      </c>
      <c r="B1194" s="1" t="str">
        <f ca="1">IFERROR(__xludf.DUMMYFUNCTION("""COMPUTED_VALUE"""),"SEDUC SEDE")</f>
        <v>SEDUC SEDE</v>
      </c>
      <c r="C1194" s="1" t="str">
        <f ca="1">IFERROR(__xludf.DUMMYFUNCTION("""COMPUTED_VALUE"""),"SEDUC SEDE")</f>
        <v>SEDUC SEDE</v>
      </c>
      <c r="D1194" s="1" t="str">
        <f ca="1">IFERROR(__xludf.DUMMYFUNCTION("""COMPUTED_VALUE"""),"SEDUC SEDE")</f>
        <v>SEDUC SEDE</v>
      </c>
      <c r="E1194" s="1" t="str">
        <f ca="1">IFERROR(__xludf.DUMMYFUNCTION("""COMPUTED_VALUE"""),"SEDUC SEDE")</f>
        <v>SEDUC SEDE</v>
      </c>
      <c r="F1194" s="1"/>
      <c r="G1194" s="1"/>
      <c r="H1194" s="1" t="str">
        <f ca="1">IFERROR(__xludf.DUMMYFUNCTION("""COMPUTED_VALUE"""),"19A URE - BELEM")</f>
        <v>19A URE - BELEM</v>
      </c>
      <c r="I1194" s="1"/>
      <c r="J1194" s="1" t="str">
        <f ca="1">IFERROR(__xludf.DUMMYFUNCTION("""COMPUTED_VALUE"""),"BELEM")</f>
        <v>BELEM</v>
      </c>
      <c r="K1194" s="1"/>
      <c r="L1194" s="2" t="str">
        <f ca="1">IFERROR(__xludf.DUMMYFUNCTION("""COMPUTED_VALUE"""),"001920803010000")</f>
        <v>001920803010000</v>
      </c>
      <c r="M1194" s="2" t="str">
        <f ca="1">IFERROR(__xludf.DUMMYFUNCTION("""COMPUTED_VALUE"""),"1920803010000")</f>
        <v>1920803010000</v>
      </c>
      <c r="N1194" s="1" t="str">
        <f ca="1">IFERROR(__xludf.DUMMYFUNCTION("""COMPUTED_VALUE"""),"Divisão de Compras")</f>
        <v>Divisão de Compras</v>
      </c>
      <c r="O1194" s="1"/>
      <c r="P1194" s="1"/>
      <c r="Q1194" s="1" t="s">
        <v>1174</v>
      </c>
    </row>
    <row r="1195" spans="1:17" x14ac:dyDescent="0.25">
      <c r="A1195" s="2" t="str">
        <f ca="1">IFERROR(__xludf.DUMMYFUNCTION("""COMPUTED_VALUE"""),"REG DE INTEGRA  METROPOLITANA")</f>
        <v>REG DE INTEGRA  METROPOLITANA</v>
      </c>
      <c r="B1195" s="1" t="str">
        <f ca="1">IFERROR(__xludf.DUMMYFUNCTION("""COMPUTED_VALUE"""),"SEDUC SEDE")</f>
        <v>SEDUC SEDE</v>
      </c>
      <c r="C1195" s="1" t="str">
        <f ca="1">IFERROR(__xludf.DUMMYFUNCTION("""COMPUTED_VALUE"""),"SEDUC SEDE")</f>
        <v>SEDUC SEDE</v>
      </c>
      <c r="D1195" s="1" t="str">
        <f ca="1">IFERROR(__xludf.DUMMYFUNCTION("""COMPUTED_VALUE"""),"SEDUC SEDE")</f>
        <v>SEDUC SEDE</v>
      </c>
      <c r="E1195" s="1" t="str">
        <f ca="1">IFERROR(__xludf.DUMMYFUNCTION("""COMPUTED_VALUE"""),"SEDUC SEDE")</f>
        <v>SEDUC SEDE</v>
      </c>
      <c r="F1195" s="1"/>
      <c r="G1195" s="1"/>
      <c r="H1195" s="1" t="str">
        <f ca="1">IFERROR(__xludf.DUMMYFUNCTION("""COMPUTED_VALUE"""),"19A URE - BELEM")</f>
        <v>19A URE - BELEM</v>
      </c>
      <c r="I1195" s="1"/>
      <c r="J1195" s="1" t="str">
        <f ca="1">IFERROR(__xludf.DUMMYFUNCTION("""COMPUTED_VALUE"""),"BELEM")</f>
        <v>BELEM</v>
      </c>
      <c r="K1195" s="1"/>
      <c r="L1195" s="2" t="str">
        <f ca="1">IFERROR(__xludf.DUMMYFUNCTION("""COMPUTED_VALUE"""),"001920803020000")</f>
        <v>001920803020000</v>
      </c>
      <c r="M1195" s="2" t="str">
        <f ca="1">IFERROR(__xludf.DUMMYFUNCTION("""COMPUTED_VALUE"""),"1920803020000")</f>
        <v>1920803020000</v>
      </c>
      <c r="N1195" s="1" t="str">
        <f ca="1">IFERROR(__xludf.DUMMYFUNCTION("""COMPUTED_VALUE"""),"Divisão de Controle de Estoque")</f>
        <v>Divisão de Controle de Estoque</v>
      </c>
      <c r="O1195" s="1"/>
      <c r="P1195" s="1"/>
      <c r="Q1195" s="1" t="s">
        <v>1174</v>
      </c>
    </row>
    <row r="1196" spans="1:17" x14ac:dyDescent="0.25">
      <c r="A1196" s="2" t="str">
        <f ca="1">IFERROR(__xludf.DUMMYFUNCTION("""COMPUTED_VALUE"""),"REG DE INTEGRA  METROPOLITANA")</f>
        <v>REG DE INTEGRA  METROPOLITANA</v>
      </c>
      <c r="B1196" s="1" t="str">
        <f ca="1">IFERROR(__xludf.DUMMYFUNCTION("""COMPUTED_VALUE"""),"SEDUC SEDE")</f>
        <v>SEDUC SEDE</v>
      </c>
      <c r="C1196" s="1" t="str">
        <f ca="1">IFERROR(__xludf.DUMMYFUNCTION("""COMPUTED_VALUE"""),"SEDUC SEDE")</f>
        <v>SEDUC SEDE</v>
      </c>
      <c r="D1196" s="1" t="str">
        <f ca="1">IFERROR(__xludf.DUMMYFUNCTION("""COMPUTED_VALUE"""),"SEDUC SEDE")</f>
        <v>SEDUC SEDE</v>
      </c>
      <c r="E1196" s="1" t="str">
        <f ca="1">IFERROR(__xludf.DUMMYFUNCTION("""COMPUTED_VALUE"""),"SEDUC SEDE")</f>
        <v>SEDUC SEDE</v>
      </c>
      <c r="F1196" s="1"/>
      <c r="G1196" s="1"/>
      <c r="H1196" s="1" t="str">
        <f ca="1">IFERROR(__xludf.DUMMYFUNCTION("""COMPUTED_VALUE"""),"19A URE - BELEM")</f>
        <v>19A URE - BELEM</v>
      </c>
      <c r="I1196" s="1"/>
      <c r="J1196" s="1" t="str">
        <f ca="1">IFERROR(__xludf.DUMMYFUNCTION("""COMPUTED_VALUE"""),"BELEM")</f>
        <v>BELEM</v>
      </c>
      <c r="K1196" s="1"/>
      <c r="L1196" s="2" t="str">
        <f ca="1">IFERROR(__xludf.DUMMYFUNCTION("""COMPUTED_VALUE"""),"001920804000000")</f>
        <v>001920804000000</v>
      </c>
      <c r="M1196" s="2" t="str">
        <f ca="1">IFERROR(__xludf.DUMMYFUNCTION("""COMPUTED_VALUE"""),"1920804000000")</f>
        <v>1920804000000</v>
      </c>
      <c r="N1196" s="1" t="str">
        <f ca="1">IFERROR(__xludf.DUMMYFUNCTION("""COMPUTED_VALUE"""),"Departamento de Apoio Operacional")</f>
        <v>Departamento de Apoio Operacional</v>
      </c>
      <c r="O1196" s="1"/>
      <c r="P1196" s="1"/>
      <c r="Q1196" s="1" t="s">
        <v>1174</v>
      </c>
    </row>
    <row r="1197" spans="1:17" x14ac:dyDescent="0.25">
      <c r="A1197" s="2" t="str">
        <f ca="1">IFERROR(__xludf.DUMMYFUNCTION("""COMPUTED_VALUE"""),"REG DE INTEGRA  METROPOLITANA")</f>
        <v>REG DE INTEGRA  METROPOLITANA</v>
      </c>
      <c r="B1197" s="1" t="str">
        <f ca="1">IFERROR(__xludf.DUMMYFUNCTION("""COMPUTED_VALUE"""),"SEDUC SEDE")</f>
        <v>SEDUC SEDE</v>
      </c>
      <c r="C1197" s="1" t="str">
        <f ca="1">IFERROR(__xludf.DUMMYFUNCTION("""COMPUTED_VALUE"""),"SEDUC SEDE")</f>
        <v>SEDUC SEDE</v>
      </c>
      <c r="D1197" s="1" t="str">
        <f ca="1">IFERROR(__xludf.DUMMYFUNCTION("""COMPUTED_VALUE"""),"SEDUC SEDE")</f>
        <v>SEDUC SEDE</v>
      </c>
      <c r="E1197" s="1" t="str">
        <f ca="1">IFERROR(__xludf.DUMMYFUNCTION("""COMPUTED_VALUE"""),"SEDUC SEDE")</f>
        <v>SEDUC SEDE</v>
      </c>
      <c r="F1197" s="1"/>
      <c r="G1197" s="1"/>
      <c r="H1197" s="1" t="str">
        <f ca="1">IFERROR(__xludf.DUMMYFUNCTION("""COMPUTED_VALUE"""),"19A URE - BELEM")</f>
        <v>19A URE - BELEM</v>
      </c>
      <c r="I1197" s="1"/>
      <c r="J1197" s="1" t="str">
        <f ca="1">IFERROR(__xludf.DUMMYFUNCTION("""COMPUTED_VALUE"""),"BELEM")</f>
        <v>BELEM</v>
      </c>
      <c r="K1197" s="1"/>
      <c r="L1197" s="2" t="str">
        <f ca="1">IFERROR(__xludf.DUMMYFUNCTION("""COMPUTED_VALUE"""),"001920804010000")</f>
        <v>001920804010000</v>
      </c>
      <c r="M1197" s="2" t="str">
        <f ca="1">IFERROR(__xludf.DUMMYFUNCTION("""COMPUTED_VALUE"""),"1920804010000")</f>
        <v>1920804010000</v>
      </c>
      <c r="N1197" s="1" t="str">
        <f ca="1">IFERROR(__xludf.DUMMYFUNCTION("""COMPUTED_VALUE"""),"Divisão de Serviços Gerais")</f>
        <v>Divisão de Serviços Gerais</v>
      </c>
      <c r="O1197" s="1"/>
      <c r="P1197" s="1"/>
      <c r="Q1197" s="1" t="s">
        <v>1174</v>
      </c>
    </row>
    <row r="1198" spans="1:17" x14ac:dyDescent="0.25">
      <c r="A1198" s="2" t="str">
        <f ca="1">IFERROR(__xludf.DUMMYFUNCTION("""COMPUTED_VALUE"""),"REG DE INTEGRA  METROPOLITANA")</f>
        <v>REG DE INTEGRA  METROPOLITANA</v>
      </c>
      <c r="B1198" s="1" t="str">
        <f ca="1">IFERROR(__xludf.DUMMYFUNCTION("""COMPUTED_VALUE"""),"SEDUC SEDE")</f>
        <v>SEDUC SEDE</v>
      </c>
      <c r="C1198" s="1" t="str">
        <f ca="1">IFERROR(__xludf.DUMMYFUNCTION("""COMPUTED_VALUE"""),"SEDUC SEDE")</f>
        <v>SEDUC SEDE</v>
      </c>
      <c r="D1198" s="1" t="str">
        <f ca="1">IFERROR(__xludf.DUMMYFUNCTION("""COMPUTED_VALUE"""),"SEDUC SEDE")</f>
        <v>SEDUC SEDE</v>
      </c>
      <c r="E1198" s="1" t="str">
        <f ca="1">IFERROR(__xludf.DUMMYFUNCTION("""COMPUTED_VALUE"""),"SEDUC SEDE")</f>
        <v>SEDUC SEDE</v>
      </c>
      <c r="F1198" s="1"/>
      <c r="G1198" s="1"/>
      <c r="H1198" s="1" t="str">
        <f ca="1">IFERROR(__xludf.DUMMYFUNCTION("""COMPUTED_VALUE"""),"19A URE - BELEM")</f>
        <v>19A URE - BELEM</v>
      </c>
      <c r="I1198" s="1"/>
      <c r="J1198" s="1" t="str">
        <f ca="1">IFERROR(__xludf.DUMMYFUNCTION("""COMPUTED_VALUE"""),"BELEM")</f>
        <v>BELEM</v>
      </c>
      <c r="K1198" s="1"/>
      <c r="L1198" s="2" t="str">
        <f ca="1">IFERROR(__xludf.DUMMYFUNCTION("""COMPUTED_VALUE"""),"001920804020000")</f>
        <v>001920804020000</v>
      </c>
      <c r="M1198" s="2" t="str">
        <f ca="1">IFERROR(__xludf.DUMMYFUNCTION("""COMPUTED_VALUE"""),"1920804020000")</f>
        <v>1920804020000</v>
      </c>
      <c r="N1198" s="1" t="str">
        <f ca="1">IFERROR(__xludf.DUMMYFUNCTION("""COMPUTED_VALUE"""),"Divisão de Informação e Documentação")</f>
        <v>Divisão de Informação e Documentação</v>
      </c>
      <c r="O1198" s="1"/>
      <c r="P1198" s="1"/>
      <c r="Q1198" s="1" t="s">
        <v>1174</v>
      </c>
    </row>
    <row r="1199" spans="1:17" x14ac:dyDescent="0.25">
      <c r="A1199" s="2" t="str">
        <f ca="1">IFERROR(__xludf.DUMMYFUNCTION("""COMPUTED_VALUE"""),"REG DE INTEGRA  METROPOLITANA")</f>
        <v>REG DE INTEGRA  METROPOLITANA</v>
      </c>
      <c r="B1199" s="1" t="str">
        <f ca="1">IFERROR(__xludf.DUMMYFUNCTION("""COMPUTED_VALUE"""),"SEDUC SEDE")</f>
        <v>SEDUC SEDE</v>
      </c>
      <c r="C1199" s="1" t="str">
        <f ca="1">IFERROR(__xludf.DUMMYFUNCTION("""COMPUTED_VALUE"""),"SEDUC SEDE")</f>
        <v>SEDUC SEDE</v>
      </c>
      <c r="D1199" s="1" t="str">
        <f ca="1">IFERROR(__xludf.DUMMYFUNCTION("""COMPUTED_VALUE"""),"SEDUC SEDE")</f>
        <v>SEDUC SEDE</v>
      </c>
      <c r="E1199" s="1" t="str">
        <f ca="1">IFERROR(__xludf.DUMMYFUNCTION("""COMPUTED_VALUE"""),"SEDUC SEDE")</f>
        <v>SEDUC SEDE</v>
      </c>
      <c r="F1199" s="1"/>
      <c r="G1199" s="1"/>
      <c r="H1199" s="1" t="str">
        <f ca="1">IFERROR(__xludf.DUMMYFUNCTION("""COMPUTED_VALUE"""),"19A URE - BELEM")</f>
        <v>19A URE - BELEM</v>
      </c>
      <c r="I1199" s="1"/>
      <c r="J1199" s="1" t="str">
        <f ca="1">IFERROR(__xludf.DUMMYFUNCTION("""COMPUTED_VALUE"""),"BELEM")</f>
        <v>BELEM</v>
      </c>
      <c r="K1199" s="1"/>
      <c r="L1199" s="2" t="str">
        <f ca="1">IFERROR(__xludf.DUMMYFUNCTION("""COMPUTED_VALUE"""),"001920804030000")</f>
        <v>001920804030000</v>
      </c>
      <c r="M1199" s="2" t="str">
        <f ca="1">IFERROR(__xludf.DUMMYFUNCTION("""COMPUTED_VALUE"""),"1920804030000")</f>
        <v>1920804030000</v>
      </c>
      <c r="N1199" s="1" t="str">
        <f ca="1">IFERROR(__xludf.DUMMYFUNCTION("""COMPUTED_VALUE"""),"Divisão de Transporte")</f>
        <v>Divisão de Transporte</v>
      </c>
      <c r="O1199" s="1"/>
      <c r="P1199" s="1"/>
      <c r="Q1199" s="1" t="s">
        <v>1174</v>
      </c>
    </row>
    <row r="1200" spans="1:17" x14ac:dyDescent="0.25">
      <c r="A1200" s="2" t="str">
        <f ca="1">IFERROR(__xludf.DUMMYFUNCTION("""COMPUTED_VALUE"""),"REG DE INTEGRA  METROPOLITANA")</f>
        <v>REG DE INTEGRA  METROPOLITANA</v>
      </c>
      <c r="B1200" s="1" t="str">
        <f ca="1">IFERROR(__xludf.DUMMYFUNCTION("""COMPUTED_VALUE"""),"SEDUC SEDE")</f>
        <v>SEDUC SEDE</v>
      </c>
      <c r="C1200" s="1" t="str">
        <f ca="1">IFERROR(__xludf.DUMMYFUNCTION("""COMPUTED_VALUE"""),"SEDUC SEDE")</f>
        <v>SEDUC SEDE</v>
      </c>
      <c r="D1200" s="1" t="str">
        <f ca="1">IFERROR(__xludf.DUMMYFUNCTION("""COMPUTED_VALUE"""),"SEDUC SEDE")</f>
        <v>SEDUC SEDE</v>
      </c>
      <c r="E1200" s="1" t="str">
        <f ca="1">IFERROR(__xludf.DUMMYFUNCTION("""COMPUTED_VALUE"""),"SEDUC SEDE")</f>
        <v>SEDUC SEDE</v>
      </c>
      <c r="F1200" s="1"/>
      <c r="G1200" s="1"/>
      <c r="H1200" s="1" t="str">
        <f ca="1">IFERROR(__xludf.DUMMYFUNCTION("""COMPUTED_VALUE"""),"19A URE - BELEM")</f>
        <v>19A URE - BELEM</v>
      </c>
      <c r="I1200" s="1"/>
      <c r="J1200" s="1" t="str">
        <f ca="1">IFERROR(__xludf.DUMMYFUNCTION("""COMPUTED_VALUE"""),"BELEM")</f>
        <v>BELEM</v>
      </c>
      <c r="K1200" s="1"/>
      <c r="L1200" s="2" t="str">
        <f ca="1">IFERROR(__xludf.DUMMYFUNCTION("""COMPUTED_VALUE"""),"001920805000000")</f>
        <v>001920805000000</v>
      </c>
      <c r="M1200" s="2" t="str">
        <f ca="1">IFERROR(__xludf.DUMMYFUNCTION("""COMPUTED_VALUE"""),"1920805000000")</f>
        <v>1920805000000</v>
      </c>
      <c r="N1200" s="1" t="str">
        <f ca="1">IFERROR(__xludf.DUMMYFUNCTION("""COMPUTED_VALUE"""),"Depto de Execução Orçamentária e Financeira")</f>
        <v>Depto de Execução Orçamentária e Financeira</v>
      </c>
      <c r="O1200" s="1"/>
      <c r="P1200" s="1"/>
      <c r="Q1200" s="1" t="s">
        <v>1174</v>
      </c>
    </row>
    <row r="1201" spans="1:17" x14ac:dyDescent="0.25">
      <c r="A1201" s="2" t="str">
        <f ca="1">IFERROR(__xludf.DUMMYFUNCTION("""COMPUTED_VALUE"""),"REG DE INTEGRA  METROPOLITANA")</f>
        <v>REG DE INTEGRA  METROPOLITANA</v>
      </c>
      <c r="B1201" s="1" t="str">
        <f ca="1">IFERROR(__xludf.DUMMYFUNCTION("""COMPUTED_VALUE"""),"SEDUC SEDE")</f>
        <v>SEDUC SEDE</v>
      </c>
      <c r="C1201" s="1" t="str">
        <f ca="1">IFERROR(__xludf.DUMMYFUNCTION("""COMPUTED_VALUE"""),"SEDUC SEDE")</f>
        <v>SEDUC SEDE</v>
      </c>
      <c r="D1201" s="1" t="str">
        <f ca="1">IFERROR(__xludf.DUMMYFUNCTION("""COMPUTED_VALUE"""),"SEDUC SEDE")</f>
        <v>SEDUC SEDE</v>
      </c>
      <c r="E1201" s="1" t="str">
        <f ca="1">IFERROR(__xludf.DUMMYFUNCTION("""COMPUTED_VALUE"""),"SEDUC SEDE")</f>
        <v>SEDUC SEDE</v>
      </c>
      <c r="F1201" s="1"/>
      <c r="G1201" s="1"/>
      <c r="H1201" s="1" t="str">
        <f ca="1">IFERROR(__xludf.DUMMYFUNCTION("""COMPUTED_VALUE"""),"19A URE - BELEM")</f>
        <v>19A URE - BELEM</v>
      </c>
      <c r="I1201" s="1"/>
      <c r="J1201" s="1" t="str">
        <f ca="1">IFERROR(__xludf.DUMMYFUNCTION("""COMPUTED_VALUE"""),"BELEM")</f>
        <v>BELEM</v>
      </c>
      <c r="K1201" s="1"/>
      <c r="L1201" s="2" t="str">
        <f ca="1">IFERROR(__xludf.DUMMYFUNCTION("""COMPUTED_VALUE"""),"001920805010000")</f>
        <v>001920805010000</v>
      </c>
      <c r="M1201" s="2" t="str">
        <f ca="1">IFERROR(__xludf.DUMMYFUNCTION("""COMPUTED_VALUE"""),"1920805010000")</f>
        <v>1920805010000</v>
      </c>
      <c r="N1201" s="1" t="str">
        <f ca="1">IFERROR(__xludf.DUMMYFUNCTION("""COMPUTED_VALUE"""),"Divisão de Orçamento")</f>
        <v>Divisão de Orçamento</v>
      </c>
      <c r="O1201" s="1"/>
      <c r="P1201" s="1"/>
      <c r="Q1201" s="1" t="s">
        <v>1174</v>
      </c>
    </row>
    <row r="1202" spans="1:17" x14ac:dyDescent="0.25">
      <c r="A1202" s="2" t="str">
        <f ca="1">IFERROR(__xludf.DUMMYFUNCTION("""COMPUTED_VALUE"""),"REG DE INTEGRA  METROPOLITANA")</f>
        <v>REG DE INTEGRA  METROPOLITANA</v>
      </c>
      <c r="B1202" s="1" t="str">
        <f ca="1">IFERROR(__xludf.DUMMYFUNCTION("""COMPUTED_VALUE"""),"SEDUC SEDE")</f>
        <v>SEDUC SEDE</v>
      </c>
      <c r="C1202" s="1" t="str">
        <f ca="1">IFERROR(__xludf.DUMMYFUNCTION("""COMPUTED_VALUE"""),"SEDUC SEDE")</f>
        <v>SEDUC SEDE</v>
      </c>
      <c r="D1202" s="1" t="str">
        <f ca="1">IFERROR(__xludf.DUMMYFUNCTION("""COMPUTED_VALUE"""),"SEDUC SEDE")</f>
        <v>SEDUC SEDE</v>
      </c>
      <c r="E1202" s="1" t="str">
        <f ca="1">IFERROR(__xludf.DUMMYFUNCTION("""COMPUTED_VALUE"""),"SEDUC SEDE")</f>
        <v>SEDUC SEDE</v>
      </c>
      <c r="F1202" s="1"/>
      <c r="G1202" s="1"/>
      <c r="H1202" s="1" t="str">
        <f ca="1">IFERROR(__xludf.DUMMYFUNCTION("""COMPUTED_VALUE"""),"19A URE - BELEM")</f>
        <v>19A URE - BELEM</v>
      </c>
      <c r="I1202" s="1"/>
      <c r="J1202" s="1" t="str">
        <f ca="1">IFERROR(__xludf.DUMMYFUNCTION("""COMPUTED_VALUE"""),"BELEM")</f>
        <v>BELEM</v>
      </c>
      <c r="K1202" s="1"/>
      <c r="L1202" s="2" t="str">
        <f ca="1">IFERROR(__xludf.DUMMYFUNCTION("""COMPUTED_VALUE"""),"001920805020000")</f>
        <v>001920805020000</v>
      </c>
      <c r="M1202" s="2" t="str">
        <f ca="1">IFERROR(__xludf.DUMMYFUNCTION("""COMPUTED_VALUE"""),"1920805020000")</f>
        <v>1920805020000</v>
      </c>
      <c r="N1202" s="1" t="str">
        <f ca="1">IFERROR(__xludf.DUMMYFUNCTION("""COMPUTED_VALUE"""),"Divisão de Finanças")</f>
        <v>Divisão de Finanças</v>
      </c>
      <c r="O1202" s="1"/>
      <c r="P1202" s="1"/>
      <c r="Q1202" s="1" t="s">
        <v>1174</v>
      </c>
    </row>
    <row r="1203" spans="1:17" x14ac:dyDescent="0.25">
      <c r="A1203" s="2" t="str">
        <f ca="1">IFERROR(__xludf.DUMMYFUNCTION("""COMPUTED_VALUE"""),"REG DE INTEGRA  METROPOLITANA")</f>
        <v>REG DE INTEGRA  METROPOLITANA</v>
      </c>
      <c r="B1203" s="1" t="str">
        <f ca="1">IFERROR(__xludf.DUMMYFUNCTION("""COMPUTED_VALUE"""),"SEDUC SEDE")</f>
        <v>SEDUC SEDE</v>
      </c>
      <c r="C1203" s="1" t="str">
        <f ca="1">IFERROR(__xludf.DUMMYFUNCTION("""COMPUTED_VALUE"""),"SEDUC SEDE")</f>
        <v>SEDUC SEDE</v>
      </c>
      <c r="D1203" s="1" t="str">
        <f ca="1">IFERROR(__xludf.DUMMYFUNCTION("""COMPUTED_VALUE"""),"SEDUC SEDE")</f>
        <v>SEDUC SEDE</v>
      </c>
      <c r="E1203" s="1" t="str">
        <f ca="1">IFERROR(__xludf.DUMMYFUNCTION("""COMPUTED_VALUE"""),"SEDUC SEDE")</f>
        <v>SEDUC SEDE</v>
      </c>
      <c r="F1203" s="1"/>
      <c r="G1203" s="1"/>
      <c r="H1203" s="1" t="str">
        <f ca="1">IFERROR(__xludf.DUMMYFUNCTION("""COMPUTED_VALUE"""),"19A URE - BELEM")</f>
        <v>19A URE - BELEM</v>
      </c>
      <c r="I1203" s="1"/>
      <c r="J1203" s="1" t="str">
        <f ca="1">IFERROR(__xludf.DUMMYFUNCTION("""COMPUTED_VALUE"""),"BELEM")</f>
        <v>BELEM</v>
      </c>
      <c r="K1203" s="1"/>
      <c r="L1203" s="2" t="str">
        <f ca="1">IFERROR(__xludf.DUMMYFUNCTION("""COMPUTED_VALUE"""),"001920805030000")</f>
        <v>001920805030000</v>
      </c>
      <c r="M1203" s="2" t="str">
        <f ca="1">IFERROR(__xludf.DUMMYFUNCTION("""COMPUTED_VALUE"""),"1920805030000")</f>
        <v>1920805030000</v>
      </c>
      <c r="N1203" s="1" t="str">
        <f ca="1">IFERROR(__xludf.DUMMYFUNCTION("""COMPUTED_VALUE"""),"Divisão de Prestação de Contas")</f>
        <v>Divisão de Prestação de Contas</v>
      </c>
      <c r="O1203" s="1"/>
      <c r="P1203" s="1"/>
      <c r="Q1203" s="1" t="s">
        <v>1174</v>
      </c>
    </row>
    <row r="1204" spans="1:17" x14ac:dyDescent="0.25">
      <c r="A1204" s="2" t="str">
        <f ca="1">IFERROR(__xludf.DUMMYFUNCTION("""COMPUTED_VALUE"""),"REG DE INTEGRA  METROPOLITANA")</f>
        <v>REG DE INTEGRA  METROPOLITANA</v>
      </c>
      <c r="B1204" s="1" t="str">
        <f ca="1">IFERROR(__xludf.DUMMYFUNCTION("""COMPUTED_VALUE"""),"SEDUC SEDE")</f>
        <v>SEDUC SEDE</v>
      </c>
      <c r="C1204" s="1" t="str">
        <f ca="1">IFERROR(__xludf.DUMMYFUNCTION("""COMPUTED_VALUE"""),"SEDUC SEDE")</f>
        <v>SEDUC SEDE</v>
      </c>
      <c r="D1204" s="1" t="str">
        <f ca="1">IFERROR(__xludf.DUMMYFUNCTION("""COMPUTED_VALUE"""),"SEDUC SEDE")</f>
        <v>SEDUC SEDE</v>
      </c>
      <c r="E1204" s="1" t="str">
        <f ca="1">IFERROR(__xludf.DUMMYFUNCTION("""COMPUTED_VALUE"""),"SEDUC SEDE")</f>
        <v>SEDUC SEDE</v>
      </c>
      <c r="F1204" s="1"/>
      <c r="G1204" s="1"/>
      <c r="H1204" s="1" t="str">
        <f ca="1">IFERROR(__xludf.DUMMYFUNCTION("""COMPUTED_VALUE"""),"19A URE - BELEM")</f>
        <v>19A URE - BELEM</v>
      </c>
      <c r="I1204" s="1"/>
      <c r="J1204" s="1" t="str">
        <f ca="1">IFERROR(__xludf.DUMMYFUNCTION("""COMPUTED_VALUE"""),"BELEM")</f>
        <v>BELEM</v>
      </c>
      <c r="K1204" s="1"/>
      <c r="L1204" s="2" t="str">
        <f ca="1">IFERROR(__xludf.DUMMYFUNCTION("""COMPUTED_VALUE"""),"001920927060000")</f>
        <v>001920927060000</v>
      </c>
      <c r="M1204" s="2" t="str">
        <f ca="1">IFERROR(__xludf.DUMMYFUNCTION("""COMPUTED_VALUE"""),"1920927060000")</f>
        <v>1920927060000</v>
      </c>
      <c r="N1204" s="2" t="str">
        <f ca="1">IFERROR(__xludf.DUMMYFUNCTION("""COMPUTED_VALUE"""),"EE CENTRO DE INFORMATICA DA EDUCACAO")</f>
        <v>EE CENTRO DE INFORMATICA DA EDUCACAO</v>
      </c>
      <c r="O1204" s="1"/>
      <c r="P1204" s="1"/>
      <c r="Q1204" s="1" t="s">
        <v>1174</v>
      </c>
    </row>
    <row r="1205" spans="1:17" x14ac:dyDescent="0.25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</row>
    <row r="1206" spans="1:17" x14ac:dyDescent="0.25">
      <c r="Q1206" s="1"/>
    </row>
    <row r="1207" spans="1:17" x14ac:dyDescent="0.25">
      <c r="Q1207" s="1"/>
    </row>
    <row r="1208" spans="1:17" x14ac:dyDescent="0.25">
      <c r="Q1208" s="1"/>
    </row>
    <row r="1209" spans="1:17" x14ac:dyDescent="0.25">
      <c r="Q1209" s="1"/>
    </row>
    <row r="1210" spans="1:17" x14ac:dyDescent="0.25">
      <c r="Q1210" s="1"/>
    </row>
    <row r="1211" spans="1:17" x14ac:dyDescent="0.25">
      <c r="Q1211" s="1"/>
    </row>
    <row r="1212" spans="1:17" x14ac:dyDescent="0.25">
      <c r="Q1212" s="1"/>
    </row>
    <row r="1213" spans="1:17" x14ac:dyDescent="0.25">
      <c r="Q1213" s="1"/>
    </row>
    <row r="1214" spans="1:17" x14ac:dyDescent="0.25">
      <c r="Q1214" s="1"/>
    </row>
    <row r="1215" spans="1:17" x14ac:dyDescent="0.25">
      <c r="Q1215" s="1"/>
    </row>
    <row r="1216" spans="1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2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13" customWidth="1"/>
    <col min="2" max="2" width="23.109375" customWidth="1"/>
    <col min="3" max="3" width="31.44140625" customWidth="1"/>
    <col min="4" max="4" width="4.33203125" customWidth="1"/>
    <col min="5" max="5" width="27" customWidth="1"/>
    <col min="6" max="6" width="13" customWidth="1"/>
    <col min="7" max="7" width="95" customWidth="1"/>
    <col min="8" max="8" width="109.88671875" customWidth="1"/>
    <col min="9" max="9" width="13.88671875" customWidth="1"/>
  </cols>
  <sheetData>
    <row r="1" spans="1:19" x14ac:dyDescent="0.25">
      <c r="A1" s="1" t="s">
        <v>1175</v>
      </c>
      <c r="B1" s="1" t="s">
        <v>0</v>
      </c>
      <c r="C1" s="1" t="s">
        <v>1176</v>
      </c>
      <c r="D1" s="1" t="s">
        <v>1177</v>
      </c>
      <c r="E1" s="1" t="s">
        <v>1</v>
      </c>
      <c r="F1" s="1" t="s">
        <v>1175</v>
      </c>
      <c r="G1" s="1" t="s">
        <v>2</v>
      </c>
      <c r="H1" s="1" t="s">
        <v>1178</v>
      </c>
      <c r="I1" s="1" t="s">
        <v>1179</v>
      </c>
      <c r="Q1" s="1" t="s">
        <v>0</v>
      </c>
      <c r="R1" s="1" t="s">
        <v>1</v>
      </c>
      <c r="S1" s="1" t="s">
        <v>2</v>
      </c>
    </row>
    <row r="2" spans="1:19" x14ac:dyDescent="0.25">
      <c r="A2" s="1">
        <v>1920909840000</v>
      </c>
      <c r="B2" s="1" t="s">
        <v>3</v>
      </c>
      <c r="C2" s="1" t="s">
        <v>1180</v>
      </c>
      <c r="E2" s="1" t="s">
        <v>3</v>
      </c>
      <c r="F2" s="1">
        <v>1920909840000</v>
      </c>
      <c r="G2" s="1" t="s">
        <v>4</v>
      </c>
      <c r="H2" s="1" t="s">
        <v>1181</v>
      </c>
      <c r="I2" s="1" t="s">
        <v>1182</v>
      </c>
      <c r="Q2" s="1" t="s">
        <v>3</v>
      </c>
      <c r="R2" s="1" t="s">
        <v>3</v>
      </c>
      <c r="S2" s="1" t="s">
        <v>4</v>
      </c>
    </row>
    <row r="3" spans="1:19" x14ac:dyDescent="0.25">
      <c r="A3" s="1">
        <v>1920909840001</v>
      </c>
      <c r="B3" s="1" t="s">
        <v>3</v>
      </c>
      <c r="C3" s="1" t="s">
        <v>1180</v>
      </c>
      <c r="E3" s="1" t="s">
        <v>3</v>
      </c>
      <c r="F3" s="1">
        <v>1920909840001</v>
      </c>
      <c r="G3" s="1" t="s">
        <v>5</v>
      </c>
      <c r="H3" s="1" t="s">
        <v>1183</v>
      </c>
      <c r="I3" s="1" t="s">
        <v>1182</v>
      </c>
      <c r="Q3" s="1" t="s">
        <v>3</v>
      </c>
      <c r="R3" s="1" t="s">
        <v>3</v>
      </c>
      <c r="S3" s="1" t="s">
        <v>5</v>
      </c>
    </row>
    <row r="4" spans="1:19" x14ac:dyDescent="0.25">
      <c r="A4" s="1">
        <v>1920909840002</v>
      </c>
      <c r="B4" s="1" t="s">
        <v>3</v>
      </c>
      <c r="C4" s="1" t="s">
        <v>1180</v>
      </c>
      <c r="E4" s="1" t="s">
        <v>3</v>
      </c>
      <c r="F4" s="1">
        <v>1920909840002</v>
      </c>
      <c r="G4" s="1" t="s">
        <v>6</v>
      </c>
      <c r="H4" s="1" t="s">
        <v>1184</v>
      </c>
      <c r="I4" s="1" t="s">
        <v>1182</v>
      </c>
      <c r="Q4" s="1" t="s">
        <v>3</v>
      </c>
      <c r="R4" s="1" t="s">
        <v>3</v>
      </c>
      <c r="S4" s="1" t="s">
        <v>6</v>
      </c>
    </row>
    <row r="5" spans="1:19" x14ac:dyDescent="0.25">
      <c r="A5" s="1">
        <v>1920909860000</v>
      </c>
      <c r="B5" s="1" t="s">
        <v>3</v>
      </c>
      <c r="C5" s="1" t="s">
        <v>1180</v>
      </c>
      <c r="E5" s="1" t="s">
        <v>3</v>
      </c>
      <c r="F5" s="1">
        <v>1920909860000</v>
      </c>
      <c r="G5" s="1" t="s">
        <v>7</v>
      </c>
      <c r="H5" s="1" t="s">
        <v>1185</v>
      </c>
      <c r="I5" s="1" t="s">
        <v>1182</v>
      </c>
      <c r="Q5" s="1" t="s">
        <v>3</v>
      </c>
      <c r="R5" s="1" t="s">
        <v>3</v>
      </c>
      <c r="S5" s="1" t="s">
        <v>7</v>
      </c>
    </row>
    <row r="6" spans="1:19" x14ac:dyDescent="0.25">
      <c r="A6" s="1">
        <v>1920909880000</v>
      </c>
      <c r="B6" s="1" t="s">
        <v>3</v>
      </c>
      <c r="C6" s="1" t="s">
        <v>1180</v>
      </c>
      <c r="E6" s="1" t="s">
        <v>3</v>
      </c>
      <c r="F6" s="1">
        <v>1920909880000</v>
      </c>
      <c r="G6" s="1" t="s">
        <v>8</v>
      </c>
      <c r="H6" s="1" t="s">
        <v>1186</v>
      </c>
      <c r="I6" s="1" t="s">
        <v>1182</v>
      </c>
      <c r="Q6" s="1" t="s">
        <v>3</v>
      </c>
      <c r="R6" s="1" t="s">
        <v>3</v>
      </c>
      <c r="S6" s="1" t="s">
        <v>8</v>
      </c>
    </row>
    <row r="7" spans="1:19" x14ac:dyDescent="0.25">
      <c r="A7" s="1">
        <v>1920909910000</v>
      </c>
      <c r="B7" s="1" t="s">
        <v>3</v>
      </c>
      <c r="C7" s="1" t="s">
        <v>1180</v>
      </c>
      <c r="E7" s="1" t="s">
        <v>3</v>
      </c>
      <c r="F7" s="1">
        <v>1920909910000</v>
      </c>
      <c r="G7" s="1" t="s">
        <v>9</v>
      </c>
      <c r="H7" s="1" t="s">
        <v>1187</v>
      </c>
      <c r="I7" s="1" t="s">
        <v>1182</v>
      </c>
      <c r="Q7" s="1" t="s">
        <v>3</v>
      </c>
      <c r="R7" s="1" t="s">
        <v>3</v>
      </c>
      <c r="S7" s="1" t="s">
        <v>9</v>
      </c>
    </row>
    <row r="8" spans="1:19" x14ac:dyDescent="0.25">
      <c r="A8" s="1">
        <v>1920909910001</v>
      </c>
      <c r="B8" s="1" t="s">
        <v>3</v>
      </c>
      <c r="C8" s="1" t="s">
        <v>1180</v>
      </c>
      <c r="E8" s="1" t="s">
        <v>3</v>
      </c>
      <c r="F8" s="1">
        <v>1920909910001</v>
      </c>
      <c r="G8" s="1" t="s">
        <v>10</v>
      </c>
      <c r="H8" s="1" t="s">
        <v>1188</v>
      </c>
      <c r="I8" s="1" t="s">
        <v>1182</v>
      </c>
      <c r="Q8" s="1" t="s">
        <v>3</v>
      </c>
      <c r="R8" s="1" t="s">
        <v>3</v>
      </c>
      <c r="S8" s="1" t="s">
        <v>10</v>
      </c>
    </row>
    <row r="9" spans="1:19" x14ac:dyDescent="0.25">
      <c r="A9" s="1">
        <v>1920909910002</v>
      </c>
      <c r="B9" s="1" t="s">
        <v>3</v>
      </c>
      <c r="C9" s="1" t="s">
        <v>1180</v>
      </c>
      <c r="E9" s="1" t="s">
        <v>3</v>
      </c>
      <c r="F9" s="1">
        <v>1920909910002</v>
      </c>
      <c r="G9" s="1" t="s">
        <v>11</v>
      </c>
      <c r="H9" s="1" t="s">
        <v>1189</v>
      </c>
      <c r="I9" s="1" t="s">
        <v>1182</v>
      </c>
      <c r="Q9" s="1" t="s">
        <v>3</v>
      </c>
      <c r="R9" s="1" t="s">
        <v>3</v>
      </c>
      <c r="S9" s="1" t="s">
        <v>11</v>
      </c>
    </row>
    <row r="10" spans="1:19" x14ac:dyDescent="0.25">
      <c r="A10" s="1">
        <v>1920909920000</v>
      </c>
      <c r="B10" s="1" t="s">
        <v>3</v>
      </c>
      <c r="C10" s="1" t="s">
        <v>1180</v>
      </c>
      <c r="E10" s="1" t="s">
        <v>3</v>
      </c>
      <c r="F10" s="1">
        <v>1920909920000</v>
      </c>
      <c r="G10" s="1" t="s">
        <v>12</v>
      </c>
      <c r="H10" s="1" t="s">
        <v>1190</v>
      </c>
      <c r="I10" s="1" t="s">
        <v>1182</v>
      </c>
      <c r="Q10" s="1" t="s">
        <v>3</v>
      </c>
      <c r="R10" s="1" t="s">
        <v>3</v>
      </c>
      <c r="S10" s="1" t="s">
        <v>12</v>
      </c>
    </row>
    <row r="11" spans="1:19" x14ac:dyDescent="0.25">
      <c r="A11" s="1">
        <v>1920909930000</v>
      </c>
      <c r="B11" s="1" t="s">
        <v>3</v>
      </c>
      <c r="C11" s="1" t="s">
        <v>1180</v>
      </c>
      <c r="E11" s="1" t="s">
        <v>3</v>
      </c>
      <c r="F11" s="1">
        <v>1920909930000</v>
      </c>
      <c r="G11" s="1" t="s">
        <v>13</v>
      </c>
      <c r="H11" s="1" t="s">
        <v>1191</v>
      </c>
      <c r="I11" s="1" t="s">
        <v>1182</v>
      </c>
      <c r="Q11" s="1" t="s">
        <v>3</v>
      </c>
      <c r="R11" s="1" t="s">
        <v>3</v>
      </c>
      <c r="S11" s="1" t="s">
        <v>13</v>
      </c>
    </row>
    <row r="12" spans="1:19" x14ac:dyDescent="0.25">
      <c r="A12" s="1">
        <v>1920909940000</v>
      </c>
      <c r="B12" s="1" t="s">
        <v>3</v>
      </c>
      <c r="C12" s="1" t="s">
        <v>1180</v>
      </c>
      <c r="E12" s="1" t="s">
        <v>3</v>
      </c>
      <c r="F12" s="1">
        <v>1920909940000</v>
      </c>
      <c r="G12" s="1" t="s">
        <v>14</v>
      </c>
      <c r="H12" s="1" t="s">
        <v>1192</v>
      </c>
      <c r="I12" s="1" t="s">
        <v>1182</v>
      </c>
      <c r="Q12" s="1" t="s">
        <v>3</v>
      </c>
      <c r="R12" s="1" t="s">
        <v>3</v>
      </c>
      <c r="S12" s="1" t="s">
        <v>14</v>
      </c>
    </row>
    <row r="13" spans="1:19" x14ac:dyDescent="0.25">
      <c r="A13" s="1">
        <v>1920909990000</v>
      </c>
      <c r="B13" s="1" t="s">
        <v>3</v>
      </c>
      <c r="C13" s="1" t="s">
        <v>1180</v>
      </c>
      <c r="E13" s="1" t="s">
        <v>3</v>
      </c>
      <c r="F13" s="1">
        <v>1920909990000</v>
      </c>
      <c r="G13" s="1" t="s">
        <v>15</v>
      </c>
      <c r="H13" s="1" t="s">
        <v>1193</v>
      </c>
      <c r="I13" s="1" t="s">
        <v>1182</v>
      </c>
      <c r="Q13" s="1" t="s">
        <v>3</v>
      </c>
      <c r="R13" s="1" t="s">
        <v>3</v>
      </c>
      <c r="S13" s="1" t="s">
        <v>15</v>
      </c>
    </row>
    <row r="14" spans="1:19" x14ac:dyDescent="0.25">
      <c r="A14" s="1">
        <v>1920910330000</v>
      </c>
      <c r="B14" s="1" t="s">
        <v>3</v>
      </c>
      <c r="C14" s="1" t="s">
        <v>1180</v>
      </c>
      <c r="E14" s="1" t="s">
        <v>3</v>
      </c>
      <c r="F14" s="1">
        <v>1920910330000</v>
      </c>
      <c r="G14" s="1" t="s">
        <v>16</v>
      </c>
      <c r="H14" s="1" t="s">
        <v>1194</v>
      </c>
      <c r="I14" s="1" t="s">
        <v>1182</v>
      </c>
      <c r="Q14" s="1" t="s">
        <v>3</v>
      </c>
      <c r="R14" s="1" t="s">
        <v>3</v>
      </c>
      <c r="S14" s="1" t="s">
        <v>16</v>
      </c>
    </row>
    <row r="15" spans="1:19" x14ac:dyDescent="0.25">
      <c r="A15" s="1">
        <v>1920924360000</v>
      </c>
      <c r="B15" s="1" t="s">
        <v>3</v>
      </c>
      <c r="C15" s="1" t="s">
        <v>1180</v>
      </c>
      <c r="E15" s="1" t="s">
        <v>3</v>
      </c>
      <c r="F15" s="1">
        <v>1920924360000</v>
      </c>
      <c r="G15" s="1" t="s">
        <v>17</v>
      </c>
      <c r="H15" s="1" t="s">
        <v>1195</v>
      </c>
      <c r="I15" s="1" t="s">
        <v>1182</v>
      </c>
      <c r="Q15" s="1" t="s">
        <v>3</v>
      </c>
      <c r="R15" s="1" t="s">
        <v>3</v>
      </c>
      <c r="S15" s="1" t="s">
        <v>17</v>
      </c>
    </row>
    <row r="16" spans="1:19" x14ac:dyDescent="0.25">
      <c r="A16" s="1">
        <v>1920927620000</v>
      </c>
      <c r="B16" s="1" t="s">
        <v>3</v>
      </c>
      <c r="C16" s="1" t="s">
        <v>1180</v>
      </c>
      <c r="E16" s="1" t="s">
        <v>3</v>
      </c>
      <c r="F16" s="1">
        <v>1920927620000</v>
      </c>
      <c r="G16" s="1" t="s">
        <v>18</v>
      </c>
      <c r="H16" s="1" t="s">
        <v>1196</v>
      </c>
      <c r="I16" s="1" t="s">
        <v>1182</v>
      </c>
      <c r="Q16" s="1" t="s">
        <v>3</v>
      </c>
      <c r="R16" s="1" t="s">
        <v>3</v>
      </c>
      <c r="S16" s="1" t="s">
        <v>18</v>
      </c>
    </row>
    <row r="17" spans="1:19" x14ac:dyDescent="0.25">
      <c r="A17" s="1">
        <v>1920927620001</v>
      </c>
      <c r="B17" s="1" t="s">
        <v>3</v>
      </c>
      <c r="C17" s="1" t="s">
        <v>1180</v>
      </c>
      <c r="E17" s="1" t="s">
        <v>3</v>
      </c>
      <c r="F17" s="1">
        <v>1920927620001</v>
      </c>
      <c r="G17" s="1" t="s">
        <v>19</v>
      </c>
      <c r="H17" s="1" t="s">
        <v>1197</v>
      </c>
      <c r="I17" s="1" t="s">
        <v>1182</v>
      </c>
      <c r="Q17" s="1" t="s">
        <v>3</v>
      </c>
      <c r="R17" s="1" t="s">
        <v>3</v>
      </c>
      <c r="S17" s="1" t="s">
        <v>19</v>
      </c>
    </row>
    <row r="18" spans="1:19" x14ac:dyDescent="0.25">
      <c r="A18" s="1">
        <v>1920927630000</v>
      </c>
      <c r="B18" s="1" t="s">
        <v>3</v>
      </c>
      <c r="C18" s="1" t="s">
        <v>1180</v>
      </c>
      <c r="E18" s="1" t="s">
        <v>3</v>
      </c>
      <c r="F18" s="1">
        <v>1920927630000</v>
      </c>
      <c r="G18" s="1" t="s">
        <v>20</v>
      </c>
      <c r="H18" s="1" t="s">
        <v>1198</v>
      </c>
      <c r="I18" s="1" t="s">
        <v>1182</v>
      </c>
      <c r="Q18" s="1" t="s">
        <v>3</v>
      </c>
      <c r="R18" s="1" t="s">
        <v>3</v>
      </c>
      <c r="S18" s="1" t="s">
        <v>20</v>
      </c>
    </row>
    <row r="19" spans="1:19" x14ac:dyDescent="0.25">
      <c r="A19" s="1">
        <v>1920927640000</v>
      </c>
      <c r="B19" s="1" t="s">
        <v>3</v>
      </c>
      <c r="C19" s="1" t="s">
        <v>1180</v>
      </c>
      <c r="E19" s="1" t="s">
        <v>3</v>
      </c>
      <c r="F19" s="1">
        <v>1920927640000</v>
      </c>
      <c r="G19" s="1" t="s">
        <v>21</v>
      </c>
      <c r="H19" s="1" t="s">
        <v>1199</v>
      </c>
      <c r="I19" s="1" t="s">
        <v>1182</v>
      </c>
      <c r="Q19" s="1" t="s">
        <v>3</v>
      </c>
      <c r="R19" s="1" t="s">
        <v>3</v>
      </c>
      <c r="S19" s="1" t="s">
        <v>21</v>
      </c>
    </row>
    <row r="20" spans="1:19" x14ac:dyDescent="0.25">
      <c r="A20" s="1">
        <v>1920929830000</v>
      </c>
      <c r="B20" s="1" t="s">
        <v>3</v>
      </c>
      <c r="C20" s="1" t="s">
        <v>1180</v>
      </c>
      <c r="E20" s="1" t="s">
        <v>3</v>
      </c>
      <c r="F20" s="1">
        <v>1920929830000</v>
      </c>
      <c r="G20" s="1" t="s">
        <v>22</v>
      </c>
      <c r="H20" s="1" t="s">
        <v>1200</v>
      </c>
      <c r="I20" s="1" t="s">
        <v>1182</v>
      </c>
      <c r="Q20" s="1" t="s">
        <v>3</v>
      </c>
      <c r="R20" s="1" t="s">
        <v>3</v>
      </c>
      <c r="S20" s="1" t="s">
        <v>22</v>
      </c>
    </row>
    <row r="21" spans="1:19" x14ac:dyDescent="0.25">
      <c r="A21" s="1">
        <v>1920929830001</v>
      </c>
      <c r="B21" s="1" t="s">
        <v>3</v>
      </c>
      <c r="C21" s="1" t="s">
        <v>1180</v>
      </c>
      <c r="E21" s="1" t="s">
        <v>3</v>
      </c>
      <c r="F21" s="1">
        <v>1920929830001</v>
      </c>
      <c r="G21" s="1" t="s">
        <v>23</v>
      </c>
      <c r="H21" s="1" t="s">
        <v>1201</v>
      </c>
      <c r="I21" s="1" t="s">
        <v>1182</v>
      </c>
      <c r="Q21" s="1" t="s">
        <v>3</v>
      </c>
      <c r="R21" s="1" t="s">
        <v>3</v>
      </c>
      <c r="S21" s="1" t="s">
        <v>23</v>
      </c>
    </row>
    <row r="22" spans="1:19" x14ac:dyDescent="0.25">
      <c r="A22" s="1">
        <v>1920929830002</v>
      </c>
      <c r="B22" s="1" t="s">
        <v>3</v>
      </c>
      <c r="C22" s="1" t="s">
        <v>1180</v>
      </c>
      <c r="E22" s="1" t="s">
        <v>3</v>
      </c>
      <c r="F22" s="1">
        <v>1920929830002</v>
      </c>
      <c r="G22" s="1" t="s">
        <v>24</v>
      </c>
      <c r="H22" s="1" t="s">
        <v>1202</v>
      </c>
      <c r="I22" s="1" t="s">
        <v>1182</v>
      </c>
      <c r="Q22" s="1" t="s">
        <v>3</v>
      </c>
      <c r="R22" s="1" t="s">
        <v>3</v>
      </c>
      <c r="S22" s="1" t="s">
        <v>24</v>
      </c>
    </row>
    <row r="23" spans="1:19" x14ac:dyDescent="0.25">
      <c r="A23" s="1">
        <v>1920970000000</v>
      </c>
      <c r="B23" s="1" t="s">
        <v>3</v>
      </c>
      <c r="C23" s="1" t="s">
        <v>1180</v>
      </c>
      <c r="E23" s="1" t="s">
        <v>3</v>
      </c>
      <c r="F23" s="1">
        <v>1920970000000</v>
      </c>
      <c r="G23" s="1" t="s">
        <v>25</v>
      </c>
      <c r="H23" s="1" t="s">
        <v>1203</v>
      </c>
      <c r="I23" s="1" t="s">
        <v>1204</v>
      </c>
      <c r="Q23" s="1" t="s">
        <v>3</v>
      </c>
      <c r="R23" s="1" t="s">
        <v>3</v>
      </c>
      <c r="S23" s="1" t="s">
        <v>25</v>
      </c>
    </row>
    <row r="24" spans="1:19" x14ac:dyDescent="0.25">
      <c r="A24" s="1">
        <v>1920932170000</v>
      </c>
      <c r="B24" s="1" t="s">
        <v>3</v>
      </c>
      <c r="C24" s="1" t="s">
        <v>1180</v>
      </c>
      <c r="E24" s="1" t="s">
        <v>3</v>
      </c>
      <c r="F24" s="1">
        <v>1920932170000</v>
      </c>
      <c r="G24" s="1" t="s">
        <v>26</v>
      </c>
      <c r="H24" s="1" t="s">
        <v>1205</v>
      </c>
      <c r="I24" s="1" t="s">
        <v>1182</v>
      </c>
      <c r="Q24" s="1" t="s">
        <v>3</v>
      </c>
      <c r="R24" s="1" t="s">
        <v>3</v>
      </c>
      <c r="S24" s="1" t="s">
        <v>26</v>
      </c>
    </row>
    <row r="25" spans="1:19" x14ac:dyDescent="0.25">
      <c r="A25" s="1">
        <v>1920935090000</v>
      </c>
      <c r="B25" s="1" t="s">
        <v>3</v>
      </c>
      <c r="C25" s="1" t="s">
        <v>1180</v>
      </c>
      <c r="E25" s="1" t="s">
        <v>3</v>
      </c>
      <c r="F25" s="1">
        <v>1920935090000</v>
      </c>
      <c r="G25" s="1" t="s">
        <v>27</v>
      </c>
      <c r="H25" s="1" t="s">
        <v>1206</v>
      </c>
      <c r="I25" s="1" t="s">
        <v>1182</v>
      </c>
      <c r="Q25" s="1" t="s">
        <v>3</v>
      </c>
      <c r="R25" s="1" t="s">
        <v>3</v>
      </c>
      <c r="S25" s="1" t="s">
        <v>27</v>
      </c>
    </row>
    <row r="26" spans="1:19" x14ac:dyDescent="0.25">
      <c r="A26" s="1">
        <v>1920936230000</v>
      </c>
      <c r="B26" s="1" t="s">
        <v>3</v>
      </c>
      <c r="C26" s="1" t="s">
        <v>1180</v>
      </c>
      <c r="E26" s="1" t="s">
        <v>3</v>
      </c>
      <c r="F26" s="1">
        <v>1920936230000</v>
      </c>
      <c r="G26" s="1" t="s">
        <v>28</v>
      </c>
      <c r="H26" s="1" t="s">
        <v>1207</v>
      </c>
      <c r="I26" s="1" t="s">
        <v>1182</v>
      </c>
      <c r="Q26" s="1" t="s">
        <v>3</v>
      </c>
      <c r="R26" s="1" t="s">
        <v>3</v>
      </c>
      <c r="S26" s="1" t="s">
        <v>28</v>
      </c>
    </row>
    <row r="27" spans="1:19" x14ac:dyDescent="0.25">
      <c r="A27" s="1">
        <v>1920937350000</v>
      </c>
      <c r="B27" s="1" t="s">
        <v>3</v>
      </c>
      <c r="C27" s="1" t="s">
        <v>1180</v>
      </c>
      <c r="E27" s="1" t="s">
        <v>3</v>
      </c>
      <c r="F27" s="1">
        <v>1920937350000</v>
      </c>
      <c r="G27" s="1" t="s">
        <v>29</v>
      </c>
      <c r="H27" s="1" t="s">
        <v>1208</v>
      </c>
      <c r="I27" s="1" t="s">
        <v>1182</v>
      </c>
      <c r="Q27" s="1" t="s">
        <v>3</v>
      </c>
      <c r="R27" s="1" t="s">
        <v>3</v>
      </c>
      <c r="S27" s="1" t="s">
        <v>29</v>
      </c>
    </row>
    <row r="28" spans="1:19" x14ac:dyDescent="0.25">
      <c r="A28" s="1">
        <v>1920937770000</v>
      </c>
      <c r="B28" s="1" t="s">
        <v>3</v>
      </c>
      <c r="C28" s="1" t="s">
        <v>1180</v>
      </c>
      <c r="E28" s="1" t="s">
        <v>3</v>
      </c>
      <c r="F28" s="1">
        <v>1920937770000</v>
      </c>
      <c r="G28" s="1" t="s">
        <v>30</v>
      </c>
      <c r="H28" s="1" t="s">
        <v>1209</v>
      </c>
      <c r="I28" s="1" t="s">
        <v>1182</v>
      </c>
      <c r="Q28" s="1" t="s">
        <v>3</v>
      </c>
      <c r="R28" s="1" t="s">
        <v>3</v>
      </c>
      <c r="S28" s="1" t="s">
        <v>30</v>
      </c>
    </row>
    <row r="29" spans="1:19" x14ac:dyDescent="0.25">
      <c r="A29" s="1">
        <v>1920917580000</v>
      </c>
      <c r="B29" s="1" t="s">
        <v>3</v>
      </c>
      <c r="C29" s="1" t="s">
        <v>1180</v>
      </c>
      <c r="E29" s="1" t="s">
        <v>31</v>
      </c>
      <c r="F29" s="1">
        <v>1920917580000</v>
      </c>
      <c r="G29" s="1" t="s">
        <v>32</v>
      </c>
      <c r="H29" s="1" t="s">
        <v>1210</v>
      </c>
      <c r="I29" s="1" t="s">
        <v>1182</v>
      </c>
      <c r="Q29" s="1" t="s">
        <v>3</v>
      </c>
      <c r="R29" s="1" t="s">
        <v>31</v>
      </c>
      <c r="S29" s="1" t="s">
        <v>32</v>
      </c>
    </row>
    <row r="30" spans="1:19" x14ac:dyDescent="0.25">
      <c r="A30" s="1">
        <v>1920971000000</v>
      </c>
      <c r="B30" s="1" t="s">
        <v>3</v>
      </c>
      <c r="C30" s="1" t="s">
        <v>1180</v>
      </c>
      <c r="E30" s="1" t="s">
        <v>31</v>
      </c>
      <c r="F30" s="1">
        <v>1920971000000</v>
      </c>
      <c r="G30" s="1" t="s">
        <v>33</v>
      </c>
      <c r="H30" s="1" t="s">
        <v>1211</v>
      </c>
      <c r="I30" s="1" t="s">
        <v>1204</v>
      </c>
      <c r="Q30" s="1" t="s">
        <v>3</v>
      </c>
      <c r="R30" s="1" t="s">
        <v>31</v>
      </c>
      <c r="S30" s="1" t="s">
        <v>33</v>
      </c>
    </row>
    <row r="31" spans="1:19" x14ac:dyDescent="0.25">
      <c r="A31" s="1">
        <v>1920936820000</v>
      </c>
      <c r="B31" s="1" t="s">
        <v>3</v>
      </c>
      <c r="C31" s="1" t="s">
        <v>1180</v>
      </c>
      <c r="E31" s="1" t="s">
        <v>31</v>
      </c>
      <c r="F31" s="1">
        <v>1920936820000</v>
      </c>
      <c r="G31" s="1" t="s">
        <v>34</v>
      </c>
      <c r="H31" s="1" t="s">
        <v>1212</v>
      </c>
      <c r="I31" s="1" t="s">
        <v>1182</v>
      </c>
      <c r="Q31" s="1" t="s">
        <v>3</v>
      </c>
      <c r="R31" s="1" t="s">
        <v>31</v>
      </c>
      <c r="S31" s="1" t="s">
        <v>34</v>
      </c>
    </row>
    <row r="32" spans="1:19" x14ac:dyDescent="0.25">
      <c r="A32" s="1">
        <v>1920910500000</v>
      </c>
      <c r="B32" s="1" t="s">
        <v>3</v>
      </c>
      <c r="C32" s="1" t="s">
        <v>1180</v>
      </c>
      <c r="E32" s="1" t="s">
        <v>35</v>
      </c>
      <c r="F32" s="1">
        <v>1920910500000</v>
      </c>
      <c r="G32" s="1" t="s">
        <v>36</v>
      </c>
      <c r="H32" s="1" t="s">
        <v>1213</v>
      </c>
      <c r="I32" s="1" t="s">
        <v>1182</v>
      </c>
      <c r="Q32" s="1" t="s">
        <v>3</v>
      </c>
      <c r="R32" s="1" t="s">
        <v>35</v>
      </c>
      <c r="S32" s="1" t="s">
        <v>36</v>
      </c>
    </row>
    <row r="33" spans="1:19" x14ac:dyDescent="0.25">
      <c r="A33" s="1">
        <v>1920910510000</v>
      </c>
      <c r="B33" s="1" t="s">
        <v>3</v>
      </c>
      <c r="C33" s="1" t="s">
        <v>1180</v>
      </c>
      <c r="E33" s="1" t="s">
        <v>35</v>
      </c>
      <c r="F33" s="1">
        <v>1920910510000</v>
      </c>
      <c r="G33" s="1" t="s">
        <v>37</v>
      </c>
      <c r="H33" s="1" t="s">
        <v>1214</v>
      </c>
      <c r="I33" s="1" t="s">
        <v>1182</v>
      </c>
      <c r="Q33" s="1" t="s">
        <v>3</v>
      </c>
      <c r="R33" s="1" t="s">
        <v>35</v>
      </c>
      <c r="S33" s="1" t="s">
        <v>37</v>
      </c>
    </row>
    <row r="34" spans="1:19" x14ac:dyDescent="0.25">
      <c r="A34" s="1">
        <v>1920910520000</v>
      </c>
      <c r="B34" s="1" t="s">
        <v>3</v>
      </c>
      <c r="C34" s="1" t="s">
        <v>1180</v>
      </c>
      <c r="E34" s="1" t="s">
        <v>35</v>
      </c>
      <c r="F34" s="1">
        <v>1920910520000</v>
      </c>
      <c r="G34" s="1" t="s">
        <v>38</v>
      </c>
      <c r="H34" s="1" t="s">
        <v>1215</v>
      </c>
      <c r="I34" s="1" t="s">
        <v>1182</v>
      </c>
      <c r="Q34" s="1" t="s">
        <v>3</v>
      </c>
      <c r="R34" s="1" t="s">
        <v>35</v>
      </c>
      <c r="S34" s="1" t="s">
        <v>38</v>
      </c>
    </row>
    <row r="35" spans="1:19" x14ac:dyDescent="0.25">
      <c r="A35" s="1">
        <v>1920910530000</v>
      </c>
      <c r="B35" s="1" t="s">
        <v>3</v>
      </c>
      <c r="C35" s="1" t="s">
        <v>1180</v>
      </c>
      <c r="E35" s="1" t="s">
        <v>35</v>
      </c>
      <c r="F35" s="1">
        <v>1920910530000</v>
      </c>
      <c r="G35" s="1" t="s">
        <v>39</v>
      </c>
      <c r="H35" s="1" t="s">
        <v>1216</v>
      </c>
      <c r="I35" s="1" t="s">
        <v>1182</v>
      </c>
      <c r="Q35" s="1" t="s">
        <v>3</v>
      </c>
      <c r="R35" s="1" t="s">
        <v>35</v>
      </c>
      <c r="S35" s="1" t="s">
        <v>39</v>
      </c>
    </row>
    <row r="36" spans="1:19" x14ac:dyDescent="0.25">
      <c r="A36" s="1">
        <v>1920910580000</v>
      </c>
      <c r="B36" s="1" t="s">
        <v>3</v>
      </c>
      <c r="C36" s="1" t="s">
        <v>1180</v>
      </c>
      <c r="E36" s="1" t="s">
        <v>35</v>
      </c>
      <c r="F36" s="1">
        <v>1920910580000</v>
      </c>
      <c r="G36" s="1" t="s">
        <v>40</v>
      </c>
      <c r="H36" s="1" t="s">
        <v>1217</v>
      </c>
      <c r="I36" s="1" t="s">
        <v>1182</v>
      </c>
      <c r="Q36" s="1" t="s">
        <v>3</v>
      </c>
      <c r="R36" s="1" t="s">
        <v>35</v>
      </c>
      <c r="S36" s="1" t="s">
        <v>40</v>
      </c>
    </row>
    <row r="37" spans="1:19" x14ac:dyDescent="0.25">
      <c r="A37" s="1">
        <v>1920926870000</v>
      </c>
      <c r="B37" s="1" t="s">
        <v>3</v>
      </c>
      <c r="C37" s="1" t="s">
        <v>1180</v>
      </c>
      <c r="E37" s="1" t="s">
        <v>35</v>
      </c>
      <c r="F37" s="1">
        <v>1920926870000</v>
      </c>
      <c r="G37" s="1" t="s">
        <v>41</v>
      </c>
      <c r="H37" s="1" t="s">
        <v>1218</v>
      </c>
      <c r="I37" s="1" t="s">
        <v>1182</v>
      </c>
      <c r="Q37" s="1" t="s">
        <v>3</v>
      </c>
      <c r="R37" s="1" t="s">
        <v>35</v>
      </c>
      <c r="S37" s="1" t="s">
        <v>41</v>
      </c>
    </row>
    <row r="38" spans="1:19" x14ac:dyDescent="0.25">
      <c r="A38" s="1">
        <v>1920927720000</v>
      </c>
      <c r="B38" s="1" t="s">
        <v>3</v>
      </c>
      <c r="C38" s="1" t="s">
        <v>1180</v>
      </c>
      <c r="E38" s="1" t="s">
        <v>35</v>
      </c>
      <c r="F38" s="1">
        <v>1920927720000</v>
      </c>
      <c r="G38" s="1" t="s">
        <v>42</v>
      </c>
      <c r="H38" s="1" t="s">
        <v>1219</v>
      </c>
      <c r="I38" s="1" t="s">
        <v>1182</v>
      </c>
      <c r="Q38" s="1" t="s">
        <v>3</v>
      </c>
      <c r="R38" s="1" t="s">
        <v>35</v>
      </c>
      <c r="S38" s="1" t="s">
        <v>42</v>
      </c>
    </row>
    <row r="39" spans="1:19" x14ac:dyDescent="0.25">
      <c r="A39" s="1">
        <v>1920932510000</v>
      </c>
      <c r="B39" s="1" t="s">
        <v>3</v>
      </c>
      <c r="C39" s="1" t="s">
        <v>1180</v>
      </c>
      <c r="E39" s="1" t="s">
        <v>35</v>
      </c>
      <c r="F39" s="1">
        <v>1920932510000</v>
      </c>
      <c r="G39" s="1" t="s">
        <v>43</v>
      </c>
      <c r="H39" s="1" t="s">
        <v>1220</v>
      </c>
      <c r="I39" s="1" t="s">
        <v>1182</v>
      </c>
      <c r="Q39" s="1" t="s">
        <v>3</v>
      </c>
      <c r="R39" s="1" t="s">
        <v>35</v>
      </c>
      <c r="S39" s="1" t="s">
        <v>43</v>
      </c>
    </row>
    <row r="40" spans="1:19" x14ac:dyDescent="0.25">
      <c r="A40" s="1">
        <v>1920936000000</v>
      </c>
      <c r="B40" s="1" t="s">
        <v>3</v>
      </c>
      <c r="C40" s="1" t="s">
        <v>1180</v>
      </c>
      <c r="E40" s="1" t="s">
        <v>35</v>
      </c>
      <c r="F40" s="1">
        <v>1920936000000</v>
      </c>
      <c r="G40" s="1" t="s">
        <v>44</v>
      </c>
      <c r="H40" s="1" t="s">
        <v>1221</v>
      </c>
      <c r="I40" s="1" t="s">
        <v>1182</v>
      </c>
      <c r="Q40" s="1" t="s">
        <v>3</v>
      </c>
      <c r="R40" s="1" t="s">
        <v>35</v>
      </c>
      <c r="S40" s="1" t="s">
        <v>44</v>
      </c>
    </row>
    <row r="41" spans="1:19" x14ac:dyDescent="0.25">
      <c r="A41" s="1">
        <v>1920937780000</v>
      </c>
      <c r="B41" s="1" t="s">
        <v>3</v>
      </c>
      <c r="C41" s="1" t="s">
        <v>1180</v>
      </c>
      <c r="E41" s="1" t="s">
        <v>35</v>
      </c>
      <c r="F41" s="1">
        <v>1920937780000</v>
      </c>
      <c r="G41" s="1" t="s">
        <v>45</v>
      </c>
      <c r="H41" s="1" t="s">
        <v>1222</v>
      </c>
      <c r="I41" s="1" t="s">
        <v>1182</v>
      </c>
      <c r="Q41" s="1" t="s">
        <v>3</v>
      </c>
      <c r="R41" s="1" t="s">
        <v>35</v>
      </c>
      <c r="S41" s="1" t="s">
        <v>45</v>
      </c>
    </row>
    <row r="42" spans="1:19" x14ac:dyDescent="0.25">
      <c r="A42" s="1">
        <v>1920909360000</v>
      </c>
      <c r="B42" s="1" t="s">
        <v>3</v>
      </c>
      <c r="C42" s="1" t="s">
        <v>1180</v>
      </c>
      <c r="E42" s="1" t="s">
        <v>46</v>
      </c>
      <c r="F42" s="1">
        <v>1920909360000</v>
      </c>
      <c r="G42" s="1" t="s">
        <v>47</v>
      </c>
      <c r="H42" s="1" t="s">
        <v>1223</v>
      </c>
      <c r="I42" s="1" t="s">
        <v>1182</v>
      </c>
      <c r="Q42" s="1" t="s">
        <v>3</v>
      </c>
      <c r="R42" s="1" t="s">
        <v>46</v>
      </c>
      <c r="S42" s="1" t="s">
        <v>47</v>
      </c>
    </row>
    <row r="43" spans="1:19" x14ac:dyDescent="0.25">
      <c r="A43" s="1">
        <v>1920909430000</v>
      </c>
      <c r="B43" s="1" t="s">
        <v>3</v>
      </c>
      <c r="C43" s="1" t="s">
        <v>1180</v>
      </c>
      <c r="E43" s="1" t="s">
        <v>46</v>
      </c>
      <c r="F43" s="1">
        <v>1920909430000</v>
      </c>
      <c r="G43" s="1" t="s">
        <v>48</v>
      </c>
      <c r="H43" s="1" t="s">
        <v>1224</v>
      </c>
      <c r="I43" s="1" t="s">
        <v>1182</v>
      </c>
      <c r="Q43" s="1" t="s">
        <v>3</v>
      </c>
      <c r="R43" s="1" t="s">
        <v>46</v>
      </c>
      <c r="S43" s="1" t="s">
        <v>48</v>
      </c>
    </row>
    <row r="44" spans="1:19" x14ac:dyDescent="0.25">
      <c r="A44" s="1">
        <v>1920937320000</v>
      </c>
      <c r="B44" s="1" t="s">
        <v>3</v>
      </c>
      <c r="C44" s="1" t="s">
        <v>1180</v>
      </c>
      <c r="E44" s="1" t="s">
        <v>46</v>
      </c>
      <c r="F44" s="1">
        <v>1920937320000</v>
      </c>
      <c r="G44" s="1" t="s">
        <v>49</v>
      </c>
      <c r="H44" s="1" t="s">
        <v>1225</v>
      </c>
      <c r="I44" s="1" t="s">
        <v>1182</v>
      </c>
      <c r="Q44" s="1" t="s">
        <v>3</v>
      </c>
      <c r="R44" s="1" t="s">
        <v>46</v>
      </c>
      <c r="S44" s="1" t="s">
        <v>49</v>
      </c>
    </row>
    <row r="45" spans="1:19" x14ac:dyDescent="0.25">
      <c r="A45" s="1">
        <v>1920972000000</v>
      </c>
      <c r="B45" s="1" t="s">
        <v>3</v>
      </c>
      <c r="C45" s="1" t="s">
        <v>1180</v>
      </c>
      <c r="E45" s="1" t="s">
        <v>46</v>
      </c>
      <c r="F45" s="1">
        <v>1920972000000</v>
      </c>
      <c r="G45" s="1" t="s">
        <v>50</v>
      </c>
      <c r="H45" s="1" t="s">
        <v>1226</v>
      </c>
      <c r="I45" s="1" t="s">
        <v>1204</v>
      </c>
      <c r="Q45" s="1" t="s">
        <v>3</v>
      </c>
      <c r="R45" s="1" t="s">
        <v>46</v>
      </c>
      <c r="S45" s="1" t="s">
        <v>50</v>
      </c>
    </row>
    <row r="46" spans="1:19" x14ac:dyDescent="0.25">
      <c r="A46" s="1">
        <v>1920902510000</v>
      </c>
      <c r="B46" s="1" t="s">
        <v>3</v>
      </c>
      <c r="C46" s="1" t="s">
        <v>1180</v>
      </c>
      <c r="E46" s="1" t="s">
        <v>51</v>
      </c>
      <c r="F46" s="1">
        <v>1920902510000</v>
      </c>
      <c r="G46" s="1" t="s">
        <v>52</v>
      </c>
      <c r="H46" s="1" t="s">
        <v>1227</v>
      </c>
      <c r="I46" s="1" t="s">
        <v>1182</v>
      </c>
      <c r="Q46" s="1" t="s">
        <v>3</v>
      </c>
      <c r="R46" s="1" t="s">
        <v>51</v>
      </c>
      <c r="S46" s="1" t="s">
        <v>52</v>
      </c>
    </row>
    <row r="47" spans="1:19" x14ac:dyDescent="0.25">
      <c r="A47" s="1">
        <v>1920910750000</v>
      </c>
      <c r="B47" s="1" t="s">
        <v>3</v>
      </c>
      <c r="C47" s="1" t="s">
        <v>1180</v>
      </c>
      <c r="E47" s="1" t="s">
        <v>51</v>
      </c>
      <c r="F47" s="1">
        <v>1920910750000</v>
      </c>
      <c r="G47" s="1" t="s">
        <v>53</v>
      </c>
      <c r="H47" s="1" t="s">
        <v>1228</v>
      </c>
      <c r="I47" s="1" t="s">
        <v>1182</v>
      </c>
      <c r="Q47" s="1" t="s">
        <v>3</v>
      </c>
      <c r="R47" s="1" t="s">
        <v>51</v>
      </c>
      <c r="S47" s="1" t="s">
        <v>53</v>
      </c>
    </row>
    <row r="48" spans="1:19" x14ac:dyDescent="0.25">
      <c r="A48" s="1">
        <v>1920937250000</v>
      </c>
      <c r="B48" s="1" t="s">
        <v>3</v>
      </c>
      <c r="C48" s="1" t="s">
        <v>1180</v>
      </c>
      <c r="E48" s="1" t="s">
        <v>51</v>
      </c>
      <c r="F48" s="1">
        <v>1920937250000</v>
      </c>
      <c r="G48" s="1" t="s">
        <v>54</v>
      </c>
      <c r="H48" s="1" t="s">
        <v>1229</v>
      </c>
      <c r="I48" s="1" t="s">
        <v>1182</v>
      </c>
      <c r="Q48" s="1" t="s">
        <v>3</v>
      </c>
      <c r="R48" s="1" t="s">
        <v>51</v>
      </c>
      <c r="S48" s="1" t="s">
        <v>54</v>
      </c>
    </row>
    <row r="49" spans="1:19" x14ac:dyDescent="0.25">
      <c r="A49" s="1">
        <v>1920937950000</v>
      </c>
      <c r="B49" s="1" t="s">
        <v>3</v>
      </c>
      <c r="C49" s="1" t="s">
        <v>1180</v>
      </c>
      <c r="E49" s="1" t="s">
        <v>51</v>
      </c>
      <c r="F49" s="1">
        <v>1920937950000</v>
      </c>
      <c r="G49" s="1" t="s">
        <v>55</v>
      </c>
      <c r="H49" s="1" t="s">
        <v>1230</v>
      </c>
      <c r="I49" s="1" t="s">
        <v>1182</v>
      </c>
      <c r="Q49" s="1" t="s">
        <v>3</v>
      </c>
      <c r="R49" s="1" t="s">
        <v>51</v>
      </c>
      <c r="S49" s="1" t="s">
        <v>55</v>
      </c>
    </row>
    <row r="50" spans="1:19" x14ac:dyDescent="0.25">
      <c r="A50" s="1">
        <v>1920973000000</v>
      </c>
      <c r="B50" s="1" t="s">
        <v>3</v>
      </c>
      <c r="C50" s="1" t="s">
        <v>1180</v>
      </c>
      <c r="E50" s="1" t="s">
        <v>51</v>
      </c>
      <c r="F50" s="1">
        <v>1920973000000</v>
      </c>
      <c r="G50" s="1" t="s">
        <v>56</v>
      </c>
      <c r="H50" s="1" t="s">
        <v>1231</v>
      </c>
      <c r="I50" s="1" t="s">
        <v>1204</v>
      </c>
      <c r="Q50" s="1" t="s">
        <v>3</v>
      </c>
      <c r="R50" s="1" t="s">
        <v>51</v>
      </c>
      <c r="S50" s="1" t="s">
        <v>56</v>
      </c>
    </row>
    <row r="51" spans="1:19" x14ac:dyDescent="0.25">
      <c r="A51" s="1">
        <v>1920929860000</v>
      </c>
      <c r="B51" s="1" t="s">
        <v>3</v>
      </c>
      <c r="C51" s="1" t="s">
        <v>1180</v>
      </c>
      <c r="E51" s="1" t="s">
        <v>57</v>
      </c>
      <c r="F51" s="1">
        <v>1920929860000</v>
      </c>
      <c r="G51" s="1" t="s">
        <v>58</v>
      </c>
      <c r="H51" s="1" t="s">
        <v>1232</v>
      </c>
      <c r="I51" s="1" t="s">
        <v>1182</v>
      </c>
      <c r="Q51" s="1" t="s">
        <v>3</v>
      </c>
      <c r="R51" s="1" t="s">
        <v>57</v>
      </c>
      <c r="S51" s="1" t="s">
        <v>58</v>
      </c>
    </row>
    <row r="52" spans="1:19" x14ac:dyDescent="0.25">
      <c r="A52" s="1">
        <v>1920937600000</v>
      </c>
      <c r="B52" s="1" t="s">
        <v>3</v>
      </c>
      <c r="C52" s="1" t="s">
        <v>1180</v>
      </c>
      <c r="E52" s="1" t="s">
        <v>57</v>
      </c>
      <c r="F52" s="1">
        <v>1920937600000</v>
      </c>
      <c r="G52" s="1" t="s">
        <v>59</v>
      </c>
      <c r="H52" s="1" t="s">
        <v>1233</v>
      </c>
      <c r="I52" s="1" t="s">
        <v>1182</v>
      </c>
      <c r="Q52" s="1" t="s">
        <v>3</v>
      </c>
      <c r="R52" s="1" t="s">
        <v>57</v>
      </c>
      <c r="S52" s="1" t="s">
        <v>59</v>
      </c>
    </row>
    <row r="53" spans="1:19" x14ac:dyDescent="0.25">
      <c r="A53" s="1">
        <v>1920937800000</v>
      </c>
      <c r="B53" s="1" t="s">
        <v>3</v>
      </c>
      <c r="C53" s="1" t="s">
        <v>1180</v>
      </c>
      <c r="E53" s="1" t="s">
        <v>57</v>
      </c>
      <c r="F53" s="1">
        <v>1920937800000</v>
      </c>
      <c r="G53" s="1" t="s">
        <v>60</v>
      </c>
      <c r="H53" s="1" t="s">
        <v>1234</v>
      </c>
      <c r="I53" s="1" t="s">
        <v>1182</v>
      </c>
      <c r="Q53" s="1" t="s">
        <v>3</v>
      </c>
      <c r="R53" s="1" t="s">
        <v>57</v>
      </c>
      <c r="S53" s="1" t="s">
        <v>60</v>
      </c>
    </row>
    <row r="54" spans="1:19" x14ac:dyDescent="0.25">
      <c r="A54" s="1">
        <v>1920937400000</v>
      </c>
      <c r="B54" s="1" t="s">
        <v>3</v>
      </c>
      <c r="C54" s="1" t="s">
        <v>1180</v>
      </c>
      <c r="E54" s="1" t="s">
        <v>57</v>
      </c>
      <c r="F54" s="1">
        <v>1920937400000</v>
      </c>
      <c r="G54" s="1" t="s">
        <v>61</v>
      </c>
      <c r="H54" s="1" t="s">
        <v>1235</v>
      </c>
      <c r="I54" s="1" t="s">
        <v>1182</v>
      </c>
      <c r="Q54" s="1" t="s">
        <v>3</v>
      </c>
      <c r="R54" s="1" t="s">
        <v>57</v>
      </c>
      <c r="S54" s="1" t="s">
        <v>61</v>
      </c>
    </row>
    <row r="55" spans="1:19" x14ac:dyDescent="0.25">
      <c r="A55" s="1">
        <v>1920937170000</v>
      </c>
      <c r="B55" s="1" t="s">
        <v>62</v>
      </c>
      <c r="C55" s="1" t="s">
        <v>1236</v>
      </c>
      <c r="E55" s="1" t="s">
        <v>62</v>
      </c>
      <c r="F55" s="1">
        <v>1920937170000</v>
      </c>
      <c r="G55" s="1" t="s">
        <v>63</v>
      </c>
      <c r="H55" s="1" t="s">
        <v>1237</v>
      </c>
      <c r="I55" s="1" t="s">
        <v>1182</v>
      </c>
      <c r="Q55" s="1" t="s">
        <v>62</v>
      </c>
      <c r="R55" s="1" t="s">
        <v>62</v>
      </c>
      <c r="S55" s="1" t="s">
        <v>63</v>
      </c>
    </row>
    <row r="56" spans="1:19" x14ac:dyDescent="0.25">
      <c r="A56" s="1">
        <v>1921019000000</v>
      </c>
      <c r="B56" s="1" t="s">
        <v>62</v>
      </c>
      <c r="C56" s="1" t="s">
        <v>1236</v>
      </c>
      <c r="E56" s="1" t="s">
        <v>62</v>
      </c>
      <c r="F56" s="1">
        <v>1921019000000</v>
      </c>
      <c r="G56" s="1" t="s">
        <v>64</v>
      </c>
      <c r="H56" s="1" t="s">
        <v>1238</v>
      </c>
      <c r="I56" s="1" t="s">
        <v>1204</v>
      </c>
      <c r="Q56" s="1" t="s">
        <v>62</v>
      </c>
      <c r="R56" s="1" t="s">
        <v>62</v>
      </c>
      <c r="S56" s="1" t="s">
        <v>64</v>
      </c>
    </row>
    <row r="57" spans="1:19" x14ac:dyDescent="0.25">
      <c r="A57" s="1">
        <v>1920923450000</v>
      </c>
      <c r="B57" s="1" t="s">
        <v>62</v>
      </c>
      <c r="C57" s="1" t="s">
        <v>1236</v>
      </c>
      <c r="E57" s="1" t="s">
        <v>65</v>
      </c>
      <c r="F57" s="1">
        <v>1920923450000</v>
      </c>
      <c r="G57" s="1" t="s">
        <v>66</v>
      </c>
      <c r="H57" s="1" t="s">
        <v>1239</v>
      </c>
      <c r="I57" s="1" t="s">
        <v>1182</v>
      </c>
      <c r="Q57" s="1" t="s">
        <v>62</v>
      </c>
      <c r="R57" s="1" t="s">
        <v>65</v>
      </c>
      <c r="S57" s="1" t="s">
        <v>66</v>
      </c>
    </row>
    <row r="58" spans="1:19" x14ac:dyDescent="0.25">
      <c r="A58" s="1">
        <v>1921023000000</v>
      </c>
      <c r="B58" s="1" t="s">
        <v>62</v>
      </c>
      <c r="C58" s="1" t="s">
        <v>1236</v>
      </c>
      <c r="E58" s="1" t="s">
        <v>65</v>
      </c>
      <c r="F58" s="1">
        <v>1921023000000</v>
      </c>
      <c r="G58" s="1" t="s">
        <v>67</v>
      </c>
      <c r="H58" s="1" t="s">
        <v>1240</v>
      </c>
      <c r="I58" s="1" t="s">
        <v>1204</v>
      </c>
      <c r="Q58" s="1" t="s">
        <v>62</v>
      </c>
      <c r="R58" s="1" t="s">
        <v>65</v>
      </c>
      <c r="S58" s="1" t="s">
        <v>67</v>
      </c>
    </row>
    <row r="59" spans="1:19" x14ac:dyDescent="0.25">
      <c r="A59" s="1">
        <v>1920905910000</v>
      </c>
      <c r="B59" s="1" t="s">
        <v>68</v>
      </c>
      <c r="C59" s="1" t="s">
        <v>1241</v>
      </c>
      <c r="E59" s="1" t="s">
        <v>68</v>
      </c>
      <c r="F59" s="1">
        <v>1920905910000</v>
      </c>
      <c r="G59" s="1" t="s">
        <v>69</v>
      </c>
      <c r="H59" s="1" t="s">
        <v>1242</v>
      </c>
      <c r="I59" s="1" t="s">
        <v>1182</v>
      </c>
      <c r="Q59" s="1" t="s">
        <v>68</v>
      </c>
      <c r="R59" s="1" t="s">
        <v>68</v>
      </c>
      <c r="S59" s="1" t="s">
        <v>69</v>
      </c>
    </row>
    <row r="60" spans="1:19" x14ac:dyDescent="0.25">
      <c r="A60" s="1">
        <v>1920927910000</v>
      </c>
      <c r="B60" s="1" t="s">
        <v>68</v>
      </c>
      <c r="C60" s="1" t="s">
        <v>1241</v>
      </c>
      <c r="E60" s="1" t="s">
        <v>68</v>
      </c>
      <c r="F60" s="1">
        <v>1920927910000</v>
      </c>
      <c r="G60" s="1" t="s">
        <v>70</v>
      </c>
      <c r="H60" s="1" t="s">
        <v>1243</v>
      </c>
      <c r="I60" s="1" t="s">
        <v>1182</v>
      </c>
      <c r="Q60" s="1" t="s">
        <v>68</v>
      </c>
      <c r="R60" s="1" t="s">
        <v>68</v>
      </c>
      <c r="S60" s="1" t="s">
        <v>70</v>
      </c>
    </row>
    <row r="61" spans="1:19" x14ac:dyDescent="0.25">
      <c r="A61" s="1">
        <v>1920934690000</v>
      </c>
      <c r="B61" s="1" t="s">
        <v>68</v>
      </c>
      <c r="C61" s="1" t="s">
        <v>1241</v>
      </c>
      <c r="E61" s="1" t="s">
        <v>68</v>
      </c>
      <c r="F61" s="1">
        <v>1920934690000</v>
      </c>
      <c r="G61" s="1" t="s">
        <v>71</v>
      </c>
      <c r="H61" s="1" t="s">
        <v>1244</v>
      </c>
      <c r="I61" s="1" t="s">
        <v>1182</v>
      </c>
      <c r="Q61" s="1" t="s">
        <v>68</v>
      </c>
      <c r="R61" s="1" t="s">
        <v>68</v>
      </c>
      <c r="S61" s="1" t="s">
        <v>71</v>
      </c>
    </row>
    <row r="62" spans="1:19" x14ac:dyDescent="0.25">
      <c r="A62" s="1">
        <v>1920936880000</v>
      </c>
      <c r="B62" s="1" t="s">
        <v>68</v>
      </c>
      <c r="C62" s="1" t="s">
        <v>1241</v>
      </c>
      <c r="E62" s="1" t="s">
        <v>68</v>
      </c>
      <c r="F62" s="1">
        <v>1920936880000</v>
      </c>
      <c r="G62" s="1" t="s">
        <v>72</v>
      </c>
      <c r="H62" s="1" t="s">
        <v>1245</v>
      </c>
      <c r="I62" s="1" t="s">
        <v>1182</v>
      </c>
      <c r="Q62" s="1" t="s">
        <v>68</v>
      </c>
      <c r="R62" s="1" t="s">
        <v>68</v>
      </c>
      <c r="S62" s="1" t="s">
        <v>72</v>
      </c>
    </row>
    <row r="63" spans="1:19" x14ac:dyDescent="0.25">
      <c r="A63" s="1">
        <v>1920937480000</v>
      </c>
      <c r="B63" s="1" t="s">
        <v>68</v>
      </c>
      <c r="C63" s="1" t="s">
        <v>1241</v>
      </c>
      <c r="E63" s="1" t="s">
        <v>68</v>
      </c>
      <c r="F63" s="1">
        <v>1920937480000</v>
      </c>
      <c r="G63" s="1" t="s">
        <v>73</v>
      </c>
      <c r="H63" s="1" t="s">
        <v>1246</v>
      </c>
      <c r="I63" s="1" t="s">
        <v>1182</v>
      </c>
      <c r="Q63" s="1" t="s">
        <v>68</v>
      </c>
      <c r="R63" s="1" t="s">
        <v>68</v>
      </c>
      <c r="S63" s="1" t="s">
        <v>73</v>
      </c>
    </row>
    <row r="64" spans="1:19" x14ac:dyDescent="0.25">
      <c r="A64" s="1">
        <v>1920937480100</v>
      </c>
      <c r="B64" s="1" t="s">
        <v>68</v>
      </c>
      <c r="C64" s="1" t="s">
        <v>1241</v>
      </c>
      <c r="E64" s="1" t="s">
        <v>68</v>
      </c>
      <c r="F64" s="1">
        <v>1920937480100</v>
      </c>
      <c r="G64" s="1" t="s">
        <v>74</v>
      </c>
      <c r="H64" s="1" t="s">
        <v>1247</v>
      </c>
      <c r="I64" s="1" t="s">
        <v>1182</v>
      </c>
      <c r="Q64" s="1" t="s">
        <v>68</v>
      </c>
      <c r="R64" s="1" t="s">
        <v>68</v>
      </c>
      <c r="S64" s="1" t="s">
        <v>74</v>
      </c>
    </row>
    <row r="65" spans="1:19" x14ac:dyDescent="0.25">
      <c r="A65" s="1">
        <v>1920937970000</v>
      </c>
      <c r="B65" s="1" t="s">
        <v>68</v>
      </c>
      <c r="C65" s="1" t="s">
        <v>1241</v>
      </c>
      <c r="E65" s="1" t="s">
        <v>68</v>
      </c>
      <c r="F65" s="1">
        <v>1920937970000</v>
      </c>
      <c r="G65" s="1" t="s">
        <v>75</v>
      </c>
      <c r="H65" s="1" t="s">
        <v>1248</v>
      </c>
      <c r="I65" s="1" t="s">
        <v>1182</v>
      </c>
      <c r="Q65" s="1" t="s">
        <v>68</v>
      </c>
      <c r="R65" s="1" t="s">
        <v>68</v>
      </c>
      <c r="S65" s="1" t="s">
        <v>75</v>
      </c>
    </row>
    <row r="66" spans="1:19" x14ac:dyDescent="0.25">
      <c r="A66" s="1">
        <v>1921003000000</v>
      </c>
      <c r="B66" s="1" t="s">
        <v>68</v>
      </c>
      <c r="C66" s="1" t="s">
        <v>1241</v>
      </c>
      <c r="E66" s="1" t="s">
        <v>68</v>
      </c>
      <c r="F66" s="1">
        <v>1921003000000</v>
      </c>
      <c r="G66" s="1" t="s">
        <v>76</v>
      </c>
      <c r="H66" s="1" t="s">
        <v>1249</v>
      </c>
      <c r="I66" s="1" t="s">
        <v>1204</v>
      </c>
      <c r="Q66" s="1" t="s">
        <v>68</v>
      </c>
      <c r="R66" s="1" t="s">
        <v>68</v>
      </c>
      <c r="S66" s="1" t="s">
        <v>76</v>
      </c>
    </row>
    <row r="67" spans="1:19" x14ac:dyDescent="0.25">
      <c r="A67" s="1">
        <v>1920936580000</v>
      </c>
      <c r="B67" s="1" t="s">
        <v>68</v>
      </c>
      <c r="C67" s="1" t="s">
        <v>1241</v>
      </c>
      <c r="E67" s="1" t="s">
        <v>77</v>
      </c>
      <c r="F67" s="1">
        <v>1920936580000</v>
      </c>
      <c r="G67" s="1" t="s">
        <v>78</v>
      </c>
      <c r="H67" s="1" t="s">
        <v>1250</v>
      </c>
      <c r="I67" s="1" t="s">
        <v>1182</v>
      </c>
      <c r="Q67" s="1" t="s">
        <v>68</v>
      </c>
      <c r="R67" s="1" t="s">
        <v>77</v>
      </c>
      <c r="S67" s="1" t="s">
        <v>78</v>
      </c>
    </row>
    <row r="68" spans="1:19" x14ac:dyDescent="0.25">
      <c r="A68" s="1">
        <v>1921004000000</v>
      </c>
      <c r="B68" s="1" t="s">
        <v>68</v>
      </c>
      <c r="C68" s="1" t="s">
        <v>1241</v>
      </c>
      <c r="E68" s="1" t="s">
        <v>77</v>
      </c>
      <c r="F68" s="1">
        <v>1921004000000</v>
      </c>
      <c r="G68" s="1" t="s">
        <v>79</v>
      </c>
      <c r="H68" s="1" t="s">
        <v>1251</v>
      </c>
      <c r="I68" s="1" t="s">
        <v>1204</v>
      </c>
      <c r="Q68" s="1" t="s">
        <v>68</v>
      </c>
      <c r="R68" s="1" t="s">
        <v>77</v>
      </c>
      <c r="S68" s="1" t="s">
        <v>79</v>
      </c>
    </row>
    <row r="69" spans="1:19" x14ac:dyDescent="0.25">
      <c r="A69" s="1">
        <v>1920936890000</v>
      </c>
      <c r="B69" s="1" t="s">
        <v>68</v>
      </c>
      <c r="C69" s="1" t="s">
        <v>1241</v>
      </c>
      <c r="E69" s="1" t="s">
        <v>77</v>
      </c>
      <c r="F69" s="1">
        <v>1920936890000</v>
      </c>
      <c r="G69" s="1" t="s">
        <v>80</v>
      </c>
      <c r="H69" s="1" t="s">
        <v>1252</v>
      </c>
      <c r="I69" s="1" t="s">
        <v>1182</v>
      </c>
      <c r="Q69" s="1" t="s">
        <v>68</v>
      </c>
      <c r="R69" s="1" t="s">
        <v>77</v>
      </c>
      <c r="S69" s="1" t="s">
        <v>80</v>
      </c>
    </row>
    <row r="70" spans="1:19" x14ac:dyDescent="0.25">
      <c r="A70" s="1">
        <v>1920906240000</v>
      </c>
      <c r="B70" s="1" t="s">
        <v>68</v>
      </c>
      <c r="C70" s="1" t="s">
        <v>1241</v>
      </c>
      <c r="E70" s="1" t="s">
        <v>81</v>
      </c>
      <c r="F70" s="1">
        <v>1920906240000</v>
      </c>
      <c r="G70" s="1" t="s">
        <v>82</v>
      </c>
      <c r="H70" s="1" t="s">
        <v>1253</v>
      </c>
      <c r="I70" s="1" t="s">
        <v>1182</v>
      </c>
      <c r="Q70" s="1" t="s">
        <v>68</v>
      </c>
      <c r="R70" s="1" t="s">
        <v>81</v>
      </c>
      <c r="S70" s="1" t="s">
        <v>82</v>
      </c>
    </row>
    <row r="71" spans="1:19" x14ac:dyDescent="0.25">
      <c r="A71" s="1">
        <v>1921005000000</v>
      </c>
      <c r="B71" s="1" t="s">
        <v>68</v>
      </c>
      <c r="C71" s="1" t="s">
        <v>1241</v>
      </c>
      <c r="E71" s="1" t="s">
        <v>81</v>
      </c>
      <c r="F71" s="1">
        <v>1921005000000</v>
      </c>
      <c r="G71" s="1" t="s">
        <v>83</v>
      </c>
      <c r="H71" s="1" t="s">
        <v>1254</v>
      </c>
      <c r="I71" s="1" t="s">
        <v>1204</v>
      </c>
      <c r="Q71" s="1" t="s">
        <v>68</v>
      </c>
      <c r="R71" s="1" t="s">
        <v>81</v>
      </c>
      <c r="S71" s="1" t="s">
        <v>83</v>
      </c>
    </row>
    <row r="72" spans="1:19" x14ac:dyDescent="0.25">
      <c r="A72" s="1">
        <v>1920928830000</v>
      </c>
      <c r="B72" s="1" t="s">
        <v>68</v>
      </c>
      <c r="C72" s="1" t="s">
        <v>1241</v>
      </c>
      <c r="E72" s="1" t="s">
        <v>84</v>
      </c>
      <c r="F72" s="1">
        <v>1920928830000</v>
      </c>
      <c r="G72" s="1" t="s">
        <v>85</v>
      </c>
      <c r="H72" s="1" t="s">
        <v>1255</v>
      </c>
      <c r="I72" s="1" t="s">
        <v>1182</v>
      </c>
      <c r="Q72" s="1" t="s">
        <v>68</v>
      </c>
      <c r="R72" s="1" t="s">
        <v>84</v>
      </c>
      <c r="S72" s="1" t="s">
        <v>85</v>
      </c>
    </row>
    <row r="73" spans="1:19" x14ac:dyDescent="0.25">
      <c r="A73" s="1">
        <v>1921006000000</v>
      </c>
      <c r="B73" s="1" t="s">
        <v>68</v>
      </c>
      <c r="C73" s="1" t="s">
        <v>1241</v>
      </c>
      <c r="E73" s="1" t="s">
        <v>84</v>
      </c>
      <c r="F73" s="1">
        <v>1921006000000</v>
      </c>
      <c r="G73" s="1" t="s">
        <v>86</v>
      </c>
      <c r="H73" s="1" t="s">
        <v>1256</v>
      </c>
      <c r="I73" s="1" t="s">
        <v>1204</v>
      </c>
      <c r="Q73" s="1" t="s">
        <v>68</v>
      </c>
      <c r="R73" s="1" t="s">
        <v>84</v>
      </c>
      <c r="S73" s="1" t="s">
        <v>86</v>
      </c>
    </row>
    <row r="74" spans="1:19" x14ac:dyDescent="0.25">
      <c r="A74" s="1">
        <v>1920936930000</v>
      </c>
      <c r="B74" s="1" t="s">
        <v>68</v>
      </c>
      <c r="C74" s="1" t="s">
        <v>1241</v>
      </c>
      <c r="E74" s="1" t="s">
        <v>87</v>
      </c>
      <c r="F74" s="1">
        <v>1920936930000</v>
      </c>
      <c r="G74" s="1" t="s">
        <v>88</v>
      </c>
      <c r="H74" s="1" t="s">
        <v>1257</v>
      </c>
      <c r="I74" s="1" t="s">
        <v>1182</v>
      </c>
      <c r="Q74" s="1" t="s">
        <v>68</v>
      </c>
      <c r="R74" s="1" t="s">
        <v>87</v>
      </c>
      <c r="S74" s="1" t="s">
        <v>88</v>
      </c>
    </row>
    <row r="75" spans="1:19" x14ac:dyDescent="0.25">
      <c r="A75" s="1">
        <v>1920937620000</v>
      </c>
      <c r="B75" s="1" t="s">
        <v>68</v>
      </c>
      <c r="C75" s="1" t="s">
        <v>1241</v>
      </c>
      <c r="E75" s="1" t="s">
        <v>87</v>
      </c>
      <c r="F75" s="1">
        <v>1920937620000</v>
      </c>
      <c r="G75" s="1" t="s">
        <v>89</v>
      </c>
      <c r="H75" s="1" t="s">
        <v>1258</v>
      </c>
      <c r="I75" s="1" t="s">
        <v>1182</v>
      </c>
      <c r="Q75" s="1" t="s">
        <v>68</v>
      </c>
      <c r="R75" s="1" t="s">
        <v>87</v>
      </c>
      <c r="S75" s="1" t="s">
        <v>89</v>
      </c>
    </row>
    <row r="76" spans="1:19" x14ac:dyDescent="0.25">
      <c r="A76" s="1">
        <v>1920928020000</v>
      </c>
      <c r="B76" s="1" t="s">
        <v>68</v>
      </c>
      <c r="C76" s="1" t="s">
        <v>1241</v>
      </c>
      <c r="E76" s="1" t="s">
        <v>90</v>
      </c>
      <c r="F76" s="1">
        <v>1920928020000</v>
      </c>
      <c r="G76" s="1" t="s">
        <v>91</v>
      </c>
      <c r="H76" s="1" t="s">
        <v>1259</v>
      </c>
      <c r="I76" s="1" t="s">
        <v>1182</v>
      </c>
      <c r="Q76" s="1" t="s">
        <v>68</v>
      </c>
      <c r="R76" s="1" t="s">
        <v>90</v>
      </c>
      <c r="S76" s="1" t="s">
        <v>91</v>
      </c>
    </row>
    <row r="77" spans="1:19" x14ac:dyDescent="0.25">
      <c r="A77" s="1">
        <v>1921007000000</v>
      </c>
      <c r="B77" s="1" t="s">
        <v>68</v>
      </c>
      <c r="C77" s="1" t="s">
        <v>1241</v>
      </c>
      <c r="E77" s="1" t="s">
        <v>90</v>
      </c>
      <c r="F77" s="1">
        <v>1921007000000</v>
      </c>
      <c r="G77" s="1" t="s">
        <v>92</v>
      </c>
      <c r="H77" s="1" t="s">
        <v>1260</v>
      </c>
      <c r="I77" s="1" t="s">
        <v>1204</v>
      </c>
      <c r="Q77" s="1" t="s">
        <v>68</v>
      </c>
      <c r="R77" s="1" t="s">
        <v>90</v>
      </c>
      <c r="S77" s="1" t="s">
        <v>92</v>
      </c>
    </row>
    <row r="78" spans="1:19" x14ac:dyDescent="0.25">
      <c r="A78" s="1">
        <v>1920903390000</v>
      </c>
      <c r="B78" s="1" t="s">
        <v>68</v>
      </c>
      <c r="C78" s="1" t="s">
        <v>1241</v>
      </c>
      <c r="E78" s="1" t="s">
        <v>93</v>
      </c>
      <c r="F78" s="1">
        <v>1920903390000</v>
      </c>
      <c r="G78" s="1" t="s">
        <v>94</v>
      </c>
      <c r="H78" s="1" t="s">
        <v>1261</v>
      </c>
      <c r="I78" s="1" t="s">
        <v>1182</v>
      </c>
      <c r="Q78" s="1" t="s">
        <v>68</v>
      </c>
      <c r="R78" s="1" t="s">
        <v>93</v>
      </c>
      <c r="S78" s="1" t="s">
        <v>94</v>
      </c>
    </row>
    <row r="79" spans="1:19" x14ac:dyDescent="0.25">
      <c r="A79" s="1">
        <v>1921008000000</v>
      </c>
      <c r="B79" s="1" t="s">
        <v>68</v>
      </c>
      <c r="C79" s="1" t="s">
        <v>1241</v>
      </c>
      <c r="E79" s="1" t="s">
        <v>93</v>
      </c>
      <c r="F79" s="1">
        <v>1921008000000</v>
      </c>
      <c r="G79" s="1" t="s">
        <v>95</v>
      </c>
      <c r="H79" s="1" t="s">
        <v>1262</v>
      </c>
      <c r="I79" s="1" t="s">
        <v>1204</v>
      </c>
      <c r="Q79" s="1" t="s">
        <v>68</v>
      </c>
      <c r="R79" s="1" t="s">
        <v>93</v>
      </c>
      <c r="S79" s="1" t="s">
        <v>95</v>
      </c>
    </row>
    <row r="80" spans="1:19" x14ac:dyDescent="0.25">
      <c r="A80" s="1">
        <v>1920906120000</v>
      </c>
      <c r="B80" s="1" t="s">
        <v>68</v>
      </c>
      <c r="C80" s="1" t="s">
        <v>1241</v>
      </c>
      <c r="E80" s="1" t="s">
        <v>96</v>
      </c>
      <c r="F80" s="1">
        <v>1920906120000</v>
      </c>
      <c r="G80" s="1" t="s">
        <v>97</v>
      </c>
      <c r="H80" s="1" t="s">
        <v>1263</v>
      </c>
      <c r="I80" s="1" t="s">
        <v>1182</v>
      </c>
      <c r="Q80" s="1" t="s">
        <v>68</v>
      </c>
      <c r="R80" s="1" t="s">
        <v>96</v>
      </c>
      <c r="S80" s="1" t="s">
        <v>97</v>
      </c>
    </row>
    <row r="81" spans="1:19" x14ac:dyDescent="0.25">
      <c r="A81" s="1">
        <v>1921009000000</v>
      </c>
      <c r="B81" s="1" t="s">
        <v>68</v>
      </c>
      <c r="C81" s="1" t="s">
        <v>1241</v>
      </c>
      <c r="E81" s="1" t="s">
        <v>96</v>
      </c>
      <c r="F81" s="1">
        <v>1921009000000</v>
      </c>
      <c r="G81" s="1" t="s">
        <v>98</v>
      </c>
      <c r="H81" s="1" t="s">
        <v>1264</v>
      </c>
      <c r="I81" s="1" t="s">
        <v>1204</v>
      </c>
      <c r="Q81" s="1" t="s">
        <v>68</v>
      </c>
      <c r="R81" s="1" t="s">
        <v>96</v>
      </c>
      <c r="S81" s="1" t="s">
        <v>98</v>
      </c>
    </row>
    <row r="82" spans="1:19" x14ac:dyDescent="0.25">
      <c r="A82" s="1">
        <v>1920901130000</v>
      </c>
      <c r="B82" s="1" t="s">
        <v>99</v>
      </c>
      <c r="C82" s="1" t="s">
        <v>1265</v>
      </c>
      <c r="D82" s="1">
        <v>12</v>
      </c>
      <c r="E82" s="1" t="s">
        <v>100</v>
      </c>
      <c r="F82" s="1">
        <v>1920901130000</v>
      </c>
      <c r="G82" s="1" t="s">
        <v>101</v>
      </c>
      <c r="H82" s="1" t="s">
        <v>1266</v>
      </c>
      <c r="I82" s="1" t="s">
        <v>1182</v>
      </c>
      <c r="Q82" s="1" t="s">
        <v>99</v>
      </c>
      <c r="R82" s="1" t="s">
        <v>100</v>
      </c>
      <c r="S82" s="1" t="s">
        <v>101</v>
      </c>
    </row>
    <row r="83" spans="1:19" x14ac:dyDescent="0.25">
      <c r="A83" s="1">
        <v>1920902420000</v>
      </c>
      <c r="B83" s="1" t="s">
        <v>99</v>
      </c>
      <c r="C83" s="1" t="s">
        <v>1265</v>
      </c>
      <c r="D83" s="1">
        <v>12</v>
      </c>
      <c r="E83" s="1" t="s">
        <v>100</v>
      </c>
      <c r="F83" s="1">
        <v>1920902420000</v>
      </c>
      <c r="G83" s="1" t="s">
        <v>102</v>
      </c>
      <c r="H83" s="1" t="s">
        <v>1267</v>
      </c>
      <c r="I83" s="1" t="s">
        <v>1182</v>
      </c>
      <c r="Q83" s="1" t="s">
        <v>99</v>
      </c>
      <c r="R83" s="1" t="s">
        <v>100</v>
      </c>
      <c r="S83" s="1" t="s">
        <v>102</v>
      </c>
    </row>
    <row r="84" spans="1:19" x14ac:dyDescent="0.25">
      <c r="A84" s="1">
        <v>1920902440000</v>
      </c>
      <c r="B84" s="1" t="s">
        <v>99</v>
      </c>
      <c r="C84" s="1" t="s">
        <v>1265</v>
      </c>
      <c r="D84" s="1">
        <v>12</v>
      </c>
      <c r="E84" s="1" t="s">
        <v>100</v>
      </c>
      <c r="F84" s="1">
        <v>1920902440000</v>
      </c>
      <c r="G84" s="1" t="s">
        <v>103</v>
      </c>
      <c r="H84" s="1" t="s">
        <v>1268</v>
      </c>
      <c r="I84" s="1" t="s">
        <v>1182</v>
      </c>
      <c r="Q84" s="1" t="s">
        <v>99</v>
      </c>
      <c r="R84" s="1" t="s">
        <v>100</v>
      </c>
      <c r="S84" s="1" t="s">
        <v>103</v>
      </c>
    </row>
    <row r="85" spans="1:19" x14ac:dyDescent="0.25">
      <c r="A85" s="1">
        <v>1920902660000</v>
      </c>
      <c r="B85" s="1" t="s">
        <v>99</v>
      </c>
      <c r="C85" s="1" t="s">
        <v>1265</v>
      </c>
      <c r="D85" s="1">
        <v>12</v>
      </c>
      <c r="E85" s="1" t="s">
        <v>100</v>
      </c>
      <c r="F85" s="1">
        <v>1920902660000</v>
      </c>
      <c r="G85" s="1" t="s">
        <v>104</v>
      </c>
      <c r="H85" s="1" t="s">
        <v>1269</v>
      </c>
      <c r="I85" s="1" t="s">
        <v>1182</v>
      </c>
      <c r="Q85" s="1" t="s">
        <v>99</v>
      </c>
      <c r="R85" s="1" t="s">
        <v>100</v>
      </c>
      <c r="S85" s="1" t="s">
        <v>104</v>
      </c>
    </row>
    <row r="86" spans="1:19" x14ac:dyDescent="0.25">
      <c r="A86" s="1">
        <v>1920930110000</v>
      </c>
      <c r="B86" s="1" t="s">
        <v>99</v>
      </c>
      <c r="C86" s="1" t="s">
        <v>1265</v>
      </c>
      <c r="D86" s="1">
        <v>12</v>
      </c>
      <c r="E86" s="1" t="s">
        <v>100</v>
      </c>
      <c r="F86" s="1">
        <v>1920930110000</v>
      </c>
      <c r="G86" s="1" t="s">
        <v>105</v>
      </c>
      <c r="H86" s="1" t="s">
        <v>1270</v>
      </c>
      <c r="I86" s="1" t="s">
        <v>1182</v>
      </c>
      <c r="Q86" s="1" t="s">
        <v>99</v>
      </c>
      <c r="R86" s="1" t="s">
        <v>100</v>
      </c>
      <c r="S86" s="1" t="s">
        <v>105</v>
      </c>
    </row>
    <row r="87" spans="1:19" x14ac:dyDescent="0.25">
      <c r="A87" s="1">
        <v>1920930150000</v>
      </c>
      <c r="B87" s="1" t="s">
        <v>99</v>
      </c>
      <c r="C87" s="1" t="s">
        <v>1265</v>
      </c>
      <c r="D87" s="1">
        <v>12</v>
      </c>
      <c r="E87" s="1" t="s">
        <v>100</v>
      </c>
      <c r="F87" s="1">
        <v>1920930150000</v>
      </c>
      <c r="G87" s="1" t="s">
        <v>106</v>
      </c>
      <c r="H87" s="1" t="s">
        <v>1271</v>
      </c>
      <c r="I87" s="1" t="s">
        <v>1182</v>
      </c>
      <c r="Q87" s="1" t="s">
        <v>99</v>
      </c>
      <c r="R87" s="1" t="s">
        <v>100</v>
      </c>
      <c r="S87" s="1" t="s">
        <v>106</v>
      </c>
    </row>
    <row r="88" spans="1:19" x14ac:dyDescent="0.25">
      <c r="A88" s="1">
        <v>1920931090000</v>
      </c>
      <c r="B88" s="1" t="s">
        <v>99</v>
      </c>
      <c r="C88" s="1" t="s">
        <v>1265</v>
      </c>
      <c r="D88" s="1">
        <v>12</v>
      </c>
      <c r="E88" s="1" t="s">
        <v>100</v>
      </c>
      <c r="F88" s="1">
        <v>1920931090000</v>
      </c>
      <c r="G88" s="1" t="s">
        <v>107</v>
      </c>
      <c r="H88" s="1" t="s">
        <v>1272</v>
      </c>
      <c r="I88" s="1" t="s">
        <v>1182</v>
      </c>
      <c r="Q88" s="1" t="s">
        <v>99</v>
      </c>
      <c r="R88" s="1" t="s">
        <v>100</v>
      </c>
      <c r="S88" s="1" t="s">
        <v>107</v>
      </c>
    </row>
    <row r="89" spans="1:19" x14ac:dyDescent="0.25">
      <c r="A89" s="1">
        <v>1920932260000</v>
      </c>
      <c r="B89" s="1" t="s">
        <v>99</v>
      </c>
      <c r="C89" s="1" t="s">
        <v>1265</v>
      </c>
      <c r="D89" s="1">
        <v>12</v>
      </c>
      <c r="E89" s="1" t="s">
        <v>100</v>
      </c>
      <c r="F89" s="1">
        <v>1920932260000</v>
      </c>
      <c r="G89" s="1" t="s">
        <v>108</v>
      </c>
      <c r="H89" s="1" t="s">
        <v>1273</v>
      </c>
      <c r="I89" s="1" t="s">
        <v>1182</v>
      </c>
      <c r="Q89" s="1" t="s">
        <v>99</v>
      </c>
      <c r="R89" s="1" t="s">
        <v>100</v>
      </c>
      <c r="S89" s="1" t="s">
        <v>108</v>
      </c>
    </row>
    <row r="90" spans="1:19" x14ac:dyDescent="0.25">
      <c r="A90" s="1">
        <v>1920932610000</v>
      </c>
      <c r="B90" s="1" t="s">
        <v>99</v>
      </c>
      <c r="C90" s="1" t="s">
        <v>1265</v>
      </c>
      <c r="D90" s="1">
        <v>12</v>
      </c>
      <c r="E90" s="1" t="s">
        <v>100</v>
      </c>
      <c r="F90" s="1">
        <v>1920932610000</v>
      </c>
      <c r="G90" s="1" t="s">
        <v>109</v>
      </c>
      <c r="H90" s="1" t="s">
        <v>1274</v>
      </c>
      <c r="I90" s="1" t="s">
        <v>1182</v>
      </c>
      <c r="Q90" s="1" t="s">
        <v>99</v>
      </c>
      <c r="R90" s="1" t="s">
        <v>100</v>
      </c>
      <c r="S90" s="1" t="s">
        <v>109</v>
      </c>
    </row>
    <row r="91" spans="1:19" x14ac:dyDescent="0.25">
      <c r="A91" s="1">
        <v>1920933150000</v>
      </c>
      <c r="B91" s="1" t="s">
        <v>99</v>
      </c>
      <c r="C91" s="1" t="s">
        <v>1265</v>
      </c>
      <c r="D91" s="1">
        <v>12</v>
      </c>
      <c r="E91" s="1" t="s">
        <v>100</v>
      </c>
      <c r="F91" s="1">
        <v>1920933150000</v>
      </c>
      <c r="G91" s="1" t="s">
        <v>110</v>
      </c>
      <c r="H91" s="1" t="s">
        <v>1275</v>
      </c>
      <c r="I91" s="1" t="s">
        <v>1182</v>
      </c>
      <c r="Q91" s="1" t="s">
        <v>99</v>
      </c>
      <c r="R91" s="1" t="s">
        <v>100</v>
      </c>
      <c r="S91" s="1" t="s">
        <v>110</v>
      </c>
    </row>
    <row r="92" spans="1:19" x14ac:dyDescent="0.25">
      <c r="A92" s="1">
        <v>1920933340000</v>
      </c>
      <c r="B92" s="1" t="s">
        <v>99</v>
      </c>
      <c r="C92" s="1" t="s">
        <v>1265</v>
      </c>
      <c r="D92" s="1">
        <v>12</v>
      </c>
      <c r="E92" s="1" t="s">
        <v>100</v>
      </c>
      <c r="F92" s="1">
        <v>1920933340000</v>
      </c>
      <c r="G92" s="1" t="s">
        <v>111</v>
      </c>
      <c r="H92" s="1" t="s">
        <v>1276</v>
      </c>
      <c r="I92" s="1" t="s">
        <v>1182</v>
      </c>
      <c r="Q92" s="1" t="s">
        <v>99</v>
      </c>
      <c r="R92" s="1" t="s">
        <v>100</v>
      </c>
      <c r="S92" s="1" t="s">
        <v>111</v>
      </c>
    </row>
    <row r="93" spans="1:19" x14ac:dyDescent="0.25">
      <c r="A93" s="1">
        <v>1920934280000</v>
      </c>
      <c r="B93" s="1" t="s">
        <v>99</v>
      </c>
      <c r="C93" s="1" t="s">
        <v>1265</v>
      </c>
      <c r="D93" s="1">
        <v>12</v>
      </c>
      <c r="E93" s="1" t="s">
        <v>100</v>
      </c>
      <c r="F93" s="1">
        <v>1920934280000</v>
      </c>
      <c r="G93" s="1" t="s">
        <v>112</v>
      </c>
      <c r="H93" s="1" t="s">
        <v>1277</v>
      </c>
      <c r="I93" s="1" t="s">
        <v>1182</v>
      </c>
      <c r="Q93" s="1" t="s">
        <v>99</v>
      </c>
      <c r="R93" s="1" t="s">
        <v>100</v>
      </c>
      <c r="S93" s="1" t="s">
        <v>112</v>
      </c>
    </row>
    <row r="94" spans="1:19" x14ac:dyDescent="0.25">
      <c r="A94" s="1">
        <v>1920936210000</v>
      </c>
      <c r="B94" s="1" t="s">
        <v>99</v>
      </c>
      <c r="C94" s="1" t="s">
        <v>1265</v>
      </c>
      <c r="D94" s="1">
        <v>12</v>
      </c>
      <c r="E94" s="1" t="s">
        <v>100</v>
      </c>
      <c r="F94" s="1">
        <v>1920936210000</v>
      </c>
      <c r="G94" s="1" t="s">
        <v>113</v>
      </c>
      <c r="H94" s="1" t="s">
        <v>1278</v>
      </c>
      <c r="I94" s="1" t="s">
        <v>1182</v>
      </c>
      <c r="Q94" s="1" t="s">
        <v>99</v>
      </c>
      <c r="R94" s="1" t="s">
        <v>100</v>
      </c>
      <c r="S94" s="1" t="s">
        <v>113</v>
      </c>
    </row>
    <row r="95" spans="1:19" x14ac:dyDescent="0.25">
      <c r="A95" s="1">
        <v>1920936640000</v>
      </c>
      <c r="B95" s="1" t="s">
        <v>99</v>
      </c>
      <c r="C95" s="1" t="s">
        <v>1265</v>
      </c>
      <c r="D95" s="1">
        <v>12</v>
      </c>
      <c r="E95" s="1" t="s">
        <v>100</v>
      </c>
      <c r="F95" s="1">
        <v>1920936640000</v>
      </c>
      <c r="G95" s="1" t="s">
        <v>114</v>
      </c>
      <c r="H95" s="1" t="s">
        <v>1279</v>
      </c>
      <c r="I95" s="1" t="s">
        <v>1182</v>
      </c>
      <c r="Q95" s="1" t="s">
        <v>99</v>
      </c>
      <c r="R95" s="1" t="s">
        <v>100</v>
      </c>
      <c r="S95" s="1" t="s">
        <v>114</v>
      </c>
    </row>
    <row r="96" spans="1:19" x14ac:dyDescent="0.25">
      <c r="A96" s="1">
        <v>1920937830000</v>
      </c>
      <c r="B96" s="1" t="s">
        <v>99</v>
      </c>
      <c r="C96" s="1" t="s">
        <v>1265</v>
      </c>
      <c r="D96" s="1">
        <v>12</v>
      </c>
      <c r="E96" s="1" t="s">
        <v>100</v>
      </c>
      <c r="F96" s="1">
        <v>1920937830000</v>
      </c>
      <c r="G96" s="1" t="s">
        <v>115</v>
      </c>
      <c r="H96" s="1" t="s">
        <v>1280</v>
      </c>
      <c r="I96" s="1" t="s">
        <v>1182</v>
      </c>
      <c r="Q96" s="1" t="s">
        <v>99</v>
      </c>
      <c r="R96" s="1" t="s">
        <v>100</v>
      </c>
      <c r="S96" s="1" t="s">
        <v>115</v>
      </c>
    </row>
    <row r="97" spans="1:19" x14ac:dyDescent="0.25">
      <c r="A97" s="1">
        <v>1920932400000</v>
      </c>
      <c r="B97" s="1" t="s">
        <v>99</v>
      </c>
      <c r="C97" s="1" t="s">
        <v>1265</v>
      </c>
      <c r="E97" s="1" t="s">
        <v>100</v>
      </c>
      <c r="F97" s="1">
        <v>1920932400000</v>
      </c>
      <c r="G97" s="1" t="s">
        <v>116</v>
      </c>
      <c r="H97" s="1" t="s">
        <v>1281</v>
      </c>
      <c r="I97" s="1" t="s">
        <v>1182</v>
      </c>
      <c r="Q97" s="1" t="s">
        <v>99</v>
      </c>
      <c r="R97" s="1" t="s">
        <v>100</v>
      </c>
      <c r="S97" s="1" t="s">
        <v>116</v>
      </c>
    </row>
    <row r="98" spans="1:19" x14ac:dyDescent="0.25">
      <c r="A98" s="1">
        <v>1920902300000</v>
      </c>
      <c r="B98" s="1" t="s">
        <v>117</v>
      </c>
      <c r="C98" s="1" t="s">
        <v>1265</v>
      </c>
      <c r="D98" s="1">
        <v>13</v>
      </c>
      <c r="E98" s="1" t="s">
        <v>100</v>
      </c>
      <c r="F98" s="1">
        <v>1920902300000</v>
      </c>
      <c r="G98" s="1" t="s">
        <v>118</v>
      </c>
      <c r="H98" s="1" t="s">
        <v>1282</v>
      </c>
      <c r="I98" s="1" t="s">
        <v>1182</v>
      </c>
      <c r="Q98" s="1" t="s">
        <v>117</v>
      </c>
      <c r="R98" s="1" t="s">
        <v>100</v>
      </c>
      <c r="S98" s="1" t="s">
        <v>118</v>
      </c>
    </row>
    <row r="99" spans="1:19" x14ac:dyDescent="0.25">
      <c r="A99" s="1">
        <v>1920902550000</v>
      </c>
      <c r="B99" s="1" t="s">
        <v>117</v>
      </c>
      <c r="C99" s="1" t="s">
        <v>1265</v>
      </c>
      <c r="D99" s="1">
        <v>13</v>
      </c>
      <c r="E99" s="1" t="s">
        <v>100</v>
      </c>
      <c r="F99" s="1">
        <v>1920902550000</v>
      </c>
      <c r="G99" s="1" t="s">
        <v>119</v>
      </c>
      <c r="H99" s="1" t="s">
        <v>1283</v>
      </c>
      <c r="I99" s="1" t="s">
        <v>1182</v>
      </c>
      <c r="Q99" s="1" t="s">
        <v>117</v>
      </c>
      <c r="R99" s="1" t="s">
        <v>100</v>
      </c>
      <c r="S99" s="1" t="s">
        <v>119</v>
      </c>
    </row>
    <row r="100" spans="1:19" x14ac:dyDescent="0.25">
      <c r="A100" s="1">
        <v>1920902610000</v>
      </c>
      <c r="B100" s="1" t="s">
        <v>117</v>
      </c>
      <c r="C100" s="1" t="s">
        <v>1265</v>
      </c>
      <c r="D100" s="1">
        <v>13</v>
      </c>
      <c r="E100" s="1" t="s">
        <v>100</v>
      </c>
      <c r="F100" s="1">
        <v>1920902610000</v>
      </c>
      <c r="G100" s="1" t="s">
        <v>120</v>
      </c>
      <c r="H100" s="1" t="s">
        <v>1284</v>
      </c>
      <c r="I100" s="1" t="s">
        <v>1182</v>
      </c>
      <c r="Q100" s="1" t="s">
        <v>117</v>
      </c>
      <c r="R100" s="1" t="s">
        <v>100</v>
      </c>
      <c r="S100" s="1" t="s">
        <v>120</v>
      </c>
    </row>
    <row r="101" spans="1:19" x14ac:dyDescent="0.25">
      <c r="A101" s="1">
        <v>1920902630000</v>
      </c>
      <c r="B101" s="1" t="s">
        <v>117</v>
      </c>
      <c r="C101" s="1" t="s">
        <v>1265</v>
      </c>
      <c r="D101" s="1">
        <v>13</v>
      </c>
      <c r="E101" s="1" t="s">
        <v>100</v>
      </c>
      <c r="F101" s="1">
        <v>1920902630000</v>
      </c>
      <c r="G101" s="1" t="s">
        <v>121</v>
      </c>
      <c r="H101" s="1" t="s">
        <v>1285</v>
      </c>
      <c r="I101" s="1" t="s">
        <v>1182</v>
      </c>
      <c r="Q101" s="1" t="s">
        <v>117</v>
      </c>
      <c r="R101" s="1" t="s">
        <v>100</v>
      </c>
      <c r="S101" s="1" t="s">
        <v>121</v>
      </c>
    </row>
    <row r="102" spans="1:19" x14ac:dyDescent="0.25">
      <c r="A102" s="1">
        <v>1920902670000</v>
      </c>
      <c r="B102" s="1" t="s">
        <v>117</v>
      </c>
      <c r="C102" s="1" t="s">
        <v>1265</v>
      </c>
      <c r="D102" s="1">
        <v>13</v>
      </c>
      <c r="E102" s="1" t="s">
        <v>100</v>
      </c>
      <c r="F102" s="1">
        <v>1920902670000</v>
      </c>
      <c r="G102" s="1" t="s">
        <v>122</v>
      </c>
      <c r="H102" s="1" t="s">
        <v>1286</v>
      </c>
      <c r="I102" s="1" t="s">
        <v>1182</v>
      </c>
      <c r="Q102" s="1" t="s">
        <v>117</v>
      </c>
      <c r="R102" s="1" t="s">
        <v>100</v>
      </c>
      <c r="S102" s="1" t="s">
        <v>122</v>
      </c>
    </row>
    <row r="103" spans="1:19" x14ac:dyDescent="0.25">
      <c r="A103" s="1">
        <v>1920902690000</v>
      </c>
      <c r="B103" s="1" t="s">
        <v>117</v>
      </c>
      <c r="C103" s="1" t="s">
        <v>1265</v>
      </c>
      <c r="D103" s="1">
        <v>13</v>
      </c>
      <c r="E103" s="1" t="s">
        <v>100</v>
      </c>
      <c r="F103" s="1">
        <v>1920902690000</v>
      </c>
      <c r="G103" s="1" t="s">
        <v>123</v>
      </c>
      <c r="H103" s="1" t="s">
        <v>1287</v>
      </c>
      <c r="I103" s="1" t="s">
        <v>1182</v>
      </c>
      <c r="Q103" s="1" t="s">
        <v>117</v>
      </c>
      <c r="R103" s="1" t="s">
        <v>100</v>
      </c>
      <c r="S103" s="1" t="s">
        <v>123</v>
      </c>
    </row>
    <row r="104" spans="1:19" x14ac:dyDescent="0.25">
      <c r="A104" s="1">
        <v>1920927530000</v>
      </c>
      <c r="B104" s="1" t="s">
        <v>117</v>
      </c>
      <c r="C104" s="1" t="s">
        <v>1265</v>
      </c>
      <c r="D104" s="1">
        <v>13</v>
      </c>
      <c r="E104" s="1" t="s">
        <v>100</v>
      </c>
      <c r="F104" s="1">
        <v>1920927530000</v>
      </c>
      <c r="G104" s="1" t="s">
        <v>124</v>
      </c>
      <c r="H104" s="1" t="s">
        <v>1288</v>
      </c>
      <c r="I104" s="1" t="s">
        <v>1182</v>
      </c>
      <c r="Q104" s="1" t="s">
        <v>117</v>
      </c>
      <c r="R104" s="1" t="s">
        <v>100</v>
      </c>
      <c r="S104" s="1" t="s">
        <v>124</v>
      </c>
    </row>
    <row r="105" spans="1:19" x14ac:dyDescent="0.25">
      <c r="A105" s="1">
        <v>1920927540000</v>
      </c>
      <c r="B105" s="1" t="s">
        <v>117</v>
      </c>
      <c r="C105" s="1" t="s">
        <v>1265</v>
      </c>
      <c r="D105" s="1">
        <v>13</v>
      </c>
      <c r="E105" s="1" t="s">
        <v>100</v>
      </c>
      <c r="F105" s="1">
        <v>1920927540000</v>
      </c>
      <c r="G105" s="1" t="s">
        <v>125</v>
      </c>
      <c r="H105" s="1" t="s">
        <v>1289</v>
      </c>
      <c r="I105" s="1" t="s">
        <v>1182</v>
      </c>
      <c r="Q105" s="1" t="s">
        <v>117</v>
      </c>
      <c r="R105" s="1" t="s">
        <v>100</v>
      </c>
      <c r="S105" s="1" t="s">
        <v>125</v>
      </c>
    </row>
    <row r="106" spans="1:19" x14ac:dyDescent="0.25">
      <c r="A106" s="1">
        <v>1920927840000</v>
      </c>
      <c r="B106" s="1" t="s">
        <v>117</v>
      </c>
      <c r="C106" s="1" t="s">
        <v>1265</v>
      </c>
      <c r="D106" s="1">
        <v>13</v>
      </c>
      <c r="E106" s="1" t="s">
        <v>100</v>
      </c>
      <c r="F106" s="1">
        <v>1920927840000</v>
      </c>
      <c r="G106" s="1" t="s">
        <v>126</v>
      </c>
      <c r="H106" s="1" t="s">
        <v>1290</v>
      </c>
      <c r="I106" s="1" t="s">
        <v>1182</v>
      </c>
      <c r="Q106" s="1" t="s">
        <v>117</v>
      </c>
      <c r="R106" s="1" t="s">
        <v>100</v>
      </c>
      <c r="S106" s="1" t="s">
        <v>126</v>
      </c>
    </row>
    <row r="107" spans="1:19" x14ac:dyDescent="0.25">
      <c r="A107" s="1">
        <v>1920928030000</v>
      </c>
      <c r="B107" s="1" t="s">
        <v>117</v>
      </c>
      <c r="C107" s="1" t="s">
        <v>1265</v>
      </c>
      <c r="D107" s="1">
        <v>13</v>
      </c>
      <c r="E107" s="1" t="s">
        <v>100</v>
      </c>
      <c r="F107" s="1">
        <v>1920928030000</v>
      </c>
      <c r="G107" s="1" t="s">
        <v>127</v>
      </c>
      <c r="H107" s="1" t="s">
        <v>1291</v>
      </c>
      <c r="I107" s="1" t="s">
        <v>1182</v>
      </c>
      <c r="Q107" s="1" t="s">
        <v>117</v>
      </c>
      <c r="R107" s="1" t="s">
        <v>100</v>
      </c>
      <c r="S107" s="1" t="s">
        <v>127</v>
      </c>
    </row>
    <row r="108" spans="1:19" x14ac:dyDescent="0.25">
      <c r="A108" s="1">
        <v>1920928120000</v>
      </c>
      <c r="B108" s="1" t="s">
        <v>117</v>
      </c>
      <c r="C108" s="1" t="s">
        <v>1265</v>
      </c>
      <c r="D108" s="1">
        <v>13</v>
      </c>
      <c r="E108" s="1" t="s">
        <v>100</v>
      </c>
      <c r="F108" s="1">
        <v>1920928120000</v>
      </c>
      <c r="G108" s="1" t="s">
        <v>128</v>
      </c>
      <c r="H108" s="1" t="s">
        <v>1292</v>
      </c>
      <c r="I108" s="1" t="s">
        <v>1182</v>
      </c>
      <c r="Q108" s="1" t="s">
        <v>117</v>
      </c>
      <c r="R108" s="1" t="s">
        <v>100</v>
      </c>
      <c r="S108" s="1" t="s">
        <v>128</v>
      </c>
    </row>
    <row r="109" spans="1:19" x14ac:dyDescent="0.25">
      <c r="A109" s="1">
        <v>1920930010000</v>
      </c>
      <c r="B109" s="1" t="s">
        <v>117</v>
      </c>
      <c r="C109" s="1" t="s">
        <v>1265</v>
      </c>
      <c r="D109" s="1">
        <v>13</v>
      </c>
      <c r="E109" s="1" t="s">
        <v>100</v>
      </c>
      <c r="F109" s="1">
        <v>1920930010000</v>
      </c>
      <c r="G109" s="1" t="s">
        <v>129</v>
      </c>
      <c r="H109" s="1" t="s">
        <v>1293</v>
      </c>
      <c r="I109" s="1" t="s">
        <v>1182</v>
      </c>
      <c r="Q109" s="1" t="s">
        <v>117</v>
      </c>
      <c r="R109" s="1" t="s">
        <v>100</v>
      </c>
      <c r="S109" s="1" t="s">
        <v>129</v>
      </c>
    </row>
    <row r="110" spans="1:19" x14ac:dyDescent="0.25">
      <c r="A110" s="1">
        <v>1920931110000</v>
      </c>
      <c r="B110" s="1" t="s">
        <v>117</v>
      </c>
      <c r="C110" s="1" t="s">
        <v>1265</v>
      </c>
      <c r="D110" s="1">
        <v>13</v>
      </c>
      <c r="E110" s="1" t="s">
        <v>100</v>
      </c>
      <c r="F110" s="1">
        <v>1920931110000</v>
      </c>
      <c r="G110" s="1" t="s">
        <v>130</v>
      </c>
      <c r="H110" s="1" t="s">
        <v>1294</v>
      </c>
      <c r="I110" s="1" t="s">
        <v>1182</v>
      </c>
      <c r="Q110" s="1" t="s">
        <v>117</v>
      </c>
      <c r="R110" s="1" t="s">
        <v>100</v>
      </c>
      <c r="S110" s="1" t="s">
        <v>130</v>
      </c>
    </row>
    <row r="111" spans="1:19" x14ac:dyDescent="0.25">
      <c r="A111" s="1">
        <v>1920933970000</v>
      </c>
      <c r="B111" s="1" t="s">
        <v>117</v>
      </c>
      <c r="C111" s="1" t="s">
        <v>1265</v>
      </c>
      <c r="D111" s="1">
        <v>13</v>
      </c>
      <c r="E111" s="1" t="s">
        <v>100</v>
      </c>
      <c r="F111" s="1">
        <v>1920933970000</v>
      </c>
      <c r="G111" s="1" t="s">
        <v>131</v>
      </c>
      <c r="H111" s="1" t="s">
        <v>1295</v>
      </c>
      <c r="I111" s="1" t="s">
        <v>1182</v>
      </c>
      <c r="Q111" s="1" t="s">
        <v>117</v>
      </c>
      <c r="R111" s="1" t="s">
        <v>100</v>
      </c>
      <c r="S111" s="1" t="s">
        <v>131</v>
      </c>
    </row>
    <row r="112" spans="1:19" x14ac:dyDescent="0.25">
      <c r="A112" s="1">
        <v>1920934970000</v>
      </c>
      <c r="B112" s="1" t="s">
        <v>117</v>
      </c>
      <c r="C112" s="1" t="s">
        <v>1265</v>
      </c>
      <c r="D112" s="1">
        <v>13</v>
      </c>
      <c r="E112" s="1" t="s">
        <v>100</v>
      </c>
      <c r="F112" s="1">
        <v>1920934970000</v>
      </c>
      <c r="G112" s="1" t="s">
        <v>132</v>
      </c>
      <c r="H112" s="1" t="s">
        <v>1296</v>
      </c>
      <c r="I112" s="1" t="s">
        <v>1182</v>
      </c>
      <c r="Q112" s="1" t="s">
        <v>117</v>
      </c>
      <c r="R112" s="1" t="s">
        <v>100</v>
      </c>
      <c r="S112" s="1" t="s">
        <v>132</v>
      </c>
    </row>
    <row r="113" spans="1:19" x14ac:dyDescent="0.25">
      <c r="A113" s="1">
        <v>1920936650000</v>
      </c>
      <c r="B113" s="1" t="s">
        <v>117</v>
      </c>
      <c r="C113" s="1" t="s">
        <v>1265</v>
      </c>
      <c r="D113" s="1">
        <v>13</v>
      </c>
      <c r="E113" s="1" t="s">
        <v>100</v>
      </c>
      <c r="F113" s="1">
        <v>1920936650000</v>
      </c>
      <c r="G113" s="1" t="s">
        <v>133</v>
      </c>
      <c r="H113" s="1" t="s">
        <v>1297</v>
      </c>
      <c r="I113" s="1" t="s">
        <v>1182</v>
      </c>
      <c r="Q113" s="1" t="s">
        <v>117</v>
      </c>
      <c r="R113" s="1" t="s">
        <v>100</v>
      </c>
      <c r="S113" s="1" t="s">
        <v>133</v>
      </c>
    </row>
    <row r="114" spans="1:19" x14ac:dyDescent="0.25">
      <c r="A114" s="1">
        <v>1920937280000</v>
      </c>
      <c r="B114" s="1" t="s">
        <v>117</v>
      </c>
      <c r="C114" s="1" t="s">
        <v>1265</v>
      </c>
      <c r="D114" s="1">
        <v>13</v>
      </c>
      <c r="E114" s="1" t="s">
        <v>100</v>
      </c>
      <c r="F114" s="1">
        <v>1920937280000</v>
      </c>
      <c r="G114" s="1" t="s">
        <v>134</v>
      </c>
      <c r="H114" s="1" t="s">
        <v>1298</v>
      </c>
      <c r="I114" s="1" t="s">
        <v>1182</v>
      </c>
      <c r="Q114" s="1" t="s">
        <v>117</v>
      </c>
      <c r="R114" s="1" t="s">
        <v>100</v>
      </c>
      <c r="S114" s="1" t="s">
        <v>134</v>
      </c>
    </row>
    <row r="115" spans="1:19" x14ac:dyDescent="0.25">
      <c r="A115" s="1">
        <v>1920902380000</v>
      </c>
      <c r="B115" s="1" t="s">
        <v>135</v>
      </c>
      <c r="C115" s="1" t="s">
        <v>1265</v>
      </c>
      <c r="D115" s="1">
        <v>14</v>
      </c>
      <c r="E115" s="1" t="s">
        <v>100</v>
      </c>
      <c r="F115" s="1">
        <v>1920902380000</v>
      </c>
      <c r="G115" s="1" t="s">
        <v>136</v>
      </c>
      <c r="H115" s="1" t="s">
        <v>1299</v>
      </c>
      <c r="I115" s="1" t="s">
        <v>1182</v>
      </c>
      <c r="Q115" s="1" t="s">
        <v>135</v>
      </c>
      <c r="R115" s="1" t="s">
        <v>100</v>
      </c>
      <c r="S115" s="1" t="s">
        <v>136</v>
      </c>
    </row>
    <row r="116" spans="1:19" x14ac:dyDescent="0.25">
      <c r="A116" s="1">
        <v>1920902640000</v>
      </c>
      <c r="B116" s="1" t="s">
        <v>135</v>
      </c>
      <c r="C116" s="1" t="s">
        <v>1265</v>
      </c>
      <c r="D116" s="1">
        <v>14</v>
      </c>
      <c r="E116" s="1" t="s">
        <v>100</v>
      </c>
      <c r="F116" s="1">
        <v>1920902640000</v>
      </c>
      <c r="G116" s="1" t="s">
        <v>137</v>
      </c>
      <c r="H116" s="1" t="s">
        <v>1300</v>
      </c>
      <c r="I116" s="1" t="s">
        <v>1182</v>
      </c>
      <c r="Q116" s="1" t="s">
        <v>135</v>
      </c>
      <c r="R116" s="1" t="s">
        <v>100</v>
      </c>
      <c r="S116" s="1" t="s">
        <v>137</v>
      </c>
    </row>
    <row r="117" spans="1:19" x14ac:dyDescent="0.25">
      <c r="A117" s="1">
        <v>1920928050000</v>
      </c>
      <c r="B117" s="1" t="s">
        <v>135</v>
      </c>
      <c r="C117" s="1" t="s">
        <v>1265</v>
      </c>
      <c r="D117" s="1">
        <v>14</v>
      </c>
      <c r="E117" s="1" t="s">
        <v>100</v>
      </c>
      <c r="F117" s="1">
        <v>1920928050000</v>
      </c>
      <c r="G117" s="1" t="s">
        <v>138</v>
      </c>
      <c r="H117" s="1" t="s">
        <v>1301</v>
      </c>
      <c r="I117" s="1" t="s">
        <v>1182</v>
      </c>
      <c r="Q117" s="1" t="s">
        <v>135</v>
      </c>
      <c r="R117" s="1" t="s">
        <v>100</v>
      </c>
      <c r="S117" s="1" t="s">
        <v>138</v>
      </c>
    </row>
    <row r="118" spans="1:19" x14ac:dyDescent="0.25">
      <c r="A118" s="1">
        <v>1920928630000</v>
      </c>
      <c r="B118" s="1" t="s">
        <v>135</v>
      </c>
      <c r="C118" s="1" t="s">
        <v>1265</v>
      </c>
      <c r="D118" s="1">
        <v>14</v>
      </c>
      <c r="E118" s="1" t="s">
        <v>100</v>
      </c>
      <c r="F118" s="1">
        <v>1920928630000</v>
      </c>
      <c r="G118" s="1" t="s">
        <v>139</v>
      </c>
      <c r="H118" s="1" t="s">
        <v>1302</v>
      </c>
      <c r="I118" s="1" t="s">
        <v>1182</v>
      </c>
      <c r="Q118" s="1" t="s">
        <v>135</v>
      </c>
      <c r="R118" s="1" t="s">
        <v>100</v>
      </c>
      <c r="S118" s="1" t="s">
        <v>139</v>
      </c>
    </row>
    <row r="119" spans="1:19" x14ac:dyDescent="0.25">
      <c r="A119" s="1">
        <v>1920928890000</v>
      </c>
      <c r="B119" s="1" t="s">
        <v>135</v>
      </c>
      <c r="C119" s="1" t="s">
        <v>1265</v>
      </c>
      <c r="D119" s="1">
        <v>14</v>
      </c>
      <c r="E119" s="1" t="s">
        <v>100</v>
      </c>
      <c r="F119" s="1">
        <v>1920928890000</v>
      </c>
      <c r="G119" s="1" t="s">
        <v>140</v>
      </c>
      <c r="H119" s="1" t="s">
        <v>1303</v>
      </c>
      <c r="I119" s="1" t="s">
        <v>1182</v>
      </c>
      <c r="Q119" s="1" t="s">
        <v>135</v>
      </c>
      <c r="R119" s="1" t="s">
        <v>100</v>
      </c>
      <c r="S119" s="1" t="s">
        <v>140</v>
      </c>
    </row>
    <row r="120" spans="1:19" x14ac:dyDescent="0.25">
      <c r="A120" s="1">
        <v>1920930530000</v>
      </c>
      <c r="B120" s="1" t="s">
        <v>135</v>
      </c>
      <c r="C120" s="1" t="s">
        <v>1265</v>
      </c>
      <c r="D120" s="1">
        <v>14</v>
      </c>
      <c r="E120" s="1" t="s">
        <v>100</v>
      </c>
      <c r="F120" s="1">
        <v>1920930530000</v>
      </c>
      <c r="G120" s="1" t="s">
        <v>141</v>
      </c>
      <c r="H120" s="1" t="s">
        <v>1304</v>
      </c>
      <c r="I120" s="1" t="s">
        <v>1182</v>
      </c>
      <c r="Q120" s="1" t="s">
        <v>135</v>
      </c>
      <c r="R120" s="1" t="s">
        <v>100</v>
      </c>
      <c r="S120" s="1" t="s">
        <v>141</v>
      </c>
    </row>
    <row r="121" spans="1:19" x14ac:dyDescent="0.25">
      <c r="A121" s="1">
        <v>1920931120000</v>
      </c>
      <c r="B121" s="1" t="s">
        <v>135</v>
      </c>
      <c r="C121" s="1" t="s">
        <v>1265</v>
      </c>
      <c r="D121" s="1">
        <v>14</v>
      </c>
      <c r="E121" s="1" t="s">
        <v>100</v>
      </c>
      <c r="F121" s="1">
        <v>1920931120000</v>
      </c>
      <c r="G121" s="1" t="s">
        <v>26</v>
      </c>
      <c r="H121" s="1" t="s">
        <v>1305</v>
      </c>
      <c r="I121" s="1" t="s">
        <v>1182</v>
      </c>
      <c r="Q121" s="1" t="s">
        <v>135</v>
      </c>
      <c r="R121" s="1" t="s">
        <v>100</v>
      </c>
      <c r="S121" s="1" t="s">
        <v>26</v>
      </c>
    </row>
    <row r="122" spans="1:19" x14ac:dyDescent="0.25">
      <c r="A122" s="1">
        <v>1920931170000</v>
      </c>
      <c r="B122" s="1" t="s">
        <v>135</v>
      </c>
      <c r="C122" s="1" t="s">
        <v>1265</v>
      </c>
      <c r="D122" s="1">
        <v>14</v>
      </c>
      <c r="E122" s="1" t="s">
        <v>100</v>
      </c>
      <c r="F122" s="1">
        <v>1920931170000</v>
      </c>
      <c r="G122" s="1" t="s">
        <v>142</v>
      </c>
      <c r="H122" s="1" t="s">
        <v>1306</v>
      </c>
      <c r="I122" s="1" t="s">
        <v>1182</v>
      </c>
      <c r="Q122" s="1" t="s">
        <v>135</v>
      </c>
      <c r="R122" s="1" t="s">
        <v>100</v>
      </c>
      <c r="S122" s="1" t="s">
        <v>142</v>
      </c>
    </row>
    <row r="123" spans="1:19" x14ac:dyDescent="0.25">
      <c r="A123" s="1">
        <v>1920931860000</v>
      </c>
      <c r="B123" s="1" t="s">
        <v>135</v>
      </c>
      <c r="C123" s="1" t="s">
        <v>1265</v>
      </c>
      <c r="D123" s="1">
        <v>14</v>
      </c>
      <c r="E123" s="1" t="s">
        <v>100</v>
      </c>
      <c r="F123" s="1">
        <v>1920931860000</v>
      </c>
      <c r="G123" s="1" t="s">
        <v>143</v>
      </c>
      <c r="H123" s="1" t="s">
        <v>1307</v>
      </c>
      <c r="I123" s="1" t="s">
        <v>1182</v>
      </c>
      <c r="Q123" s="1" t="s">
        <v>135</v>
      </c>
      <c r="R123" s="1" t="s">
        <v>100</v>
      </c>
      <c r="S123" s="1" t="s">
        <v>143</v>
      </c>
    </row>
    <row r="124" spans="1:19" x14ac:dyDescent="0.25">
      <c r="A124" s="1">
        <v>1920934630000</v>
      </c>
      <c r="B124" s="1" t="s">
        <v>135</v>
      </c>
      <c r="C124" s="1" t="s">
        <v>1265</v>
      </c>
      <c r="D124" s="1">
        <v>14</v>
      </c>
      <c r="E124" s="1" t="s">
        <v>100</v>
      </c>
      <c r="F124" s="1">
        <v>1920934630000</v>
      </c>
      <c r="G124" s="1" t="s">
        <v>144</v>
      </c>
      <c r="H124" s="1" t="s">
        <v>1308</v>
      </c>
      <c r="I124" s="1" t="s">
        <v>1182</v>
      </c>
      <c r="Q124" s="1" t="s">
        <v>135</v>
      </c>
      <c r="R124" s="1" t="s">
        <v>100</v>
      </c>
      <c r="S124" s="1" t="s">
        <v>144</v>
      </c>
    </row>
    <row r="125" spans="1:19" x14ac:dyDescent="0.25">
      <c r="A125" s="1">
        <v>1920934650000</v>
      </c>
      <c r="B125" s="1" t="s">
        <v>135</v>
      </c>
      <c r="C125" s="1" t="s">
        <v>1265</v>
      </c>
      <c r="D125" s="1">
        <v>14</v>
      </c>
      <c r="E125" s="1" t="s">
        <v>100</v>
      </c>
      <c r="F125" s="1">
        <v>1920934650000</v>
      </c>
      <c r="G125" s="1" t="s">
        <v>145</v>
      </c>
      <c r="H125" s="1" t="s">
        <v>1309</v>
      </c>
      <c r="I125" s="1" t="s">
        <v>1182</v>
      </c>
      <c r="Q125" s="1" t="s">
        <v>135</v>
      </c>
      <c r="R125" s="1" t="s">
        <v>100</v>
      </c>
      <c r="S125" s="1" t="s">
        <v>145</v>
      </c>
    </row>
    <row r="126" spans="1:19" x14ac:dyDescent="0.25">
      <c r="A126" s="1">
        <v>1920934850000</v>
      </c>
      <c r="B126" s="1" t="s">
        <v>135</v>
      </c>
      <c r="C126" s="1" t="s">
        <v>1265</v>
      </c>
      <c r="D126" s="1">
        <v>14</v>
      </c>
      <c r="E126" s="1" t="s">
        <v>100</v>
      </c>
      <c r="F126" s="1">
        <v>1920934850000</v>
      </c>
      <c r="G126" s="1" t="s">
        <v>146</v>
      </c>
      <c r="H126" s="1" t="s">
        <v>1310</v>
      </c>
      <c r="I126" s="1" t="s">
        <v>1182</v>
      </c>
      <c r="Q126" s="1" t="s">
        <v>135</v>
      </c>
      <c r="R126" s="1" t="s">
        <v>100</v>
      </c>
      <c r="S126" s="1" t="s">
        <v>146</v>
      </c>
    </row>
    <row r="127" spans="1:19" x14ac:dyDescent="0.25">
      <c r="A127" s="1">
        <v>1920902500000</v>
      </c>
      <c r="B127" s="1" t="s">
        <v>135</v>
      </c>
      <c r="C127" s="1" t="s">
        <v>1265</v>
      </c>
      <c r="D127" s="1">
        <v>14</v>
      </c>
      <c r="E127" s="1" t="s">
        <v>147</v>
      </c>
      <c r="F127" s="1">
        <v>1920902500000</v>
      </c>
      <c r="G127" s="1" t="s">
        <v>148</v>
      </c>
      <c r="H127" s="1" t="s">
        <v>1311</v>
      </c>
      <c r="I127" s="1" t="s">
        <v>1182</v>
      </c>
      <c r="Q127" s="1" t="s">
        <v>135</v>
      </c>
      <c r="R127" s="1" t="s">
        <v>147</v>
      </c>
      <c r="S127" s="1" t="s">
        <v>148</v>
      </c>
    </row>
    <row r="128" spans="1:19" x14ac:dyDescent="0.25">
      <c r="A128" s="1">
        <v>1920902570000</v>
      </c>
      <c r="B128" s="1" t="s">
        <v>135</v>
      </c>
      <c r="C128" s="1" t="s">
        <v>1265</v>
      </c>
      <c r="D128" s="1">
        <v>14</v>
      </c>
      <c r="E128" s="1" t="s">
        <v>147</v>
      </c>
      <c r="F128" s="1">
        <v>1920902570000</v>
      </c>
      <c r="G128" s="1" t="s">
        <v>149</v>
      </c>
      <c r="H128" s="1" t="s">
        <v>1312</v>
      </c>
      <c r="I128" s="1" t="s">
        <v>1182</v>
      </c>
      <c r="Q128" s="1" t="s">
        <v>135</v>
      </c>
      <c r="R128" s="1" t="s">
        <v>147</v>
      </c>
      <c r="S128" s="1" t="s">
        <v>149</v>
      </c>
    </row>
    <row r="129" spans="1:19" x14ac:dyDescent="0.25">
      <c r="A129" s="1">
        <v>1920930000000</v>
      </c>
      <c r="B129" s="1" t="s">
        <v>135</v>
      </c>
      <c r="C129" s="1" t="s">
        <v>1265</v>
      </c>
      <c r="D129" s="1">
        <v>14</v>
      </c>
      <c r="E129" s="1" t="s">
        <v>147</v>
      </c>
      <c r="F129" s="1">
        <v>1920930000000</v>
      </c>
      <c r="G129" s="1" t="s">
        <v>150</v>
      </c>
      <c r="H129" s="1" t="s">
        <v>1313</v>
      </c>
      <c r="I129" s="1" t="s">
        <v>1182</v>
      </c>
      <c r="Q129" s="1" t="s">
        <v>135</v>
      </c>
      <c r="R129" s="1" t="s">
        <v>147</v>
      </c>
      <c r="S129" s="1" t="s">
        <v>150</v>
      </c>
    </row>
    <row r="130" spans="1:19" x14ac:dyDescent="0.25">
      <c r="A130" s="1">
        <v>1920932300000</v>
      </c>
      <c r="B130" s="1" t="s">
        <v>135</v>
      </c>
      <c r="C130" s="1" t="s">
        <v>1265</v>
      </c>
      <c r="D130" s="1">
        <v>14</v>
      </c>
      <c r="E130" s="1" t="s">
        <v>147</v>
      </c>
      <c r="F130" s="1">
        <v>1920932300000</v>
      </c>
      <c r="G130" s="1" t="s">
        <v>151</v>
      </c>
      <c r="H130" s="1" t="s">
        <v>1314</v>
      </c>
      <c r="I130" s="1" t="s">
        <v>1182</v>
      </c>
      <c r="Q130" s="1" t="s">
        <v>135</v>
      </c>
      <c r="R130" s="1" t="s">
        <v>147</v>
      </c>
      <c r="S130" s="1" t="s">
        <v>151</v>
      </c>
    </row>
    <row r="131" spans="1:19" x14ac:dyDescent="0.25">
      <c r="A131" s="1">
        <v>1920934640000</v>
      </c>
      <c r="B131" s="1" t="s">
        <v>135</v>
      </c>
      <c r="C131" s="1" t="s">
        <v>1265</v>
      </c>
      <c r="D131" s="1">
        <v>14</v>
      </c>
      <c r="E131" s="1" t="s">
        <v>147</v>
      </c>
      <c r="F131" s="1">
        <v>1920934640000</v>
      </c>
      <c r="G131" s="1" t="s">
        <v>152</v>
      </c>
      <c r="H131" s="1" t="s">
        <v>1315</v>
      </c>
      <c r="I131" s="1" t="s">
        <v>1182</v>
      </c>
      <c r="Q131" s="1" t="s">
        <v>135</v>
      </c>
      <c r="R131" s="1" t="s">
        <v>147</v>
      </c>
      <c r="S131" s="1" t="s">
        <v>152</v>
      </c>
    </row>
    <row r="132" spans="1:19" x14ac:dyDescent="0.25">
      <c r="A132" s="1">
        <v>1920934660000</v>
      </c>
      <c r="B132" s="1" t="s">
        <v>135</v>
      </c>
      <c r="C132" s="1" t="s">
        <v>1265</v>
      </c>
      <c r="D132" s="1">
        <v>14</v>
      </c>
      <c r="E132" s="1" t="s">
        <v>147</v>
      </c>
      <c r="F132" s="1">
        <v>1920934660000</v>
      </c>
      <c r="G132" s="1" t="s">
        <v>153</v>
      </c>
      <c r="H132" s="1" t="s">
        <v>1316</v>
      </c>
      <c r="I132" s="1" t="s">
        <v>1182</v>
      </c>
      <c r="Q132" s="1" t="s">
        <v>135</v>
      </c>
      <c r="R132" s="1" t="s">
        <v>147</v>
      </c>
      <c r="S132" s="1" t="s">
        <v>153</v>
      </c>
    </row>
    <row r="133" spans="1:19" x14ac:dyDescent="0.25">
      <c r="A133" s="1">
        <v>1920937060000</v>
      </c>
      <c r="B133" s="1" t="s">
        <v>135</v>
      </c>
      <c r="C133" s="1" t="s">
        <v>1265</v>
      </c>
      <c r="D133" s="1">
        <v>14</v>
      </c>
      <c r="E133" s="1" t="s">
        <v>147</v>
      </c>
      <c r="F133" s="1">
        <v>1920937060000</v>
      </c>
      <c r="G133" s="1" t="s">
        <v>154</v>
      </c>
      <c r="H133" s="1" t="s">
        <v>1317</v>
      </c>
      <c r="I133" s="1" t="s">
        <v>1182</v>
      </c>
      <c r="Q133" s="1" t="s">
        <v>135</v>
      </c>
      <c r="R133" s="1" t="s">
        <v>147</v>
      </c>
      <c r="S133" s="1" t="s">
        <v>154</v>
      </c>
    </row>
    <row r="134" spans="1:19" x14ac:dyDescent="0.25">
      <c r="A134" s="1">
        <v>1920902000000</v>
      </c>
      <c r="B134" s="1" t="s">
        <v>155</v>
      </c>
      <c r="C134" s="1" t="s">
        <v>1265</v>
      </c>
      <c r="D134" s="1">
        <v>15</v>
      </c>
      <c r="E134" s="1" t="s">
        <v>100</v>
      </c>
      <c r="F134" s="1">
        <v>1920902000000</v>
      </c>
      <c r="G134" s="1" t="s">
        <v>156</v>
      </c>
      <c r="H134" s="1" t="s">
        <v>1318</v>
      </c>
      <c r="I134" s="1" t="s">
        <v>1182</v>
      </c>
      <c r="Q134" s="1" t="s">
        <v>155</v>
      </c>
      <c r="R134" s="1" t="s">
        <v>100</v>
      </c>
      <c r="S134" s="1" t="s">
        <v>156</v>
      </c>
    </row>
    <row r="135" spans="1:19" x14ac:dyDescent="0.25">
      <c r="A135" s="1">
        <v>1920902600000</v>
      </c>
      <c r="B135" s="1" t="s">
        <v>155</v>
      </c>
      <c r="C135" s="1" t="s">
        <v>1265</v>
      </c>
      <c r="D135" s="1">
        <v>15</v>
      </c>
      <c r="E135" s="1" t="s">
        <v>100</v>
      </c>
      <c r="F135" s="1">
        <v>1920902600000</v>
      </c>
      <c r="G135" s="1" t="s">
        <v>157</v>
      </c>
      <c r="H135" s="1" t="s">
        <v>1319</v>
      </c>
      <c r="I135" s="1" t="s">
        <v>1182</v>
      </c>
      <c r="Q135" s="1" t="s">
        <v>155</v>
      </c>
      <c r="R135" s="1" t="s">
        <v>100</v>
      </c>
      <c r="S135" s="1" t="s">
        <v>157</v>
      </c>
    </row>
    <row r="136" spans="1:19" x14ac:dyDescent="0.25">
      <c r="A136" s="1">
        <v>1920902620000</v>
      </c>
      <c r="B136" s="1" t="s">
        <v>155</v>
      </c>
      <c r="C136" s="1" t="s">
        <v>1265</v>
      </c>
      <c r="D136" s="1">
        <v>15</v>
      </c>
      <c r="E136" s="1" t="s">
        <v>100</v>
      </c>
      <c r="F136" s="1">
        <v>1920902620000</v>
      </c>
      <c r="G136" s="1" t="s">
        <v>158</v>
      </c>
      <c r="H136" s="1" t="s">
        <v>1320</v>
      </c>
      <c r="I136" s="1" t="s">
        <v>1182</v>
      </c>
      <c r="Q136" s="1" t="s">
        <v>155</v>
      </c>
      <c r="R136" s="1" t="s">
        <v>100</v>
      </c>
      <c r="S136" s="1" t="s">
        <v>158</v>
      </c>
    </row>
    <row r="137" spans="1:19" x14ac:dyDescent="0.25">
      <c r="A137" s="1">
        <v>1920902710000</v>
      </c>
      <c r="B137" s="1" t="s">
        <v>155</v>
      </c>
      <c r="C137" s="1" t="s">
        <v>1265</v>
      </c>
      <c r="D137" s="1">
        <v>15</v>
      </c>
      <c r="E137" s="1" t="s">
        <v>100</v>
      </c>
      <c r="F137" s="1">
        <v>1920902710000</v>
      </c>
      <c r="G137" s="1" t="s">
        <v>159</v>
      </c>
      <c r="H137" s="1" t="s">
        <v>1321</v>
      </c>
      <c r="I137" s="1" t="s">
        <v>1182</v>
      </c>
      <c r="Q137" s="1" t="s">
        <v>155</v>
      </c>
      <c r="R137" s="1" t="s">
        <v>100</v>
      </c>
      <c r="S137" s="1" t="s">
        <v>159</v>
      </c>
    </row>
    <row r="138" spans="1:19" x14ac:dyDescent="0.25">
      <c r="A138" s="1">
        <v>1920928130000</v>
      </c>
      <c r="B138" s="1" t="s">
        <v>155</v>
      </c>
      <c r="C138" s="1" t="s">
        <v>1265</v>
      </c>
      <c r="D138" s="1">
        <v>15</v>
      </c>
      <c r="E138" s="1" t="s">
        <v>100</v>
      </c>
      <c r="F138" s="1">
        <v>1920928130000</v>
      </c>
      <c r="G138" s="1" t="s">
        <v>160</v>
      </c>
      <c r="H138" s="1" t="s">
        <v>1322</v>
      </c>
      <c r="I138" s="1" t="s">
        <v>1182</v>
      </c>
      <c r="Q138" s="1" t="s">
        <v>155</v>
      </c>
      <c r="R138" s="1" t="s">
        <v>100</v>
      </c>
      <c r="S138" s="1" t="s">
        <v>160</v>
      </c>
    </row>
    <row r="139" spans="1:19" x14ac:dyDescent="0.25">
      <c r="A139" s="1">
        <v>1920928780000</v>
      </c>
      <c r="B139" s="1" t="s">
        <v>155</v>
      </c>
      <c r="C139" s="1" t="s">
        <v>1265</v>
      </c>
      <c r="D139" s="1">
        <v>15</v>
      </c>
      <c r="E139" s="1" t="s">
        <v>100</v>
      </c>
      <c r="F139" s="1">
        <v>1920928780000</v>
      </c>
      <c r="G139" s="1" t="s">
        <v>161</v>
      </c>
      <c r="H139" s="1" t="s">
        <v>1323</v>
      </c>
      <c r="I139" s="1" t="s">
        <v>1182</v>
      </c>
      <c r="Q139" s="1" t="s">
        <v>155</v>
      </c>
      <c r="R139" s="1" t="s">
        <v>100</v>
      </c>
      <c r="S139" s="1" t="s">
        <v>161</v>
      </c>
    </row>
    <row r="140" spans="1:19" x14ac:dyDescent="0.25">
      <c r="A140" s="1">
        <v>1920928860000</v>
      </c>
      <c r="B140" s="1" t="s">
        <v>155</v>
      </c>
      <c r="C140" s="1" t="s">
        <v>1265</v>
      </c>
      <c r="D140" s="1">
        <v>15</v>
      </c>
      <c r="E140" s="1" t="s">
        <v>100</v>
      </c>
      <c r="F140" s="1">
        <v>1920928860000</v>
      </c>
      <c r="G140" s="1" t="s">
        <v>162</v>
      </c>
      <c r="H140" s="1" t="s">
        <v>1324</v>
      </c>
      <c r="I140" s="1" t="s">
        <v>1182</v>
      </c>
      <c r="Q140" s="1" t="s">
        <v>155</v>
      </c>
      <c r="R140" s="1" t="s">
        <v>100</v>
      </c>
      <c r="S140" s="1" t="s">
        <v>162</v>
      </c>
    </row>
    <row r="141" spans="1:19" x14ac:dyDescent="0.25">
      <c r="A141" s="1">
        <v>1920928900000</v>
      </c>
      <c r="B141" s="1" t="s">
        <v>155</v>
      </c>
      <c r="C141" s="1" t="s">
        <v>1265</v>
      </c>
      <c r="D141" s="1">
        <v>15</v>
      </c>
      <c r="E141" s="1" t="s">
        <v>100</v>
      </c>
      <c r="F141" s="1">
        <v>1920928900000</v>
      </c>
      <c r="G141" s="1" t="s">
        <v>163</v>
      </c>
      <c r="H141" s="1" t="s">
        <v>1325</v>
      </c>
      <c r="I141" s="1" t="s">
        <v>1182</v>
      </c>
      <c r="Q141" s="1" t="s">
        <v>155</v>
      </c>
      <c r="R141" s="1" t="s">
        <v>100</v>
      </c>
      <c r="S141" s="1" t="s">
        <v>163</v>
      </c>
    </row>
    <row r="142" spans="1:19" x14ac:dyDescent="0.25">
      <c r="A142" s="1">
        <v>1920928980000</v>
      </c>
      <c r="B142" s="1" t="s">
        <v>155</v>
      </c>
      <c r="C142" s="1" t="s">
        <v>1265</v>
      </c>
      <c r="D142" s="1">
        <v>15</v>
      </c>
      <c r="E142" s="1" t="s">
        <v>100</v>
      </c>
      <c r="F142" s="1">
        <v>1920928980000</v>
      </c>
      <c r="G142" s="1" t="s">
        <v>164</v>
      </c>
      <c r="H142" s="1" t="s">
        <v>1326</v>
      </c>
      <c r="I142" s="1" t="s">
        <v>1182</v>
      </c>
      <c r="Q142" s="1" t="s">
        <v>155</v>
      </c>
      <c r="R142" s="1" t="s">
        <v>100</v>
      </c>
      <c r="S142" s="1" t="s">
        <v>164</v>
      </c>
    </row>
    <row r="143" spans="1:19" x14ac:dyDescent="0.25">
      <c r="A143" s="1">
        <v>1920928990000</v>
      </c>
      <c r="B143" s="1" t="s">
        <v>155</v>
      </c>
      <c r="C143" s="1" t="s">
        <v>1265</v>
      </c>
      <c r="D143" s="1">
        <v>15</v>
      </c>
      <c r="E143" s="1" t="s">
        <v>100</v>
      </c>
      <c r="F143" s="1">
        <v>1920928990000</v>
      </c>
      <c r="G143" s="1" t="s">
        <v>165</v>
      </c>
      <c r="H143" s="1" t="s">
        <v>1327</v>
      </c>
      <c r="I143" s="1" t="s">
        <v>1182</v>
      </c>
      <c r="Q143" s="1" t="s">
        <v>155</v>
      </c>
      <c r="R143" s="1" t="s">
        <v>100</v>
      </c>
      <c r="S143" s="1" t="s">
        <v>165</v>
      </c>
    </row>
    <row r="144" spans="1:19" x14ac:dyDescent="0.25">
      <c r="A144" s="1">
        <v>1920929790000</v>
      </c>
      <c r="B144" s="1" t="s">
        <v>155</v>
      </c>
      <c r="C144" s="1" t="s">
        <v>1265</v>
      </c>
      <c r="D144" s="1">
        <v>15</v>
      </c>
      <c r="E144" s="1" t="s">
        <v>100</v>
      </c>
      <c r="F144" s="1">
        <v>1920929790000</v>
      </c>
      <c r="G144" s="1" t="s">
        <v>166</v>
      </c>
      <c r="H144" s="1" t="s">
        <v>1328</v>
      </c>
      <c r="I144" s="1" t="s">
        <v>1182</v>
      </c>
      <c r="Q144" s="1" t="s">
        <v>155</v>
      </c>
      <c r="R144" s="1" t="s">
        <v>100</v>
      </c>
      <c r="S144" s="1" t="s">
        <v>166</v>
      </c>
    </row>
    <row r="145" spans="1:19" x14ac:dyDescent="0.25">
      <c r="A145" s="1">
        <v>1920930470000</v>
      </c>
      <c r="B145" s="1" t="s">
        <v>155</v>
      </c>
      <c r="C145" s="1" t="s">
        <v>1265</v>
      </c>
      <c r="D145" s="1">
        <v>15</v>
      </c>
      <c r="E145" s="1" t="s">
        <v>100</v>
      </c>
      <c r="F145" s="1">
        <v>1920930470000</v>
      </c>
      <c r="G145" s="1" t="s">
        <v>167</v>
      </c>
      <c r="H145" s="1" t="s">
        <v>1329</v>
      </c>
      <c r="I145" s="1" t="s">
        <v>1182</v>
      </c>
      <c r="Q145" s="1" t="s">
        <v>155</v>
      </c>
      <c r="R145" s="1" t="s">
        <v>100</v>
      </c>
      <c r="S145" s="1" t="s">
        <v>167</v>
      </c>
    </row>
    <row r="146" spans="1:19" x14ac:dyDescent="0.25">
      <c r="A146" s="1">
        <v>1920931810000</v>
      </c>
      <c r="B146" s="1" t="s">
        <v>155</v>
      </c>
      <c r="C146" s="1" t="s">
        <v>1265</v>
      </c>
      <c r="D146" s="1">
        <v>15</v>
      </c>
      <c r="E146" s="1" t="s">
        <v>100</v>
      </c>
      <c r="F146" s="1">
        <v>1920931810000</v>
      </c>
      <c r="G146" s="1" t="s">
        <v>168</v>
      </c>
      <c r="H146" s="1" t="s">
        <v>1330</v>
      </c>
      <c r="I146" s="1" t="s">
        <v>1182</v>
      </c>
      <c r="Q146" s="1" t="s">
        <v>155</v>
      </c>
      <c r="R146" s="1" t="s">
        <v>100</v>
      </c>
      <c r="S146" s="1" t="s">
        <v>168</v>
      </c>
    </row>
    <row r="147" spans="1:19" x14ac:dyDescent="0.25">
      <c r="A147" s="1">
        <v>1920933890000</v>
      </c>
      <c r="B147" s="1" t="s">
        <v>155</v>
      </c>
      <c r="C147" s="1" t="s">
        <v>1265</v>
      </c>
      <c r="D147" s="1">
        <v>15</v>
      </c>
      <c r="E147" s="1" t="s">
        <v>100</v>
      </c>
      <c r="F147" s="1">
        <v>1920933890000</v>
      </c>
      <c r="G147" s="1" t="s">
        <v>169</v>
      </c>
      <c r="H147" s="1" t="s">
        <v>1331</v>
      </c>
      <c r="I147" s="1" t="s">
        <v>1182</v>
      </c>
      <c r="Q147" s="1" t="s">
        <v>155</v>
      </c>
      <c r="R147" s="1" t="s">
        <v>100</v>
      </c>
      <c r="S147" s="1" t="s">
        <v>169</v>
      </c>
    </row>
    <row r="148" spans="1:19" x14ac:dyDescent="0.25">
      <c r="A148" s="1">
        <v>1920934820000</v>
      </c>
      <c r="B148" s="1" t="s">
        <v>155</v>
      </c>
      <c r="C148" s="1" t="s">
        <v>1265</v>
      </c>
      <c r="D148" s="1">
        <v>15</v>
      </c>
      <c r="E148" s="1" t="s">
        <v>100</v>
      </c>
      <c r="F148" s="1">
        <v>1920934820000</v>
      </c>
      <c r="G148" s="1" t="s">
        <v>170</v>
      </c>
      <c r="H148" s="1" t="s">
        <v>1332</v>
      </c>
      <c r="I148" s="1" t="s">
        <v>1182</v>
      </c>
      <c r="Q148" s="1" t="s">
        <v>155</v>
      </c>
      <c r="R148" s="1" t="s">
        <v>100</v>
      </c>
      <c r="S148" s="1" t="s">
        <v>170</v>
      </c>
    </row>
    <row r="149" spans="1:19" x14ac:dyDescent="0.25">
      <c r="A149" s="1">
        <v>1920937180000</v>
      </c>
      <c r="B149" s="1" t="s">
        <v>155</v>
      </c>
      <c r="C149" s="1" t="s">
        <v>1265</v>
      </c>
      <c r="D149" s="1">
        <v>15</v>
      </c>
      <c r="E149" s="1" t="s">
        <v>100</v>
      </c>
      <c r="F149" s="1">
        <v>1920937180000</v>
      </c>
      <c r="G149" s="1" t="s">
        <v>171</v>
      </c>
      <c r="H149" s="1" t="s">
        <v>1333</v>
      </c>
      <c r="I149" s="1" t="s">
        <v>1182</v>
      </c>
      <c r="Q149" s="1" t="s">
        <v>155</v>
      </c>
      <c r="R149" s="1" t="s">
        <v>100</v>
      </c>
      <c r="S149" s="1" t="s">
        <v>171</v>
      </c>
    </row>
    <row r="150" spans="1:19" x14ac:dyDescent="0.25">
      <c r="A150" s="1">
        <v>1920938100000</v>
      </c>
      <c r="B150" s="1" t="s">
        <v>155</v>
      </c>
      <c r="C150" s="1" t="s">
        <v>1265</v>
      </c>
      <c r="D150" s="1">
        <v>15</v>
      </c>
      <c r="E150" s="1" t="s">
        <v>100</v>
      </c>
      <c r="F150" s="1">
        <v>1920938100000</v>
      </c>
      <c r="G150" s="1" t="s">
        <v>172</v>
      </c>
      <c r="H150" s="1" t="s">
        <v>1334</v>
      </c>
      <c r="I150" s="1" t="s">
        <v>1182</v>
      </c>
      <c r="Q150" s="1" t="s">
        <v>155</v>
      </c>
      <c r="R150" s="1" t="s">
        <v>100</v>
      </c>
      <c r="S150" s="1" t="s">
        <v>172</v>
      </c>
    </row>
    <row r="151" spans="1:19" x14ac:dyDescent="0.25">
      <c r="A151" s="1">
        <v>1920933910000</v>
      </c>
      <c r="B151" s="1" t="s">
        <v>155</v>
      </c>
      <c r="C151" s="1" t="s">
        <v>1265</v>
      </c>
      <c r="E151" s="1" t="s">
        <v>100</v>
      </c>
      <c r="F151" s="1">
        <v>1920933910000</v>
      </c>
      <c r="G151" s="1" t="s">
        <v>173</v>
      </c>
      <c r="H151" s="1" t="s">
        <v>1335</v>
      </c>
      <c r="I151" s="1" t="s">
        <v>1182</v>
      </c>
      <c r="Q151" s="1" t="s">
        <v>155</v>
      </c>
      <c r="R151" s="1" t="s">
        <v>100</v>
      </c>
      <c r="S151" s="1" t="s">
        <v>173</v>
      </c>
    </row>
    <row r="152" spans="1:19" x14ac:dyDescent="0.25">
      <c r="A152" s="1">
        <v>1920901960000</v>
      </c>
      <c r="B152" s="1" t="s">
        <v>174</v>
      </c>
      <c r="C152" s="1" t="s">
        <v>1265</v>
      </c>
      <c r="D152" s="1">
        <v>16</v>
      </c>
      <c r="E152" s="1" t="s">
        <v>100</v>
      </c>
      <c r="F152" s="1">
        <v>1920901960000</v>
      </c>
      <c r="G152" s="1" t="s">
        <v>175</v>
      </c>
      <c r="H152" s="1" t="s">
        <v>1336</v>
      </c>
      <c r="I152" s="1" t="s">
        <v>1182</v>
      </c>
      <c r="Q152" s="1" t="s">
        <v>174</v>
      </c>
      <c r="R152" s="1" t="s">
        <v>100</v>
      </c>
      <c r="S152" s="1" t="s">
        <v>175</v>
      </c>
    </row>
    <row r="153" spans="1:19" x14ac:dyDescent="0.25">
      <c r="A153" s="1">
        <v>1920902400000</v>
      </c>
      <c r="B153" s="1" t="s">
        <v>174</v>
      </c>
      <c r="C153" s="1" t="s">
        <v>1265</v>
      </c>
      <c r="D153" s="1">
        <v>16</v>
      </c>
      <c r="E153" s="1" t="s">
        <v>100</v>
      </c>
      <c r="F153" s="1">
        <v>1920902400000</v>
      </c>
      <c r="G153" s="1" t="s">
        <v>176</v>
      </c>
      <c r="H153" s="1" t="s">
        <v>1337</v>
      </c>
      <c r="I153" s="1" t="s">
        <v>1182</v>
      </c>
      <c r="Q153" s="1" t="s">
        <v>174</v>
      </c>
      <c r="R153" s="1" t="s">
        <v>100</v>
      </c>
      <c r="S153" s="1" t="s">
        <v>176</v>
      </c>
    </row>
    <row r="154" spans="1:19" x14ac:dyDescent="0.25">
      <c r="A154" s="1">
        <v>1920902580000</v>
      </c>
      <c r="B154" s="1" t="s">
        <v>174</v>
      </c>
      <c r="C154" s="1" t="s">
        <v>1265</v>
      </c>
      <c r="D154" s="1">
        <v>16</v>
      </c>
      <c r="E154" s="1" t="s">
        <v>100</v>
      </c>
      <c r="F154" s="1">
        <v>1920902580000</v>
      </c>
      <c r="G154" s="1" t="s">
        <v>177</v>
      </c>
      <c r="H154" s="1" t="s">
        <v>1338</v>
      </c>
      <c r="I154" s="1" t="s">
        <v>1182</v>
      </c>
      <c r="Q154" s="1" t="s">
        <v>174</v>
      </c>
      <c r="R154" s="1" t="s">
        <v>100</v>
      </c>
      <c r="S154" s="1" t="s">
        <v>177</v>
      </c>
    </row>
    <row r="155" spans="1:19" x14ac:dyDescent="0.25">
      <c r="A155" s="1">
        <v>1920902700000</v>
      </c>
      <c r="B155" s="1" t="s">
        <v>174</v>
      </c>
      <c r="C155" s="1" t="s">
        <v>1265</v>
      </c>
      <c r="D155" s="1">
        <v>16</v>
      </c>
      <c r="E155" s="1" t="s">
        <v>100</v>
      </c>
      <c r="F155" s="1">
        <v>1920902700000</v>
      </c>
      <c r="G155" s="1" t="s">
        <v>178</v>
      </c>
      <c r="H155" s="1" t="s">
        <v>1339</v>
      </c>
      <c r="I155" s="1" t="s">
        <v>1182</v>
      </c>
      <c r="Q155" s="1" t="s">
        <v>174</v>
      </c>
      <c r="R155" s="1" t="s">
        <v>100</v>
      </c>
      <c r="S155" s="1" t="s">
        <v>178</v>
      </c>
    </row>
    <row r="156" spans="1:19" x14ac:dyDescent="0.25">
      <c r="A156" s="1">
        <v>1920923770000</v>
      </c>
      <c r="B156" s="1" t="s">
        <v>174</v>
      </c>
      <c r="C156" s="1" t="s">
        <v>1265</v>
      </c>
      <c r="D156" s="1">
        <v>16</v>
      </c>
      <c r="E156" s="1" t="s">
        <v>100</v>
      </c>
      <c r="F156" s="1">
        <v>1920923770000</v>
      </c>
      <c r="G156" s="1" t="s">
        <v>179</v>
      </c>
      <c r="H156" s="1" t="s">
        <v>1340</v>
      </c>
      <c r="I156" s="1" t="s">
        <v>1182</v>
      </c>
      <c r="Q156" s="1" t="s">
        <v>174</v>
      </c>
      <c r="R156" s="1" t="s">
        <v>100</v>
      </c>
      <c r="S156" s="1" t="s">
        <v>179</v>
      </c>
    </row>
    <row r="157" spans="1:19" x14ac:dyDescent="0.25">
      <c r="A157" s="1">
        <v>1920923790000</v>
      </c>
      <c r="B157" s="1" t="s">
        <v>174</v>
      </c>
      <c r="C157" s="1" t="s">
        <v>1265</v>
      </c>
      <c r="D157" s="1">
        <v>16</v>
      </c>
      <c r="E157" s="1" t="s">
        <v>100</v>
      </c>
      <c r="F157" s="1">
        <v>1920923790000</v>
      </c>
      <c r="G157" s="1" t="s">
        <v>180</v>
      </c>
      <c r="H157" s="1" t="s">
        <v>1341</v>
      </c>
      <c r="I157" s="1" t="s">
        <v>1182</v>
      </c>
      <c r="Q157" s="1" t="s">
        <v>174</v>
      </c>
      <c r="R157" s="1" t="s">
        <v>100</v>
      </c>
      <c r="S157" s="1" t="s">
        <v>180</v>
      </c>
    </row>
    <row r="158" spans="1:19" x14ac:dyDescent="0.25">
      <c r="A158" s="1">
        <v>1920928770000</v>
      </c>
      <c r="B158" s="1" t="s">
        <v>174</v>
      </c>
      <c r="C158" s="1" t="s">
        <v>1265</v>
      </c>
      <c r="D158" s="1">
        <v>16</v>
      </c>
      <c r="E158" s="1" t="s">
        <v>100</v>
      </c>
      <c r="F158" s="1">
        <v>1920928770000</v>
      </c>
      <c r="G158" s="1" t="s">
        <v>181</v>
      </c>
      <c r="H158" s="1" t="s">
        <v>1342</v>
      </c>
      <c r="I158" s="1" t="s">
        <v>1182</v>
      </c>
      <c r="Q158" s="1" t="s">
        <v>174</v>
      </c>
      <c r="R158" s="1" t="s">
        <v>100</v>
      </c>
      <c r="S158" s="1" t="s">
        <v>181</v>
      </c>
    </row>
    <row r="159" spans="1:19" x14ac:dyDescent="0.25">
      <c r="A159" s="1">
        <v>1920929100000</v>
      </c>
      <c r="B159" s="1" t="s">
        <v>174</v>
      </c>
      <c r="C159" s="1" t="s">
        <v>1265</v>
      </c>
      <c r="D159" s="1">
        <v>16</v>
      </c>
      <c r="E159" s="1" t="s">
        <v>100</v>
      </c>
      <c r="F159" s="1">
        <v>1920929100000</v>
      </c>
      <c r="G159" s="1" t="s">
        <v>182</v>
      </c>
      <c r="H159" s="1" t="s">
        <v>1343</v>
      </c>
      <c r="I159" s="1" t="s">
        <v>1182</v>
      </c>
      <c r="Q159" s="1" t="s">
        <v>174</v>
      </c>
      <c r="R159" s="1" t="s">
        <v>100</v>
      </c>
      <c r="S159" s="1" t="s">
        <v>182</v>
      </c>
    </row>
    <row r="160" spans="1:19" x14ac:dyDescent="0.25">
      <c r="A160" s="1">
        <v>1920931180000</v>
      </c>
      <c r="B160" s="1" t="s">
        <v>174</v>
      </c>
      <c r="C160" s="1" t="s">
        <v>1265</v>
      </c>
      <c r="D160" s="1">
        <v>16</v>
      </c>
      <c r="E160" s="1" t="s">
        <v>100</v>
      </c>
      <c r="F160" s="1">
        <v>1920931180000</v>
      </c>
      <c r="G160" s="1" t="s">
        <v>183</v>
      </c>
      <c r="H160" s="1" t="s">
        <v>1344</v>
      </c>
      <c r="I160" s="1" t="s">
        <v>1182</v>
      </c>
      <c r="Q160" s="1" t="s">
        <v>174</v>
      </c>
      <c r="R160" s="1" t="s">
        <v>100</v>
      </c>
      <c r="S160" s="1" t="s">
        <v>183</v>
      </c>
    </row>
    <row r="161" spans="1:19" x14ac:dyDescent="0.25">
      <c r="A161" s="1">
        <v>1920931190000</v>
      </c>
      <c r="B161" s="1" t="s">
        <v>174</v>
      </c>
      <c r="C161" s="1" t="s">
        <v>1265</v>
      </c>
      <c r="D161" s="1">
        <v>16</v>
      </c>
      <c r="E161" s="1" t="s">
        <v>100</v>
      </c>
      <c r="F161" s="1">
        <v>1920931190000</v>
      </c>
      <c r="G161" s="1" t="s">
        <v>184</v>
      </c>
      <c r="H161" s="1" t="s">
        <v>1345</v>
      </c>
      <c r="I161" s="1" t="s">
        <v>1182</v>
      </c>
      <c r="Q161" s="1" t="s">
        <v>174</v>
      </c>
      <c r="R161" s="1" t="s">
        <v>100</v>
      </c>
      <c r="S161" s="1" t="s">
        <v>184</v>
      </c>
    </row>
    <row r="162" spans="1:19" x14ac:dyDescent="0.25">
      <c r="A162" s="1">
        <v>1920931200000</v>
      </c>
      <c r="B162" s="1" t="s">
        <v>174</v>
      </c>
      <c r="C162" s="1" t="s">
        <v>1265</v>
      </c>
      <c r="D162" s="1">
        <v>16</v>
      </c>
      <c r="E162" s="1" t="s">
        <v>100</v>
      </c>
      <c r="F162" s="1">
        <v>1920931200000</v>
      </c>
      <c r="G162" s="1" t="s">
        <v>185</v>
      </c>
      <c r="H162" s="1" t="s">
        <v>1346</v>
      </c>
      <c r="I162" s="1" t="s">
        <v>1182</v>
      </c>
      <c r="Q162" s="1" t="s">
        <v>174</v>
      </c>
      <c r="R162" s="1" t="s">
        <v>100</v>
      </c>
      <c r="S162" s="1" t="s">
        <v>185</v>
      </c>
    </row>
    <row r="163" spans="1:19" x14ac:dyDescent="0.25">
      <c r="A163" s="1">
        <v>1920931820000</v>
      </c>
      <c r="B163" s="1" t="s">
        <v>174</v>
      </c>
      <c r="C163" s="1" t="s">
        <v>1265</v>
      </c>
      <c r="D163" s="1">
        <v>16</v>
      </c>
      <c r="E163" s="1" t="s">
        <v>100</v>
      </c>
      <c r="F163" s="1">
        <v>1920931820000</v>
      </c>
      <c r="G163" s="1" t="s">
        <v>186</v>
      </c>
      <c r="H163" s="1" t="s">
        <v>1347</v>
      </c>
      <c r="I163" s="1" t="s">
        <v>1182</v>
      </c>
      <c r="Q163" s="1" t="s">
        <v>174</v>
      </c>
      <c r="R163" s="1" t="s">
        <v>100</v>
      </c>
      <c r="S163" s="1" t="s">
        <v>186</v>
      </c>
    </row>
    <row r="164" spans="1:19" x14ac:dyDescent="0.25">
      <c r="A164" s="1">
        <v>1920932920000</v>
      </c>
      <c r="B164" s="1" t="s">
        <v>174</v>
      </c>
      <c r="C164" s="1" t="s">
        <v>1265</v>
      </c>
      <c r="D164" s="1">
        <v>16</v>
      </c>
      <c r="E164" s="1" t="s">
        <v>100</v>
      </c>
      <c r="F164" s="1">
        <v>1920932920000</v>
      </c>
      <c r="G164" s="1" t="s">
        <v>187</v>
      </c>
      <c r="H164" s="1" t="s">
        <v>1348</v>
      </c>
      <c r="I164" s="1" t="s">
        <v>1182</v>
      </c>
      <c r="Q164" s="1" t="s">
        <v>174</v>
      </c>
      <c r="R164" s="1" t="s">
        <v>100</v>
      </c>
      <c r="S164" s="1" t="s">
        <v>187</v>
      </c>
    </row>
    <row r="165" spans="1:19" x14ac:dyDescent="0.25">
      <c r="A165" s="1">
        <v>1920934670000</v>
      </c>
      <c r="B165" s="1" t="s">
        <v>174</v>
      </c>
      <c r="C165" s="1" t="s">
        <v>1265</v>
      </c>
      <c r="D165" s="1">
        <v>16</v>
      </c>
      <c r="E165" s="1" t="s">
        <v>100</v>
      </c>
      <c r="F165" s="1">
        <v>1920934670000</v>
      </c>
      <c r="G165" s="1" t="s">
        <v>188</v>
      </c>
      <c r="H165" s="1" t="s">
        <v>1349</v>
      </c>
      <c r="I165" s="1" t="s">
        <v>1182</v>
      </c>
      <c r="Q165" s="1" t="s">
        <v>174</v>
      </c>
      <c r="R165" s="1" t="s">
        <v>100</v>
      </c>
      <c r="S165" s="1" t="s">
        <v>188</v>
      </c>
    </row>
    <row r="166" spans="1:19" x14ac:dyDescent="0.25">
      <c r="A166" s="1">
        <v>1920936390000</v>
      </c>
      <c r="B166" s="1" t="s">
        <v>174</v>
      </c>
      <c r="C166" s="1" t="s">
        <v>1265</v>
      </c>
      <c r="D166" s="1">
        <v>16</v>
      </c>
      <c r="E166" s="1" t="s">
        <v>100</v>
      </c>
      <c r="F166" s="1">
        <v>1920936390000</v>
      </c>
      <c r="G166" s="1" t="s">
        <v>189</v>
      </c>
      <c r="H166" s="1" t="s">
        <v>1350</v>
      </c>
      <c r="I166" s="1" t="s">
        <v>1182</v>
      </c>
      <c r="Q166" s="1" t="s">
        <v>174</v>
      </c>
      <c r="R166" s="1" t="s">
        <v>100</v>
      </c>
      <c r="S166" s="1" t="s">
        <v>189</v>
      </c>
    </row>
    <row r="167" spans="1:19" x14ac:dyDescent="0.25">
      <c r="A167" s="1">
        <v>1920937460000</v>
      </c>
      <c r="B167" s="1" t="s">
        <v>174</v>
      </c>
      <c r="C167" s="1" t="s">
        <v>1265</v>
      </c>
      <c r="D167" s="1">
        <v>16</v>
      </c>
      <c r="E167" s="1" t="s">
        <v>100</v>
      </c>
      <c r="F167" s="1">
        <v>1920937460000</v>
      </c>
      <c r="G167" s="1" t="s">
        <v>190</v>
      </c>
      <c r="H167" s="1" t="s">
        <v>1351</v>
      </c>
      <c r="I167" s="1" t="s">
        <v>1182</v>
      </c>
      <c r="Q167" s="1" t="s">
        <v>174</v>
      </c>
      <c r="R167" s="1" t="s">
        <v>100</v>
      </c>
      <c r="S167" s="1" t="s">
        <v>190</v>
      </c>
    </row>
    <row r="168" spans="1:19" x14ac:dyDescent="0.25">
      <c r="A168" s="1">
        <v>1920924570000</v>
      </c>
      <c r="B168" s="1" t="s">
        <v>174</v>
      </c>
      <c r="C168" s="1" t="s">
        <v>1265</v>
      </c>
      <c r="E168" s="1" t="s">
        <v>100</v>
      </c>
      <c r="F168" s="1">
        <v>1920924570000</v>
      </c>
      <c r="G168" s="1" t="s">
        <v>191</v>
      </c>
      <c r="H168" s="1" t="s">
        <v>1352</v>
      </c>
      <c r="I168" s="1" t="s">
        <v>1182</v>
      </c>
      <c r="Q168" s="1" t="s">
        <v>174</v>
      </c>
      <c r="R168" s="1" t="s">
        <v>100</v>
      </c>
      <c r="S168" s="1" t="s">
        <v>191</v>
      </c>
    </row>
    <row r="169" spans="1:19" x14ac:dyDescent="0.25">
      <c r="A169" s="1">
        <v>1920901240000</v>
      </c>
      <c r="B169" s="1" t="s">
        <v>192</v>
      </c>
      <c r="C169" s="1" t="s">
        <v>1265</v>
      </c>
      <c r="D169" s="1">
        <v>1</v>
      </c>
      <c r="E169" s="1" t="s">
        <v>147</v>
      </c>
      <c r="F169" s="1">
        <v>1920901240000</v>
      </c>
      <c r="G169" s="1" t="s">
        <v>193</v>
      </c>
      <c r="H169" s="1" t="s">
        <v>1353</v>
      </c>
      <c r="I169" s="1" t="s">
        <v>1182</v>
      </c>
      <c r="Q169" s="1" t="s">
        <v>192</v>
      </c>
      <c r="R169" s="1" t="s">
        <v>147</v>
      </c>
      <c r="S169" s="1" t="s">
        <v>193</v>
      </c>
    </row>
    <row r="170" spans="1:19" x14ac:dyDescent="0.25">
      <c r="A170" s="1">
        <v>1920901250000</v>
      </c>
      <c r="B170" s="1" t="s">
        <v>192</v>
      </c>
      <c r="C170" s="1" t="s">
        <v>1265</v>
      </c>
      <c r="D170" s="1">
        <v>1</v>
      </c>
      <c r="E170" s="1" t="s">
        <v>147</v>
      </c>
      <c r="F170" s="1">
        <v>1920901250000</v>
      </c>
      <c r="G170" s="1" t="s">
        <v>194</v>
      </c>
      <c r="H170" s="1" t="s">
        <v>1354</v>
      </c>
      <c r="I170" s="1" t="s">
        <v>1182</v>
      </c>
      <c r="Q170" s="1" t="s">
        <v>192</v>
      </c>
      <c r="R170" s="1" t="s">
        <v>147</v>
      </c>
      <c r="S170" s="1" t="s">
        <v>194</v>
      </c>
    </row>
    <row r="171" spans="1:19" x14ac:dyDescent="0.25">
      <c r="A171" s="1">
        <v>1920901260000</v>
      </c>
      <c r="B171" s="1" t="s">
        <v>192</v>
      </c>
      <c r="C171" s="1" t="s">
        <v>1265</v>
      </c>
      <c r="D171" s="1">
        <v>1</v>
      </c>
      <c r="E171" s="1" t="s">
        <v>147</v>
      </c>
      <c r="F171" s="1">
        <v>1920901260000</v>
      </c>
      <c r="G171" s="1" t="s">
        <v>195</v>
      </c>
      <c r="H171" s="1" t="s">
        <v>1355</v>
      </c>
      <c r="I171" s="1" t="s">
        <v>1182</v>
      </c>
      <c r="Q171" s="1" t="s">
        <v>192</v>
      </c>
      <c r="R171" s="1" t="s">
        <v>147</v>
      </c>
      <c r="S171" s="1" t="s">
        <v>195</v>
      </c>
    </row>
    <row r="172" spans="1:19" x14ac:dyDescent="0.25">
      <c r="A172" s="1">
        <v>1920901340000</v>
      </c>
      <c r="B172" s="1" t="s">
        <v>192</v>
      </c>
      <c r="C172" s="1" t="s">
        <v>1265</v>
      </c>
      <c r="D172" s="1">
        <v>1</v>
      </c>
      <c r="E172" s="1" t="s">
        <v>147</v>
      </c>
      <c r="F172" s="1">
        <v>1920901340000</v>
      </c>
      <c r="G172" s="1" t="s">
        <v>196</v>
      </c>
      <c r="H172" s="1" t="s">
        <v>1356</v>
      </c>
      <c r="I172" s="1" t="s">
        <v>1182</v>
      </c>
      <c r="Q172" s="1" t="s">
        <v>192</v>
      </c>
      <c r="R172" s="1" t="s">
        <v>147</v>
      </c>
      <c r="S172" s="1" t="s">
        <v>196</v>
      </c>
    </row>
    <row r="173" spans="1:19" x14ac:dyDescent="0.25">
      <c r="A173" s="1">
        <v>1920901560000</v>
      </c>
      <c r="B173" s="1" t="s">
        <v>192</v>
      </c>
      <c r="C173" s="1" t="s">
        <v>1265</v>
      </c>
      <c r="D173" s="1">
        <v>1</v>
      </c>
      <c r="E173" s="1" t="s">
        <v>147</v>
      </c>
      <c r="F173" s="1">
        <v>1920901560000</v>
      </c>
      <c r="G173" s="1" t="s">
        <v>197</v>
      </c>
      <c r="H173" s="1" t="s">
        <v>1357</v>
      </c>
      <c r="I173" s="1" t="s">
        <v>1182</v>
      </c>
      <c r="Q173" s="1" t="s">
        <v>192</v>
      </c>
      <c r="R173" s="1" t="s">
        <v>147</v>
      </c>
      <c r="S173" s="1" t="s">
        <v>197</v>
      </c>
    </row>
    <row r="174" spans="1:19" x14ac:dyDescent="0.25">
      <c r="A174" s="1">
        <v>1920901900000</v>
      </c>
      <c r="B174" s="1" t="s">
        <v>192</v>
      </c>
      <c r="C174" s="1" t="s">
        <v>1265</v>
      </c>
      <c r="D174" s="1">
        <v>1</v>
      </c>
      <c r="E174" s="1" t="s">
        <v>147</v>
      </c>
      <c r="F174" s="1">
        <v>1920901900000</v>
      </c>
      <c r="G174" s="1" t="s">
        <v>198</v>
      </c>
      <c r="H174" s="1" t="s">
        <v>1358</v>
      </c>
      <c r="I174" s="1" t="s">
        <v>1182</v>
      </c>
      <c r="Q174" s="1" t="s">
        <v>192</v>
      </c>
      <c r="R174" s="1" t="s">
        <v>147</v>
      </c>
      <c r="S174" s="1" t="s">
        <v>198</v>
      </c>
    </row>
    <row r="175" spans="1:19" x14ac:dyDescent="0.25">
      <c r="A175" s="1">
        <v>1920901930000</v>
      </c>
      <c r="B175" s="1" t="s">
        <v>192</v>
      </c>
      <c r="C175" s="1" t="s">
        <v>1265</v>
      </c>
      <c r="D175" s="1">
        <v>1</v>
      </c>
      <c r="E175" s="1" t="s">
        <v>147</v>
      </c>
      <c r="F175" s="1">
        <v>1920901930000</v>
      </c>
      <c r="G175" s="1" t="s">
        <v>199</v>
      </c>
      <c r="H175" s="1" t="s">
        <v>1359</v>
      </c>
      <c r="I175" s="1" t="s">
        <v>1182</v>
      </c>
      <c r="Q175" s="1" t="s">
        <v>192</v>
      </c>
      <c r="R175" s="1" t="s">
        <v>147</v>
      </c>
      <c r="S175" s="1" t="s">
        <v>199</v>
      </c>
    </row>
    <row r="176" spans="1:19" x14ac:dyDescent="0.25">
      <c r="A176" s="1">
        <v>1920901940000</v>
      </c>
      <c r="B176" s="1" t="s">
        <v>192</v>
      </c>
      <c r="C176" s="1" t="s">
        <v>1265</v>
      </c>
      <c r="D176" s="1">
        <v>1</v>
      </c>
      <c r="E176" s="1" t="s">
        <v>147</v>
      </c>
      <c r="F176" s="1">
        <v>1920901940000</v>
      </c>
      <c r="G176" s="1" t="s">
        <v>200</v>
      </c>
      <c r="H176" s="1" t="s">
        <v>1360</v>
      </c>
      <c r="I176" s="1" t="s">
        <v>1182</v>
      </c>
      <c r="Q176" s="1" t="s">
        <v>192</v>
      </c>
      <c r="R176" s="1" t="s">
        <v>147</v>
      </c>
      <c r="S176" s="1" t="s">
        <v>200</v>
      </c>
    </row>
    <row r="177" spans="1:19" x14ac:dyDescent="0.25">
      <c r="A177" s="1">
        <v>1920902060000</v>
      </c>
      <c r="B177" s="1" t="s">
        <v>192</v>
      </c>
      <c r="C177" s="1" t="s">
        <v>1265</v>
      </c>
      <c r="D177" s="1">
        <v>1</v>
      </c>
      <c r="E177" s="1" t="s">
        <v>147</v>
      </c>
      <c r="F177" s="1">
        <v>1920902060000</v>
      </c>
      <c r="G177" s="1" t="s">
        <v>201</v>
      </c>
      <c r="H177" s="1" t="s">
        <v>1361</v>
      </c>
      <c r="I177" s="1" t="s">
        <v>1182</v>
      </c>
      <c r="Q177" s="1" t="s">
        <v>192</v>
      </c>
      <c r="R177" s="1" t="s">
        <v>147</v>
      </c>
      <c r="S177" s="1" t="s">
        <v>201</v>
      </c>
    </row>
    <row r="178" spans="1:19" x14ac:dyDescent="0.25">
      <c r="A178" s="1">
        <v>1920902120000</v>
      </c>
      <c r="B178" s="1" t="s">
        <v>192</v>
      </c>
      <c r="C178" s="1" t="s">
        <v>1265</v>
      </c>
      <c r="D178" s="1">
        <v>1</v>
      </c>
      <c r="E178" s="1" t="s">
        <v>147</v>
      </c>
      <c r="F178" s="1">
        <v>1920902120000</v>
      </c>
      <c r="G178" s="1" t="s">
        <v>202</v>
      </c>
      <c r="H178" s="1" t="s">
        <v>1362</v>
      </c>
      <c r="I178" s="1" t="s">
        <v>1182</v>
      </c>
      <c r="Q178" s="1" t="s">
        <v>192</v>
      </c>
      <c r="R178" s="1" t="s">
        <v>147</v>
      </c>
      <c r="S178" s="1" t="s">
        <v>202</v>
      </c>
    </row>
    <row r="179" spans="1:19" x14ac:dyDescent="0.25">
      <c r="A179" s="1">
        <v>1920902290000</v>
      </c>
      <c r="B179" s="1" t="s">
        <v>192</v>
      </c>
      <c r="C179" s="1" t="s">
        <v>1265</v>
      </c>
      <c r="D179" s="1">
        <v>1</v>
      </c>
      <c r="E179" s="1" t="s">
        <v>147</v>
      </c>
      <c r="F179" s="1">
        <v>1920902290000</v>
      </c>
      <c r="G179" s="1" t="s">
        <v>203</v>
      </c>
      <c r="H179" s="1" t="s">
        <v>1363</v>
      </c>
      <c r="I179" s="1" t="s">
        <v>1182</v>
      </c>
      <c r="Q179" s="1" t="s">
        <v>192</v>
      </c>
      <c r="R179" s="1" t="s">
        <v>147</v>
      </c>
      <c r="S179" s="1" t="s">
        <v>203</v>
      </c>
    </row>
    <row r="180" spans="1:19" x14ac:dyDescent="0.25">
      <c r="A180" s="1">
        <v>1920902340000</v>
      </c>
      <c r="B180" s="1" t="s">
        <v>192</v>
      </c>
      <c r="C180" s="1" t="s">
        <v>1265</v>
      </c>
      <c r="D180" s="1">
        <v>1</v>
      </c>
      <c r="E180" s="1" t="s">
        <v>147</v>
      </c>
      <c r="F180" s="1">
        <v>1920902340000</v>
      </c>
      <c r="G180" s="1" t="s">
        <v>204</v>
      </c>
      <c r="H180" s="1" t="s">
        <v>1364</v>
      </c>
      <c r="I180" s="1" t="s">
        <v>1182</v>
      </c>
      <c r="Q180" s="1" t="s">
        <v>192</v>
      </c>
      <c r="R180" s="1" t="s">
        <v>147</v>
      </c>
      <c r="S180" s="1" t="s">
        <v>204</v>
      </c>
    </row>
    <row r="181" spans="1:19" x14ac:dyDescent="0.25">
      <c r="A181" s="1">
        <v>1920924580000</v>
      </c>
      <c r="B181" s="1" t="s">
        <v>192</v>
      </c>
      <c r="C181" s="1" t="s">
        <v>1265</v>
      </c>
      <c r="D181" s="1">
        <v>1</v>
      </c>
      <c r="E181" s="1" t="s">
        <v>147</v>
      </c>
      <c r="F181" s="1">
        <v>1920924580000</v>
      </c>
      <c r="G181" s="1" t="s">
        <v>205</v>
      </c>
      <c r="H181" s="1" t="s">
        <v>1365</v>
      </c>
      <c r="I181" s="1" t="s">
        <v>1182</v>
      </c>
      <c r="Q181" s="1" t="s">
        <v>192</v>
      </c>
      <c r="R181" s="1" t="s">
        <v>147</v>
      </c>
      <c r="S181" s="1" t="s">
        <v>205</v>
      </c>
    </row>
    <row r="182" spans="1:19" x14ac:dyDescent="0.25">
      <c r="A182" s="1">
        <v>1920929680000</v>
      </c>
      <c r="B182" s="1" t="s">
        <v>192</v>
      </c>
      <c r="C182" s="1" t="s">
        <v>1265</v>
      </c>
      <c r="D182" s="1">
        <v>1</v>
      </c>
      <c r="E182" s="1" t="s">
        <v>147</v>
      </c>
      <c r="F182" s="1">
        <v>1920929680000</v>
      </c>
      <c r="G182" s="1" t="s">
        <v>206</v>
      </c>
      <c r="H182" s="1" t="s">
        <v>1366</v>
      </c>
      <c r="I182" s="1" t="s">
        <v>1182</v>
      </c>
      <c r="Q182" s="1" t="s">
        <v>192</v>
      </c>
      <c r="R182" s="1" t="s">
        <v>147</v>
      </c>
      <c r="S182" s="1" t="s">
        <v>206</v>
      </c>
    </row>
    <row r="183" spans="1:19" x14ac:dyDescent="0.25">
      <c r="A183" s="1">
        <v>1920929840000</v>
      </c>
      <c r="B183" s="1" t="s">
        <v>192</v>
      </c>
      <c r="C183" s="1" t="s">
        <v>1265</v>
      </c>
      <c r="D183" s="1">
        <v>1</v>
      </c>
      <c r="E183" s="1" t="s">
        <v>147</v>
      </c>
      <c r="F183" s="1">
        <v>1920929840000</v>
      </c>
      <c r="G183" s="1" t="s">
        <v>207</v>
      </c>
      <c r="H183" s="1" t="s">
        <v>1367</v>
      </c>
      <c r="I183" s="1" t="s">
        <v>1182</v>
      </c>
      <c r="Q183" s="1" t="s">
        <v>192</v>
      </c>
      <c r="R183" s="1" t="s">
        <v>147</v>
      </c>
      <c r="S183" s="1" t="s">
        <v>207</v>
      </c>
    </row>
    <row r="184" spans="1:19" x14ac:dyDescent="0.25">
      <c r="A184" s="1">
        <v>1920930120000</v>
      </c>
      <c r="B184" s="1" t="s">
        <v>192</v>
      </c>
      <c r="C184" s="1" t="s">
        <v>1265</v>
      </c>
      <c r="D184" s="1">
        <v>1</v>
      </c>
      <c r="E184" s="1" t="s">
        <v>147</v>
      </c>
      <c r="F184" s="1">
        <v>1920930120000</v>
      </c>
      <c r="G184" s="1" t="s">
        <v>208</v>
      </c>
      <c r="H184" s="1" t="s">
        <v>1368</v>
      </c>
      <c r="I184" s="1" t="s">
        <v>1182</v>
      </c>
      <c r="Q184" s="1" t="s">
        <v>192</v>
      </c>
      <c r="R184" s="1" t="s">
        <v>147</v>
      </c>
      <c r="S184" s="1" t="s">
        <v>208</v>
      </c>
    </row>
    <row r="185" spans="1:19" x14ac:dyDescent="0.25">
      <c r="A185" s="1">
        <v>1920930950000</v>
      </c>
      <c r="B185" s="1" t="s">
        <v>192</v>
      </c>
      <c r="C185" s="1" t="s">
        <v>1265</v>
      </c>
      <c r="D185" s="1">
        <v>1</v>
      </c>
      <c r="E185" s="1" t="s">
        <v>147</v>
      </c>
      <c r="F185" s="1">
        <v>1920930950000</v>
      </c>
      <c r="G185" s="1" t="s">
        <v>209</v>
      </c>
      <c r="H185" s="1" t="s">
        <v>1369</v>
      </c>
      <c r="I185" s="1" t="s">
        <v>1182</v>
      </c>
      <c r="Q185" s="1" t="s">
        <v>192</v>
      </c>
      <c r="R185" s="1" t="s">
        <v>147</v>
      </c>
      <c r="S185" s="1" t="s">
        <v>209</v>
      </c>
    </row>
    <row r="186" spans="1:19" x14ac:dyDescent="0.25">
      <c r="A186" s="1">
        <v>1920931040000</v>
      </c>
      <c r="B186" s="1" t="s">
        <v>192</v>
      </c>
      <c r="C186" s="1" t="s">
        <v>1265</v>
      </c>
      <c r="D186" s="1">
        <v>1</v>
      </c>
      <c r="E186" s="1" t="s">
        <v>147</v>
      </c>
      <c r="F186" s="1">
        <v>1920931040000</v>
      </c>
      <c r="G186" s="1" t="s">
        <v>210</v>
      </c>
      <c r="H186" s="1" t="s">
        <v>1370</v>
      </c>
      <c r="I186" s="1" t="s">
        <v>1182</v>
      </c>
      <c r="Q186" s="1" t="s">
        <v>192</v>
      </c>
      <c r="R186" s="1" t="s">
        <v>147</v>
      </c>
      <c r="S186" s="1" t="s">
        <v>210</v>
      </c>
    </row>
    <row r="187" spans="1:19" x14ac:dyDescent="0.25">
      <c r="A187" s="1">
        <v>1920936560000</v>
      </c>
      <c r="B187" s="1" t="s">
        <v>192</v>
      </c>
      <c r="C187" s="1" t="s">
        <v>1265</v>
      </c>
      <c r="D187" s="1">
        <v>1</v>
      </c>
      <c r="E187" s="1" t="s">
        <v>147</v>
      </c>
      <c r="F187" s="1">
        <v>1920936560000</v>
      </c>
      <c r="G187" s="1" t="s">
        <v>211</v>
      </c>
      <c r="H187" s="1" t="s">
        <v>1371</v>
      </c>
      <c r="I187" s="1" t="s">
        <v>1182</v>
      </c>
      <c r="Q187" s="1" t="s">
        <v>192</v>
      </c>
      <c r="R187" s="1" t="s">
        <v>147</v>
      </c>
      <c r="S187" s="1" t="s">
        <v>211</v>
      </c>
    </row>
    <row r="188" spans="1:19" x14ac:dyDescent="0.25">
      <c r="A188" s="1">
        <v>1920937730000</v>
      </c>
      <c r="B188" s="1" t="s">
        <v>192</v>
      </c>
      <c r="C188" s="1" t="s">
        <v>1265</v>
      </c>
      <c r="D188" s="1">
        <v>1</v>
      </c>
      <c r="E188" s="1" t="s">
        <v>147</v>
      </c>
      <c r="F188" s="1">
        <v>1920937730000</v>
      </c>
      <c r="G188" s="1" t="s">
        <v>212</v>
      </c>
      <c r="H188" s="1" t="s">
        <v>1372</v>
      </c>
      <c r="I188" s="1" t="s">
        <v>1182</v>
      </c>
      <c r="Q188" s="1" t="s">
        <v>192</v>
      </c>
      <c r="R188" s="1" t="s">
        <v>147</v>
      </c>
      <c r="S188" s="1" t="s">
        <v>212</v>
      </c>
    </row>
    <row r="189" spans="1:19" x14ac:dyDescent="0.25">
      <c r="A189" s="1">
        <v>1920932270000</v>
      </c>
      <c r="B189" s="1" t="s">
        <v>192</v>
      </c>
      <c r="C189" s="1" t="s">
        <v>1265</v>
      </c>
      <c r="E189" s="1" t="s">
        <v>147</v>
      </c>
      <c r="F189" s="1">
        <v>1920932270000</v>
      </c>
      <c r="G189" s="1" t="s">
        <v>213</v>
      </c>
      <c r="H189" s="1" t="s">
        <v>1373</v>
      </c>
      <c r="I189" s="1" t="s">
        <v>1182</v>
      </c>
      <c r="Q189" s="1" t="s">
        <v>192</v>
      </c>
      <c r="R189" s="1" t="s">
        <v>147</v>
      </c>
      <c r="S189" s="1" t="s">
        <v>213</v>
      </c>
    </row>
    <row r="190" spans="1:19" x14ac:dyDescent="0.25">
      <c r="A190" s="1">
        <v>1920901950000</v>
      </c>
      <c r="B190" s="1" t="s">
        <v>192</v>
      </c>
      <c r="C190" s="1" t="s">
        <v>1265</v>
      </c>
      <c r="D190" s="1">
        <v>1</v>
      </c>
      <c r="E190" s="1" t="s">
        <v>214</v>
      </c>
      <c r="F190" s="1">
        <v>1920901950000</v>
      </c>
      <c r="G190" s="1" t="s">
        <v>215</v>
      </c>
      <c r="H190" s="1" t="s">
        <v>1374</v>
      </c>
      <c r="I190" s="1" t="s">
        <v>1182</v>
      </c>
      <c r="Q190" s="1" t="s">
        <v>192</v>
      </c>
      <c r="R190" s="1" t="s">
        <v>214</v>
      </c>
      <c r="S190" s="1" t="s">
        <v>215</v>
      </c>
    </row>
    <row r="191" spans="1:19" x14ac:dyDescent="0.25">
      <c r="A191" s="1">
        <v>1920923820000</v>
      </c>
      <c r="B191" s="1" t="s">
        <v>192</v>
      </c>
      <c r="C191" s="1" t="s">
        <v>1265</v>
      </c>
      <c r="D191" s="1">
        <v>1</v>
      </c>
      <c r="E191" s="1" t="s">
        <v>214</v>
      </c>
      <c r="F191" s="1">
        <v>1920923820000</v>
      </c>
      <c r="G191" s="1" t="s">
        <v>216</v>
      </c>
      <c r="H191" s="1" t="s">
        <v>1375</v>
      </c>
      <c r="I191" s="1" t="s">
        <v>1182</v>
      </c>
      <c r="Q191" s="1" t="s">
        <v>192</v>
      </c>
      <c r="R191" s="1" t="s">
        <v>214</v>
      </c>
      <c r="S191" s="1" t="s">
        <v>216</v>
      </c>
    </row>
    <row r="192" spans="1:19" x14ac:dyDescent="0.25">
      <c r="A192" s="1">
        <v>1920933350000</v>
      </c>
      <c r="B192" s="1" t="s">
        <v>192</v>
      </c>
      <c r="C192" s="1" t="s">
        <v>1265</v>
      </c>
      <c r="D192" s="1">
        <v>1</v>
      </c>
      <c r="E192" s="1" t="s">
        <v>214</v>
      </c>
      <c r="F192" s="1">
        <v>1920933350000</v>
      </c>
      <c r="G192" s="1" t="s">
        <v>217</v>
      </c>
      <c r="H192" s="1" t="s">
        <v>1376</v>
      </c>
      <c r="I192" s="1" t="s">
        <v>1182</v>
      </c>
      <c r="Q192" s="1" t="s">
        <v>192</v>
      </c>
      <c r="R192" s="1" t="s">
        <v>214</v>
      </c>
      <c r="S192" s="1" t="s">
        <v>217</v>
      </c>
    </row>
    <row r="193" spans="1:19" x14ac:dyDescent="0.25">
      <c r="A193" s="1">
        <v>1920927740001</v>
      </c>
      <c r="B193" s="1" t="s">
        <v>218</v>
      </c>
      <c r="C193" s="1" t="s">
        <v>1265</v>
      </c>
      <c r="D193" s="1">
        <v>11</v>
      </c>
      <c r="E193" s="1" t="s">
        <v>147</v>
      </c>
      <c r="F193" s="1">
        <v>1920927740001</v>
      </c>
      <c r="G193" s="1" t="s">
        <v>219</v>
      </c>
      <c r="H193" s="1" t="s">
        <v>1377</v>
      </c>
      <c r="I193" s="1" t="s">
        <v>1182</v>
      </c>
      <c r="Q193" s="1" t="s">
        <v>218</v>
      </c>
      <c r="R193" s="1" t="s">
        <v>147</v>
      </c>
      <c r="S193" s="1" t="s">
        <v>219</v>
      </c>
    </row>
    <row r="194" spans="1:19" x14ac:dyDescent="0.25">
      <c r="A194" s="1">
        <v>1920930830000</v>
      </c>
      <c r="B194" s="1" t="s">
        <v>218</v>
      </c>
      <c r="C194" s="1" t="s">
        <v>1265</v>
      </c>
      <c r="D194" s="1">
        <v>11</v>
      </c>
      <c r="E194" s="1" t="s">
        <v>147</v>
      </c>
      <c r="F194" s="1">
        <v>1920930830000</v>
      </c>
      <c r="G194" s="1" t="s">
        <v>220</v>
      </c>
      <c r="H194" s="1" t="s">
        <v>1378</v>
      </c>
      <c r="I194" s="1" t="s">
        <v>1182</v>
      </c>
      <c r="Q194" s="1" t="s">
        <v>218</v>
      </c>
      <c r="R194" s="1" t="s">
        <v>147</v>
      </c>
      <c r="S194" s="1" t="s">
        <v>220</v>
      </c>
    </row>
    <row r="195" spans="1:19" x14ac:dyDescent="0.25">
      <c r="A195" s="1">
        <v>1920930840000</v>
      </c>
      <c r="B195" s="1" t="s">
        <v>218</v>
      </c>
      <c r="C195" s="1" t="s">
        <v>1265</v>
      </c>
      <c r="D195" s="1">
        <v>11</v>
      </c>
      <c r="E195" s="1" t="s">
        <v>147</v>
      </c>
      <c r="F195" s="1">
        <v>1920930840000</v>
      </c>
      <c r="G195" s="1" t="s">
        <v>221</v>
      </c>
      <c r="H195" s="1" t="s">
        <v>1379</v>
      </c>
      <c r="I195" s="1" t="s">
        <v>1182</v>
      </c>
      <c r="Q195" s="1" t="s">
        <v>218</v>
      </c>
      <c r="R195" s="1" t="s">
        <v>147</v>
      </c>
      <c r="S195" s="1" t="s">
        <v>221</v>
      </c>
    </row>
    <row r="196" spans="1:19" x14ac:dyDescent="0.25">
      <c r="A196" s="1">
        <v>1920931800000</v>
      </c>
      <c r="B196" s="1" t="s">
        <v>218</v>
      </c>
      <c r="C196" s="1" t="s">
        <v>1265</v>
      </c>
      <c r="D196" s="1">
        <v>11</v>
      </c>
      <c r="E196" s="1" t="s">
        <v>147</v>
      </c>
      <c r="F196" s="1">
        <v>1920931800000</v>
      </c>
      <c r="G196" s="1" t="s">
        <v>222</v>
      </c>
      <c r="H196" s="1" t="s">
        <v>1380</v>
      </c>
      <c r="I196" s="1" t="s">
        <v>1182</v>
      </c>
      <c r="Q196" s="1" t="s">
        <v>218</v>
      </c>
      <c r="R196" s="1" t="s">
        <v>147</v>
      </c>
      <c r="S196" s="1" t="s">
        <v>222</v>
      </c>
    </row>
    <row r="197" spans="1:19" x14ac:dyDescent="0.25">
      <c r="A197" s="1">
        <v>1920932190000</v>
      </c>
      <c r="B197" s="1" t="s">
        <v>218</v>
      </c>
      <c r="C197" s="1" t="s">
        <v>1265</v>
      </c>
      <c r="D197" s="1">
        <v>11</v>
      </c>
      <c r="E197" s="1" t="s">
        <v>147</v>
      </c>
      <c r="F197" s="1">
        <v>1920932190000</v>
      </c>
      <c r="G197" s="1" t="s">
        <v>223</v>
      </c>
      <c r="H197" s="1" t="s">
        <v>1381</v>
      </c>
      <c r="I197" s="1" t="s">
        <v>1182</v>
      </c>
      <c r="Q197" s="1" t="s">
        <v>218</v>
      </c>
      <c r="R197" s="1" t="s">
        <v>147</v>
      </c>
      <c r="S197" s="1" t="s">
        <v>223</v>
      </c>
    </row>
    <row r="198" spans="1:19" x14ac:dyDescent="0.25">
      <c r="A198" s="1">
        <v>1920937580000</v>
      </c>
      <c r="B198" s="1" t="s">
        <v>218</v>
      </c>
      <c r="C198" s="1" t="s">
        <v>1265</v>
      </c>
      <c r="D198" s="1">
        <v>11</v>
      </c>
      <c r="E198" s="1" t="s">
        <v>147</v>
      </c>
      <c r="F198" s="1">
        <v>1920937580000</v>
      </c>
      <c r="G198" s="1" t="s">
        <v>224</v>
      </c>
      <c r="H198" s="1" t="s">
        <v>1382</v>
      </c>
      <c r="I198" s="1" t="s">
        <v>1182</v>
      </c>
      <c r="Q198" s="1" t="s">
        <v>218</v>
      </c>
      <c r="R198" s="1" t="s">
        <v>147</v>
      </c>
      <c r="S198" s="1" t="s">
        <v>224</v>
      </c>
    </row>
    <row r="199" spans="1:19" x14ac:dyDescent="0.25">
      <c r="A199" s="1">
        <v>1920937360000</v>
      </c>
      <c r="B199" s="1" t="s">
        <v>218</v>
      </c>
      <c r="C199" s="1" t="s">
        <v>1265</v>
      </c>
      <c r="E199" s="1" t="s">
        <v>147</v>
      </c>
      <c r="F199" s="1">
        <v>1920937360000</v>
      </c>
      <c r="G199" s="1" t="s">
        <v>225</v>
      </c>
      <c r="H199" s="1" t="s">
        <v>1383</v>
      </c>
      <c r="I199" s="1" t="s">
        <v>1182</v>
      </c>
      <c r="Q199" s="1" t="s">
        <v>218</v>
      </c>
      <c r="R199" s="1" t="s">
        <v>147</v>
      </c>
      <c r="S199" s="1" t="s">
        <v>225</v>
      </c>
    </row>
    <row r="200" spans="1:19" x14ac:dyDescent="0.25">
      <c r="A200" s="1">
        <v>1920901070000</v>
      </c>
      <c r="B200" s="1" t="s">
        <v>218</v>
      </c>
      <c r="C200" s="1" t="s">
        <v>1265</v>
      </c>
      <c r="D200" s="1">
        <v>11</v>
      </c>
      <c r="E200" s="1" t="s">
        <v>214</v>
      </c>
      <c r="F200" s="1">
        <v>1920901070000</v>
      </c>
      <c r="G200" s="1" t="s">
        <v>226</v>
      </c>
      <c r="H200" s="1" t="s">
        <v>1384</v>
      </c>
      <c r="I200" s="1" t="s">
        <v>1182</v>
      </c>
      <c r="Q200" s="1" t="s">
        <v>218</v>
      </c>
      <c r="R200" s="1" t="s">
        <v>214</v>
      </c>
      <c r="S200" s="1" t="s">
        <v>226</v>
      </c>
    </row>
    <row r="201" spans="1:19" x14ac:dyDescent="0.25">
      <c r="A201" s="1">
        <v>1920901080000</v>
      </c>
      <c r="B201" s="1" t="s">
        <v>218</v>
      </c>
      <c r="C201" s="1" t="s">
        <v>1265</v>
      </c>
      <c r="D201" s="1">
        <v>11</v>
      </c>
      <c r="E201" s="1" t="s">
        <v>214</v>
      </c>
      <c r="F201" s="1">
        <v>1920901080000</v>
      </c>
      <c r="G201" s="1" t="s">
        <v>227</v>
      </c>
      <c r="H201" s="1" t="s">
        <v>1385</v>
      </c>
      <c r="I201" s="1" t="s">
        <v>1182</v>
      </c>
      <c r="Q201" s="1" t="s">
        <v>218</v>
      </c>
      <c r="R201" s="1" t="s">
        <v>214</v>
      </c>
      <c r="S201" s="1" t="s">
        <v>227</v>
      </c>
    </row>
    <row r="202" spans="1:19" x14ac:dyDescent="0.25">
      <c r="A202" s="1">
        <v>1920901090000</v>
      </c>
      <c r="B202" s="1" t="s">
        <v>218</v>
      </c>
      <c r="C202" s="1" t="s">
        <v>1265</v>
      </c>
      <c r="D202" s="1">
        <v>11</v>
      </c>
      <c r="E202" s="1" t="s">
        <v>214</v>
      </c>
      <c r="F202" s="1">
        <v>1920901090000</v>
      </c>
      <c r="G202" s="1" t="s">
        <v>228</v>
      </c>
      <c r="H202" s="1" t="s">
        <v>1386</v>
      </c>
      <c r="I202" s="1" t="s">
        <v>1182</v>
      </c>
      <c r="Q202" s="1" t="s">
        <v>218</v>
      </c>
      <c r="R202" s="1" t="s">
        <v>214</v>
      </c>
      <c r="S202" s="1" t="s">
        <v>228</v>
      </c>
    </row>
    <row r="203" spans="1:19" x14ac:dyDescent="0.25">
      <c r="A203" s="1">
        <v>1920901740000</v>
      </c>
      <c r="B203" s="1" t="s">
        <v>218</v>
      </c>
      <c r="C203" s="1" t="s">
        <v>1265</v>
      </c>
      <c r="D203" s="1">
        <v>11</v>
      </c>
      <c r="E203" s="1" t="s">
        <v>214</v>
      </c>
      <c r="F203" s="1">
        <v>1920901740000</v>
      </c>
      <c r="G203" s="1" t="s">
        <v>229</v>
      </c>
      <c r="H203" s="1" t="s">
        <v>1387</v>
      </c>
      <c r="I203" s="1" t="s">
        <v>1182</v>
      </c>
      <c r="Q203" s="1" t="s">
        <v>218</v>
      </c>
      <c r="R203" s="1" t="s">
        <v>214</v>
      </c>
      <c r="S203" s="1" t="s">
        <v>229</v>
      </c>
    </row>
    <row r="204" spans="1:19" x14ac:dyDescent="0.25">
      <c r="A204" s="1">
        <v>1920901750000</v>
      </c>
      <c r="B204" s="1" t="s">
        <v>218</v>
      </c>
      <c r="C204" s="1" t="s">
        <v>1265</v>
      </c>
      <c r="D204" s="1">
        <v>11</v>
      </c>
      <c r="E204" s="1" t="s">
        <v>214</v>
      </c>
      <c r="F204" s="1">
        <v>1920901750000</v>
      </c>
      <c r="G204" s="1" t="s">
        <v>230</v>
      </c>
      <c r="H204" s="1" t="s">
        <v>1388</v>
      </c>
      <c r="I204" s="1" t="s">
        <v>1182</v>
      </c>
      <c r="Q204" s="1" t="s">
        <v>218</v>
      </c>
      <c r="R204" s="1" t="s">
        <v>214</v>
      </c>
      <c r="S204" s="1" t="s">
        <v>230</v>
      </c>
    </row>
    <row r="205" spans="1:19" x14ac:dyDescent="0.25">
      <c r="A205" s="1">
        <v>1920901760000</v>
      </c>
      <c r="B205" s="1" t="s">
        <v>218</v>
      </c>
      <c r="C205" s="1" t="s">
        <v>1265</v>
      </c>
      <c r="D205" s="1">
        <v>11</v>
      </c>
      <c r="E205" s="1" t="s">
        <v>214</v>
      </c>
      <c r="F205" s="1">
        <v>1920901760000</v>
      </c>
      <c r="G205" s="1" t="s">
        <v>231</v>
      </c>
      <c r="H205" s="1" t="s">
        <v>1389</v>
      </c>
      <c r="I205" s="1" t="s">
        <v>1182</v>
      </c>
      <c r="Q205" s="1" t="s">
        <v>218</v>
      </c>
      <c r="R205" s="1" t="s">
        <v>214</v>
      </c>
      <c r="S205" s="1" t="s">
        <v>231</v>
      </c>
    </row>
    <row r="206" spans="1:19" x14ac:dyDescent="0.25">
      <c r="A206" s="1">
        <v>1920902040000</v>
      </c>
      <c r="B206" s="1" t="s">
        <v>218</v>
      </c>
      <c r="C206" s="1" t="s">
        <v>1265</v>
      </c>
      <c r="D206" s="1">
        <v>11</v>
      </c>
      <c r="E206" s="1" t="s">
        <v>214</v>
      </c>
      <c r="F206" s="1">
        <v>1920902040000</v>
      </c>
      <c r="G206" s="1" t="s">
        <v>232</v>
      </c>
      <c r="H206" s="1" t="s">
        <v>1390</v>
      </c>
      <c r="I206" s="1" t="s">
        <v>1182</v>
      </c>
      <c r="Q206" s="1" t="s">
        <v>218</v>
      </c>
      <c r="R206" s="1" t="s">
        <v>214</v>
      </c>
      <c r="S206" s="1" t="s">
        <v>232</v>
      </c>
    </row>
    <row r="207" spans="1:19" x14ac:dyDescent="0.25">
      <c r="A207" s="1">
        <v>1920902170000</v>
      </c>
      <c r="B207" s="1" t="s">
        <v>218</v>
      </c>
      <c r="C207" s="1" t="s">
        <v>1265</v>
      </c>
      <c r="D207" s="1">
        <v>11</v>
      </c>
      <c r="E207" s="1" t="s">
        <v>214</v>
      </c>
      <c r="F207" s="1">
        <v>1920902170000</v>
      </c>
      <c r="G207" s="1" t="s">
        <v>233</v>
      </c>
      <c r="H207" s="1" t="s">
        <v>1391</v>
      </c>
      <c r="I207" s="1" t="s">
        <v>1182</v>
      </c>
      <c r="Q207" s="1" t="s">
        <v>218</v>
      </c>
      <c r="R207" s="1" t="s">
        <v>214</v>
      </c>
      <c r="S207" s="1" t="s">
        <v>233</v>
      </c>
    </row>
    <row r="208" spans="1:19" x14ac:dyDescent="0.25">
      <c r="A208" s="1">
        <v>1920927740000</v>
      </c>
      <c r="B208" s="1" t="s">
        <v>218</v>
      </c>
      <c r="C208" s="1" t="s">
        <v>1265</v>
      </c>
      <c r="D208" s="1">
        <v>11</v>
      </c>
      <c r="E208" s="1" t="s">
        <v>214</v>
      </c>
      <c r="F208" s="1">
        <v>1920927740000</v>
      </c>
      <c r="G208" s="1" t="s">
        <v>234</v>
      </c>
      <c r="H208" s="1" t="s">
        <v>1392</v>
      </c>
      <c r="I208" s="1" t="s">
        <v>1182</v>
      </c>
      <c r="Q208" s="1" t="s">
        <v>218</v>
      </c>
      <c r="R208" s="1" t="s">
        <v>214</v>
      </c>
      <c r="S208" s="1" t="s">
        <v>234</v>
      </c>
    </row>
    <row r="209" spans="1:19" x14ac:dyDescent="0.25">
      <c r="A209" s="1">
        <v>1920928760000</v>
      </c>
      <c r="B209" s="1" t="s">
        <v>218</v>
      </c>
      <c r="C209" s="1" t="s">
        <v>1265</v>
      </c>
      <c r="D209" s="1">
        <v>11</v>
      </c>
      <c r="E209" s="1" t="s">
        <v>214</v>
      </c>
      <c r="F209" s="1">
        <v>1920928760000</v>
      </c>
      <c r="G209" s="1" t="s">
        <v>235</v>
      </c>
      <c r="H209" s="1" t="s">
        <v>1393</v>
      </c>
      <c r="I209" s="1" t="s">
        <v>1182</v>
      </c>
      <c r="Q209" s="1" t="s">
        <v>218</v>
      </c>
      <c r="R209" s="1" t="s">
        <v>214</v>
      </c>
      <c r="S209" s="1" t="s">
        <v>235</v>
      </c>
    </row>
    <row r="210" spans="1:19" x14ac:dyDescent="0.25">
      <c r="A210" s="1">
        <v>1920929520000</v>
      </c>
      <c r="B210" s="1" t="s">
        <v>218</v>
      </c>
      <c r="C210" s="1" t="s">
        <v>1265</v>
      </c>
      <c r="D210" s="1">
        <v>11</v>
      </c>
      <c r="E210" s="1" t="s">
        <v>214</v>
      </c>
      <c r="F210" s="1">
        <v>1920929520000</v>
      </c>
      <c r="G210" s="1" t="s">
        <v>236</v>
      </c>
      <c r="H210" s="1" t="s">
        <v>1394</v>
      </c>
      <c r="I210" s="1" t="s">
        <v>1182</v>
      </c>
      <c r="Q210" s="1" t="s">
        <v>218</v>
      </c>
      <c r="R210" s="1" t="s">
        <v>214</v>
      </c>
      <c r="S210" s="1" t="s">
        <v>236</v>
      </c>
    </row>
    <row r="211" spans="1:19" x14ac:dyDescent="0.25">
      <c r="A211" s="1">
        <v>1920930020000</v>
      </c>
      <c r="B211" s="1" t="s">
        <v>218</v>
      </c>
      <c r="C211" s="1" t="s">
        <v>1265</v>
      </c>
      <c r="D211" s="1">
        <v>11</v>
      </c>
      <c r="E211" s="1" t="s">
        <v>214</v>
      </c>
      <c r="F211" s="1">
        <v>1920930020000</v>
      </c>
      <c r="G211" s="1" t="s">
        <v>237</v>
      </c>
      <c r="H211" s="1" t="s">
        <v>1395</v>
      </c>
      <c r="I211" s="1" t="s">
        <v>1182</v>
      </c>
      <c r="Q211" s="1" t="s">
        <v>218</v>
      </c>
      <c r="R211" s="1" t="s">
        <v>214</v>
      </c>
      <c r="S211" s="1" t="s">
        <v>237</v>
      </c>
    </row>
    <row r="212" spans="1:19" x14ac:dyDescent="0.25">
      <c r="A212" s="1">
        <v>1920930030000</v>
      </c>
      <c r="B212" s="1" t="s">
        <v>218</v>
      </c>
      <c r="C212" s="1" t="s">
        <v>1265</v>
      </c>
      <c r="D212" s="1">
        <v>11</v>
      </c>
      <c r="E212" s="1" t="s">
        <v>214</v>
      </c>
      <c r="F212" s="1">
        <v>1920930030000</v>
      </c>
      <c r="G212" s="1" t="s">
        <v>238</v>
      </c>
      <c r="H212" s="1" t="s">
        <v>1396</v>
      </c>
      <c r="I212" s="1" t="s">
        <v>1182</v>
      </c>
      <c r="Q212" s="1" t="s">
        <v>218</v>
      </c>
      <c r="R212" s="1" t="s">
        <v>214</v>
      </c>
      <c r="S212" s="1" t="s">
        <v>238</v>
      </c>
    </row>
    <row r="213" spans="1:19" x14ac:dyDescent="0.25">
      <c r="A213" s="1">
        <v>1920930140000</v>
      </c>
      <c r="B213" s="1" t="s">
        <v>218</v>
      </c>
      <c r="C213" s="1" t="s">
        <v>1265</v>
      </c>
      <c r="D213" s="1">
        <v>11</v>
      </c>
      <c r="E213" s="1" t="s">
        <v>214</v>
      </c>
      <c r="F213" s="1">
        <v>1920930140000</v>
      </c>
      <c r="G213" s="1" t="s">
        <v>239</v>
      </c>
      <c r="H213" s="1" t="s">
        <v>1397</v>
      </c>
      <c r="I213" s="1" t="s">
        <v>1182</v>
      </c>
      <c r="Q213" s="1" t="s">
        <v>218</v>
      </c>
      <c r="R213" s="1" t="s">
        <v>214</v>
      </c>
      <c r="S213" s="1" t="s">
        <v>239</v>
      </c>
    </row>
    <row r="214" spans="1:19" x14ac:dyDescent="0.25">
      <c r="A214" s="1">
        <v>1920930160000</v>
      </c>
      <c r="B214" s="1" t="s">
        <v>218</v>
      </c>
      <c r="C214" s="1" t="s">
        <v>1265</v>
      </c>
      <c r="D214" s="1">
        <v>11</v>
      </c>
      <c r="E214" s="1" t="s">
        <v>214</v>
      </c>
      <c r="F214" s="1">
        <v>1920930160000</v>
      </c>
      <c r="G214" s="1" t="s">
        <v>240</v>
      </c>
      <c r="H214" s="1" t="s">
        <v>1398</v>
      </c>
      <c r="I214" s="1" t="s">
        <v>1182</v>
      </c>
      <c r="Q214" s="1" t="s">
        <v>218</v>
      </c>
      <c r="R214" s="1" t="s">
        <v>214</v>
      </c>
      <c r="S214" s="1" t="s">
        <v>240</v>
      </c>
    </row>
    <row r="215" spans="1:19" x14ac:dyDescent="0.25">
      <c r="A215" s="1">
        <v>1920930520000</v>
      </c>
      <c r="B215" s="1" t="s">
        <v>218</v>
      </c>
      <c r="C215" s="1" t="s">
        <v>1265</v>
      </c>
      <c r="D215" s="1">
        <v>11</v>
      </c>
      <c r="E215" s="1" t="s">
        <v>214</v>
      </c>
      <c r="F215" s="1">
        <v>1920930520000</v>
      </c>
      <c r="G215" s="1" t="s">
        <v>241</v>
      </c>
      <c r="H215" s="1" t="s">
        <v>1399</v>
      </c>
      <c r="I215" s="1" t="s">
        <v>1182</v>
      </c>
      <c r="Q215" s="1" t="s">
        <v>218</v>
      </c>
      <c r="R215" s="1" t="s">
        <v>214</v>
      </c>
      <c r="S215" s="1" t="s">
        <v>241</v>
      </c>
    </row>
    <row r="216" spans="1:19" x14ac:dyDescent="0.25">
      <c r="A216" s="1">
        <v>1920901010000</v>
      </c>
      <c r="B216" s="1" t="s">
        <v>242</v>
      </c>
      <c r="C216" s="1" t="s">
        <v>1265</v>
      </c>
      <c r="D216" s="1">
        <v>2</v>
      </c>
      <c r="E216" s="1" t="s">
        <v>147</v>
      </c>
      <c r="F216" s="1">
        <v>1920901010000</v>
      </c>
      <c r="G216" s="1" t="s">
        <v>243</v>
      </c>
      <c r="H216" s="1" t="s">
        <v>1400</v>
      </c>
      <c r="I216" s="1" t="s">
        <v>1182</v>
      </c>
      <c r="Q216" s="1" t="s">
        <v>242</v>
      </c>
      <c r="R216" s="1" t="s">
        <v>147</v>
      </c>
      <c r="S216" s="1" t="s">
        <v>243</v>
      </c>
    </row>
    <row r="217" spans="1:19" x14ac:dyDescent="0.25">
      <c r="A217" s="1">
        <v>1920901010001</v>
      </c>
      <c r="B217" s="1" t="s">
        <v>242</v>
      </c>
      <c r="C217" s="1" t="s">
        <v>1265</v>
      </c>
      <c r="D217" s="1">
        <v>2</v>
      </c>
      <c r="E217" s="1" t="s">
        <v>147</v>
      </c>
      <c r="F217" s="1">
        <v>1920901010001</v>
      </c>
      <c r="G217" s="1" t="s">
        <v>244</v>
      </c>
      <c r="H217" s="1" t="s">
        <v>1401</v>
      </c>
      <c r="I217" s="1" t="s">
        <v>1182</v>
      </c>
      <c r="Q217" s="1" t="s">
        <v>242</v>
      </c>
      <c r="R217" s="1" t="s">
        <v>147</v>
      </c>
      <c r="S217" s="1" t="s">
        <v>244</v>
      </c>
    </row>
    <row r="218" spans="1:19" x14ac:dyDescent="0.25">
      <c r="A218" s="1">
        <v>1920901120000</v>
      </c>
      <c r="B218" s="1" t="s">
        <v>242</v>
      </c>
      <c r="C218" s="1" t="s">
        <v>1265</v>
      </c>
      <c r="D218" s="1">
        <v>2</v>
      </c>
      <c r="E218" s="1" t="s">
        <v>147</v>
      </c>
      <c r="F218" s="1">
        <v>1920901120000</v>
      </c>
      <c r="G218" s="1" t="s">
        <v>245</v>
      </c>
      <c r="H218" s="1" t="s">
        <v>1402</v>
      </c>
      <c r="I218" s="1" t="s">
        <v>1182</v>
      </c>
      <c r="Q218" s="1" t="s">
        <v>242</v>
      </c>
      <c r="R218" s="1" t="s">
        <v>147</v>
      </c>
      <c r="S218" s="1" t="s">
        <v>245</v>
      </c>
    </row>
    <row r="219" spans="1:19" x14ac:dyDescent="0.25">
      <c r="A219" s="1">
        <v>1920901660000</v>
      </c>
      <c r="B219" s="1" t="s">
        <v>242</v>
      </c>
      <c r="C219" s="1" t="s">
        <v>1265</v>
      </c>
      <c r="D219" s="1">
        <v>2</v>
      </c>
      <c r="E219" s="1" t="s">
        <v>147</v>
      </c>
      <c r="F219" s="1">
        <v>1920901660000</v>
      </c>
      <c r="G219" s="1" t="s">
        <v>246</v>
      </c>
      <c r="H219" s="1" t="s">
        <v>1403</v>
      </c>
      <c r="I219" s="1" t="s">
        <v>1182</v>
      </c>
      <c r="Q219" s="1" t="s">
        <v>242</v>
      </c>
      <c r="R219" s="1" t="s">
        <v>147</v>
      </c>
      <c r="S219" s="1" t="s">
        <v>246</v>
      </c>
    </row>
    <row r="220" spans="1:19" x14ac:dyDescent="0.25">
      <c r="A220" s="1">
        <v>1920901680000</v>
      </c>
      <c r="B220" s="1" t="s">
        <v>242</v>
      </c>
      <c r="C220" s="1" t="s">
        <v>1265</v>
      </c>
      <c r="D220" s="1">
        <v>2</v>
      </c>
      <c r="E220" s="1" t="s">
        <v>147</v>
      </c>
      <c r="F220" s="1">
        <v>1920901680000</v>
      </c>
      <c r="G220" s="1" t="s">
        <v>247</v>
      </c>
      <c r="H220" s="1" t="s">
        <v>1404</v>
      </c>
      <c r="I220" s="1" t="s">
        <v>1182</v>
      </c>
      <c r="Q220" s="1" t="s">
        <v>242</v>
      </c>
      <c r="R220" s="1" t="s">
        <v>147</v>
      </c>
      <c r="S220" s="1" t="s">
        <v>247</v>
      </c>
    </row>
    <row r="221" spans="1:19" x14ac:dyDescent="0.25">
      <c r="A221" s="1">
        <v>1920901690000</v>
      </c>
      <c r="B221" s="1" t="s">
        <v>242</v>
      </c>
      <c r="C221" s="1" t="s">
        <v>1265</v>
      </c>
      <c r="D221" s="1">
        <v>2</v>
      </c>
      <c r="E221" s="1" t="s">
        <v>147</v>
      </c>
      <c r="F221" s="1">
        <v>1920901690000</v>
      </c>
      <c r="G221" s="1" t="s">
        <v>248</v>
      </c>
      <c r="H221" s="1" t="s">
        <v>1405</v>
      </c>
      <c r="I221" s="1" t="s">
        <v>1182</v>
      </c>
      <c r="Q221" s="1" t="s">
        <v>242</v>
      </c>
      <c r="R221" s="1" t="s">
        <v>147</v>
      </c>
      <c r="S221" s="1" t="s">
        <v>248</v>
      </c>
    </row>
    <row r="222" spans="1:19" x14ac:dyDescent="0.25">
      <c r="A222" s="1">
        <v>1920901770000</v>
      </c>
      <c r="B222" s="1" t="s">
        <v>242</v>
      </c>
      <c r="C222" s="1" t="s">
        <v>1265</v>
      </c>
      <c r="D222" s="1">
        <v>2</v>
      </c>
      <c r="E222" s="1" t="s">
        <v>147</v>
      </c>
      <c r="F222" s="1">
        <v>1920901770000</v>
      </c>
      <c r="G222" s="1" t="s">
        <v>249</v>
      </c>
      <c r="H222" s="1" t="s">
        <v>1406</v>
      </c>
      <c r="I222" s="1" t="s">
        <v>1182</v>
      </c>
      <c r="Q222" s="1" t="s">
        <v>242</v>
      </c>
      <c r="R222" s="1" t="s">
        <v>147</v>
      </c>
      <c r="S222" s="1" t="s">
        <v>249</v>
      </c>
    </row>
    <row r="223" spans="1:19" x14ac:dyDescent="0.25">
      <c r="A223" s="1">
        <v>1920901780000</v>
      </c>
      <c r="B223" s="1" t="s">
        <v>242</v>
      </c>
      <c r="C223" s="1" t="s">
        <v>1265</v>
      </c>
      <c r="D223" s="1">
        <v>2</v>
      </c>
      <c r="E223" s="1" t="s">
        <v>147</v>
      </c>
      <c r="F223" s="1">
        <v>1920901780000</v>
      </c>
      <c r="G223" s="1" t="s">
        <v>250</v>
      </c>
      <c r="H223" s="1" t="s">
        <v>1407</v>
      </c>
      <c r="I223" s="1" t="s">
        <v>1182</v>
      </c>
      <c r="Q223" s="1" t="s">
        <v>242</v>
      </c>
      <c r="R223" s="1" t="s">
        <v>147</v>
      </c>
      <c r="S223" s="1" t="s">
        <v>250</v>
      </c>
    </row>
    <row r="224" spans="1:19" x14ac:dyDescent="0.25">
      <c r="A224" s="1">
        <v>1920902190000</v>
      </c>
      <c r="B224" s="1" t="s">
        <v>242</v>
      </c>
      <c r="C224" s="1" t="s">
        <v>1265</v>
      </c>
      <c r="D224" s="1">
        <v>2</v>
      </c>
      <c r="E224" s="1" t="s">
        <v>147</v>
      </c>
      <c r="F224" s="1">
        <v>1920902190000</v>
      </c>
      <c r="G224" s="1" t="s">
        <v>251</v>
      </c>
      <c r="H224" s="1" t="s">
        <v>1408</v>
      </c>
      <c r="I224" s="1" t="s">
        <v>1182</v>
      </c>
      <c r="Q224" s="1" t="s">
        <v>242</v>
      </c>
      <c r="R224" s="1" t="s">
        <v>147</v>
      </c>
      <c r="S224" s="1" t="s">
        <v>251</v>
      </c>
    </row>
    <row r="225" spans="1:19" x14ac:dyDescent="0.25">
      <c r="A225" s="1">
        <v>1920902230000</v>
      </c>
      <c r="B225" s="1" t="s">
        <v>242</v>
      </c>
      <c r="C225" s="1" t="s">
        <v>1265</v>
      </c>
      <c r="D225" s="1">
        <v>2</v>
      </c>
      <c r="E225" s="1" t="s">
        <v>147</v>
      </c>
      <c r="F225" s="1">
        <v>1920902230000</v>
      </c>
      <c r="G225" s="1" t="s">
        <v>252</v>
      </c>
      <c r="H225" s="1" t="s">
        <v>1409</v>
      </c>
      <c r="I225" s="1" t="s">
        <v>1182</v>
      </c>
      <c r="Q225" s="1" t="s">
        <v>242</v>
      </c>
      <c r="R225" s="1" t="s">
        <v>147</v>
      </c>
      <c r="S225" s="1" t="s">
        <v>252</v>
      </c>
    </row>
    <row r="226" spans="1:19" x14ac:dyDescent="0.25">
      <c r="A226" s="1">
        <v>1920902270000</v>
      </c>
      <c r="B226" s="1" t="s">
        <v>242</v>
      </c>
      <c r="C226" s="1" t="s">
        <v>1265</v>
      </c>
      <c r="D226" s="1">
        <v>2</v>
      </c>
      <c r="E226" s="1" t="s">
        <v>147</v>
      </c>
      <c r="F226" s="1">
        <v>1920902270000</v>
      </c>
      <c r="G226" s="1" t="s">
        <v>253</v>
      </c>
      <c r="H226" s="1" t="s">
        <v>1410</v>
      </c>
      <c r="I226" s="1" t="s">
        <v>1182</v>
      </c>
      <c r="Q226" s="1" t="s">
        <v>242</v>
      </c>
      <c r="R226" s="1" t="s">
        <v>147</v>
      </c>
      <c r="S226" s="1" t="s">
        <v>253</v>
      </c>
    </row>
    <row r="227" spans="1:19" x14ac:dyDescent="0.25">
      <c r="A227" s="1">
        <v>1920927600000</v>
      </c>
      <c r="B227" s="1" t="s">
        <v>242</v>
      </c>
      <c r="C227" s="1" t="s">
        <v>1265</v>
      </c>
      <c r="D227" s="1">
        <v>2</v>
      </c>
      <c r="E227" s="1" t="s">
        <v>147</v>
      </c>
      <c r="F227" s="1">
        <v>1920927600000</v>
      </c>
      <c r="G227" s="1" t="s">
        <v>254</v>
      </c>
      <c r="H227" s="1" t="s">
        <v>1411</v>
      </c>
      <c r="I227" s="1" t="s">
        <v>1182</v>
      </c>
      <c r="Q227" s="1" t="s">
        <v>242</v>
      </c>
      <c r="R227" s="1" t="s">
        <v>147</v>
      </c>
      <c r="S227" s="1" t="s">
        <v>254</v>
      </c>
    </row>
    <row r="228" spans="1:19" x14ac:dyDescent="0.25">
      <c r="A228" s="1">
        <v>1920927820000</v>
      </c>
      <c r="B228" s="1" t="s">
        <v>242</v>
      </c>
      <c r="C228" s="1" t="s">
        <v>1265</v>
      </c>
      <c r="D228" s="1">
        <v>2</v>
      </c>
      <c r="E228" s="1" t="s">
        <v>147</v>
      </c>
      <c r="F228" s="1">
        <v>1920927820000</v>
      </c>
      <c r="G228" s="1" t="s">
        <v>255</v>
      </c>
      <c r="H228" s="1" t="s">
        <v>1412</v>
      </c>
      <c r="I228" s="1" t="s">
        <v>1182</v>
      </c>
      <c r="Q228" s="1" t="s">
        <v>242</v>
      </c>
      <c r="R228" s="1" t="s">
        <v>147</v>
      </c>
      <c r="S228" s="1" t="s">
        <v>255</v>
      </c>
    </row>
    <row r="229" spans="1:19" x14ac:dyDescent="0.25">
      <c r="A229" s="1">
        <v>1920928730000</v>
      </c>
      <c r="B229" s="1" t="s">
        <v>242</v>
      </c>
      <c r="C229" s="1" t="s">
        <v>1265</v>
      </c>
      <c r="D229" s="1">
        <v>2</v>
      </c>
      <c r="E229" s="1" t="s">
        <v>147</v>
      </c>
      <c r="F229" s="1">
        <v>1920928730000</v>
      </c>
      <c r="G229" s="1" t="s">
        <v>256</v>
      </c>
      <c r="H229" s="1" t="s">
        <v>1413</v>
      </c>
      <c r="I229" s="1" t="s">
        <v>1182</v>
      </c>
      <c r="Q229" s="1" t="s">
        <v>242</v>
      </c>
      <c r="R229" s="1" t="s">
        <v>147</v>
      </c>
      <c r="S229" s="1" t="s">
        <v>256</v>
      </c>
    </row>
    <row r="230" spans="1:19" x14ac:dyDescent="0.25">
      <c r="A230" s="1">
        <v>1920929510000</v>
      </c>
      <c r="B230" s="1" t="s">
        <v>242</v>
      </c>
      <c r="C230" s="1" t="s">
        <v>1265</v>
      </c>
      <c r="D230" s="1">
        <v>2</v>
      </c>
      <c r="E230" s="1" t="s">
        <v>147</v>
      </c>
      <c r="F230" s="1">
        <v>1920929510000</v>
      </c>
      <c r="G230" s="1" t="s">
        <v>257</v>
      </c>
      <c r="H230" s="1" t="s">
        <v>1414</v>
      </c>
      <c r="I230" s="1" t="s">
        <v>1182</v>
      </c>
      <c r="Q230" s="1" t="s">
        <v>242</v>
      </c>
      <c r="R230" s="1" t="s">
        <v>147</v>
      </c>
      <c r="S230" s="1" t="s">
        <v>257</v>
      </c>
    </row>
    <row r="231" spans="1:19" x14ac:dyDescent="0.25">
      <c r="A231" s="1">
        <v>1920930870000</v>
      </c>
      <c r="B231" s="1" t="s">
        <v>242</v>
      </c>
      <c r="C231" s="1" t="s">
        <v>1265</v>
      </c>
      <c r="D231" s="1">
        <v>2</v>
      </c>
      <c r="E231" s="1" t="s">
        <v>147</v>
      </c>
      <c r="F231" s="1">
        <v>1920930870000</v>
      </c>
      <c r="G231" s="1" t="s">
        <v>258</v>
      </c>
      <c r="H231" s="1" t="s">
        <v>1415</v>
      </c>
      <c r="I231" s="1" t="s">
        <v>1182</v>
      </c>
      <c r="Q231" s="1" t="s">
        <v>242</v>
      </c>
      <c r="R231" s="1" t="s">
        <v>147</v>
      </c>
      <c r="S231" s="1" t="s">
        <v>258</v>
      </c>
    </row>
    <row r="232" spans="1:19" x14ac:dyDescent="0.25">
      <c r="A232" s="1">
        <v>1920930960000</v>
      </c>
      <c r="B232" s="1" t="s">
        <v>242</v>
      </c>
      <c r="C232" s="1" t="s">
        <v>1265</v>
      </c>
      <c r="D232" s="1">
        <v>2</v>
      </c>
      <c r="E232" s="1" t="s">
        <v>147</v>
      </c>
      <c r="F232" s="1">
        <v>1920930960000</v>
      </c>
      <c r="G232" s="1" t="s">
        <v>259</v>
      </c>
      <c r="H232" s="1" t="s">
        <v>1416</v>
      </c>
      <c r="I232" s="1" t="s">
        <v>1182</v>
      </c>
      <c r="Q232" s="1" t="s">
        <v>242</v>
      </c>
      <c r="R232" s="1" t="s">
        <v>147</v>
      </c>
      <c r="S232" s="1" t="s">
        <v>259</v>
      </c>
    </row>
    <row r="233" spans="1:19" x14ac:dyDescent="0.25">
      <c r="A233" s="1">
        <v>1920932470000</v>
      </c>
      <c r="B233" s="1" t="s">
        <v>242</v>
      </c>
      <c r="C233" s="1" t="s">
        <v>1265</v>
      </c>
      <c r="D233" s="1">
        <v>2</v>
      </c>
      <c r="E233" s="1" t="s">
        <v>147</v>
      </c>
      <c r="F233" s="1">
        <v>1920932470000</v>
      </c>
      <c r="G233" s="1" t="s">
        <v>260</v>
      </c>
      <c r="H233" s="1" t="s">
        <v>1417</v>
      </c>
      <c r="I233" s="1" t="s">
        <v>1182</v>
      </c>
      <c r="Q233" s="1" t="s">
        <v>242</v>
      </c>
      <c r="R233" s="1" t="s">
        <v>147</v>
      </c>
      <c r="S233" s="1" t="s">
        <v>260</v>
      </c>
    </row>
    <row r="234" spans="1:19" x14ac:dyDescent="0.25">
      <c r="A234" s="1">
        <v>1920933430000</v>
      </c>
      <c r="B234" s="1" t="s">
        <v>242</v>
      </c>
      <c r="C234" s="1" t="s">
        <v>1265</v>
      </c>
      <c r="D234" s="1">
        <v>2</v>
      </c>
      <c r="E234" s="1" t="s">
        <v>147</v>
      </c>
      <c r="F234" s="1">
        <v>1920933430000</v>
      </c>
      <c r="G234" s="1" t="s">
        <v>261</v>
      </c>
      <c r="H234" s="1" t="s">
        <v>1418</v>
      </c>
      <c r="I234" s="1" t="s">
        <v>1182</v>
      </c>
      <c r="Q234" s="1" t="s">
        <v>242</v>
      </c>
      <c r="R234" s="1" t="s">
        <v>147</v>
      </c>
      <c r="S234" s="1" t="s">
        <v>261</v>
      </c>
    </row>
    <row r="235" spans="1:19" x14ac:dyDescent="0.25">
      <c r="A235" s="1">
        <v>1920935050000</v>
      </c>
      <c r="B235" s="1" t="s">
        <v>242</v>
      </c>
      <c r="C235" s="1" t="s">
        <v>1265</v>
      </c>
      <c r="D235" s="1">
        <v>2</v>
      </c>
      <c r="E235" s="1" t="s">
        <v>147</v>
      </c>
      <c r="F235" s="1">
        <v>1920935050000</v>
      </c>
      <c r="G235" s="1" t="s">
        <v>262</v>
      </c>
      <c r="H235" s="1" t="s">
        <v>1419</v>
      </c>
      <c r="I235" s="1" t="s">
        <v>1182</v>
      </c>
      <c r="Q235" s="1" t="s">
        <v>242</v>
      </c>
      <c r="R235" s="1" t="s">
        <v>147</v>
      </c>
      <c r="S235" s="1" t="s">
        <v>262</v>
      </c>
    </row>
    <row r="236" spans="1:19" x14ac:dyDescent="0.25">
      <c r="A236" s="1">
        <v>1920937440000</v>
      </c>
      <c r="B236" s="1" t="s">
        <v>242</v>
      </c>
      <c r="C236" s="1" t="s">
        <v>1265</v>
      </c>
      <c r="E236" s="1" t="s">
        <v>147</v>
      </c>
      <c r="F236" s="1">
        <v>1920937440000</v>
      </c>
      <c r="G236" s="1" t="s">
        <v>263</v>
      </c>
      <c r="H236" s="1" t="s">
        <v>1420</v>
      </c>
      <c r="I236" s="1" t="s">
        <v>1182</v>
      </c>
      <c r="Q236" s="1" t="s">
        <v>242</v>
      </c>
      <c r="R236" s="1" t="s">
        <v>147</v>
      </c>
      <c r="S236" s="1" t="s">
        <v>263</v>
      </c>
    </row>
    <row r="237" spans="1:19" x14ac:dyDescent="0.25">
      <c r="A237" s="1">
        <v>1920901000000</v>
      </c>
      <c r="B237" s="1" t="s">
        <v>264</v>
      </c>
      <c r="C237" s="1" t="s">
        <v>1265</v>
      </c>
      <c r="D237" s="1">
        <v>3</v>
      </c>
      <c r="E237" s="1" t="s">
        <v>147</v>
      </c>
      <c r="F237" s="1">
        <v>1920901000000</v>
      </c>
      <c r="G237" s="1" t="s">
        <v>265</v>
      </c>
      <c r="H237" s="1" t="s">
        <v>1421</v>
      </c>
      <c r="I237" s="1" t="s">
        <v>1182</v>
      </c>
      <c r="Q237" s="1" t="s">
        <v>264</v>
      </c>
      <c r="R237" s="1" t="s">
        <v>147</v>
      </c>
      <c r="S237" s="1" t="s">
        <v>265</v>
      </c>
    </row>
    <row r="238" spans="1:19" x14ac:dyDescent="0.25">
      <c r="A238" s="1">
        <v>1920901020000</v>
      </c>
      <c r="B238" s="1" t="s">
        <v>264</v>
      </c>
      <c r="C238" s="1" t="s">
        <v>1265</v>
      </c>
      <c r="D238" s="1">
        <v>3</v>
      </c>
      <c r="E238" s="1" t="s">
        <v>147</v>
      </c>
      <c r="F238" s="1">
        <v>1920901020000</v>
      </c>
      <c r="G238" s="1" t="s">
        <v>266</v>
      </c>
      <c r="H238" s="1" t="s">
        <v>1422</v>
      </c>
      <c r="I238" s="1" t="s">
        <v>1182</v>
      </c>
      <c r="Q238" s="1" t="s">
        <v>264</v>
      </c>
      <c r="R238" s="1" t="s">
        <v>147</v>
      </c>
      <c r="S238" s="1" t="s">
        <v>266</v>
      </c>
    </row>
    <row r="239" spans="1:19" x14ac:dyDescent="0.25">
      <c r="A239" s="1">
        <v>1920901030000</v>
      </c>
      <c r="B239" s="1" t="s">
        <v>264</v>
      </c>
      <c r="C239" s="1" t="s">
        <v>1265</v>
      </c>
      <c r="D239" s="1">
        <v>3</v>
      </c>
      <c r="E239" s="1" t="s">
        <v>147</v>
      </c>
      <c r="F239" s="1">
        <v>1920901030000</v>
      </c>
      <c r="G239" s="1" t="s">
        <v>267</v>
      </c>
      <c r="H239" s="1" t="s">
        <v>1423</v>
      </c>
      <c r="I239" s="1" t="s">
        <v>1182</v>
      </c>
      <c r="Q239" s="1" t="s">
        <v>264</v>
      </c>
      <c r="R239" s="1" t="s">
        <v>147</v>
      </c>
      <c r="S239" s="1" t="s">
        <v>267</v>
      </c>
    </row>
    <row r="240" spans="1:19" x14ac:dyDescent="0.25">
      <c r="A240" s="1">
        <v>1920901040000</v>
      </c>
      <c r="B240" s="1" t="s">
        <v>264</v>
      </c>
      <c r="C240" s="1" t="s">
        <v>1265</v>
      </c>
      <c r="D240" s="1">
        <v>3</v>
      </c>
      <c r="E240" s="1" t="s">
        <v>147</v>
      </c>
      <c r="F240" s="1">
        <v>1920901040000</v>
      </c>
      <c r="G240" s="1" t="s">
        <v>268</v>
      </c>
      <c r="H240" s="1" t="s">
        <v>1424</v>
      </c>
      <c r="I240" s="1" t="s">
        <v>1182</v>
      </c>
      <c r="Q240" s="1" t="s">
        <v>264</v>
      </c>
      <c r="R240" s="1" t="s">
        <v>147</v>
      </c>
      <c r="S240" s="1" t="s">
        <v>268</v>
      </c>
    </row>
    <row r="241" spans="1:19" x14ac:dyDescent="0.25">
      <c r="A241" s="1">
        <v>1920901050000</v>
      </c>
      <c r="B241" s="1" t="s">
        <v>264</v>
      </c>
      <c r="C241" s="1" t="s">
        <v>1265</v>
      </c>
      <c r="D241" s="1">
        <v>3</v>
      </c>
      <c r="E241" s="1" t="s">
        <v>147</v>
      </c>
      <c r="F241" s="1">
        <v>1920901050000</v>
      </c>
      <c r="G241" s="1" t="s">
        <v>269</v>
      </c>
      <c r="H241" s="1" t="s">
        <v>1425</v>
      </c>
      <c r="I241" s="1" t="s">
        <v>1182</v>
      </c>
      <c r="Q241" s="1" t="s">
        <v>264</v>
      </c>
      <c r="R241" s="1" t="s">
        <v>147</v>
      </c>
      <c r="S241" s="1" t="s">
        <v>269</v>
      </c>
    </row>
    <row r="242" spans="1:19" x14ac:dyDescent="0.25">
      <c r="A242" s="1">
        <v>1920901110000</v>
      </c>
      <c r="B242" s="1" t="s">
        <v>264</v>
      </c>
      <c r="C242" s="1" t="s">
        <v>1265</v>
      </c>
      <c r="D242" s="1">
        <v>3</v>
      </c>
      <c r="E242" s="1" t="s">
        <v>147</v>
      </c>
      <c r="F242" s="1">
        <v>1920901110000</v>
      </c>
      <c r="G242" s="1" t="s">
        <v>270</v>
      </c>
      <c r="H242" s="1" t="s">
        <v>1426</v>
      </c>
      <c r="I242" s="1" t="s">
        <v>1182</v>
      </c>
      <c r="Q242" s="1" t="s">
        <v>264</v>
      </c>
      <c r="R242" s="1" t="s">
        <v>147</v>
      </c>
      <c r="S242" s="1" t="s">
        <v>270</v>
      </c>
    </row>
    <row r="243" spans="1:19" x14ac:dyDescent="0.25">
      <c r="A243" s="1">
        <v>1920901710000</v>
      </c>
      <c r="B243" s="1" t="s">
        <v>264</v>
      </c>
      <c r="C243" s="1" t="s">
        <v>1265</v>
      </c>
      <c r="D243" s="1">
        <v>3</v>
      </c>
      <c r="E243" s="1" t="s">
        <v>147</v>
      </c>
      <c r="F243" s="1">
        <v>1920901710000</v>
      </c>
      <c r="G243" s="1" t="s">
        <v>271</v>
      </c>
      <c r="H243" s="1" t="s">
        <v>1427</v>
      </c>
      <c r="I243" s="1" t="s">
        <v>1182</v>
      </c>
      <c r="Q243" s="1" t="s">
        <v>264</v>
      </c>
      <c r="R243" s="1" t="s">
        <v>147</v>
      </c>
      <c r="S243" s="1" t="s">
        <v>271</v>
      </c>
    </row>
    <row r="244" spans="1:19" x14ac:dyDescent="0.25">
      <c r="A244" s="1">
        <v>1920901790000</v>
      </c>
      <c r="B244" s="1" t="s">
        <v>264</v>
      </c>
      <c r="C244" s="1" t="s">
        <v>1265</v>
      </c>
      <c r="D244" s="1">
        <v>3</v>
      </c>
      <c r="E244" s="1" t="s">
        <v>147</v>
      </c>
      <c r="F244" s="1">
        <v>1920901790000</v>
      </c>
      <c r="G244" s="1" t="s">
        <v>272</v>
      </c>
      <c r="H244" s="1" t="s">
        <v>1428</v>
      </c>
      <c r="I244" s="1" t="s">
        <v>1182</v>
      </c>
      <c r="Q244" s="1" t="s">
        <v>264</v>
      </c>
      <c r="R244" s="1" t="s">
        <v>147</v>
      </c>
      <c r="S244" s="1" t="s">
        <v>272</v>
      </c>
    </row>
    <row r="245" spans="1:19" x14ac:dyDescent="0.25">
      <c r="A245" s="1">
        <v>1920902010000</v>
      </c>
      <c r="B245" s="1" t="s">
        <v>264</v>
      </c>
      <c r="C245" s="1" t="s">
        <v>1265</v>
      </c>
      <c r="D245" s="1">
        <v>3</v>
      </c>
      <c r="E245" s="1" t="s">
        <v>147</v>
      </c>
      <c r="F245" s="1">
        <v>1920902010000</v>
      </c>
      <c r="G245" s="1" t="s">
        <v>273</v>
      </c>
      <c r="H245" s="1" t="s">
        <v>1429</v>
      </c>
      <c r="I245" s="1" t="s">
        <v>1182</v>
      </c>
      <c r="Q245" s="1" t="s">
        <v>264</v>
      </c>
      <c r="R245" s="1" t="s">
        <v>147</v>
      </c>
      <c r="S245" s="1" t="s">
        <v>273</v>
      </c>
    </row>
    <row r="246" spans="1:19" x14ac:dyDescent="0.25">
      <c r="A246" s="1">
        <v>1920902030000</v>
      </c>
      <c r="B246" s="1" t="s">
        <v>264</v>
      </c>
      <c r="C246" s="1" t="s">
        <v>1265</v>
      </c>
      <c r="D246" s="1">
        <v>3</v>
      </c>
      <c r="E246" s="1" t="s">
        <v>147</v>
      </c>
      <c r="F246" s="1">
        <v>1920902030000</v>
      </c>
      <c r="G246" s="1" t="s">
        <v>274</v>
      </c>
      <c r="H246" s="1" t="s">
        <v>1430</v>
      </c>
      <c r="I246" s="1" t="s">
        <v>1182</v>
      </c>
      <c r="Q246" s="1" t="s">
        <v>264</v>
      </c>
      <c r="R246" s="1" t="s">
        <v>147</v>
      </c>
      <c r="S246" s="1" t="s">
        <v>274</v>
      </c>
    </row>
    <row r="247" spans="1:19" x14ac:dyDescent="0.25">
      <c r="A247" s="1">
        <v>1920902250000</v>
      </c>
      <c r="B247" s="1" t="s">
        <v>264</v>
      </c>
      <c r="C247" s="1" t="s">
        <v>1265</v>
      </c>
      <c r="D247" s="1">
        <v>3</v>
      </c>
      <c r="E247" s="1" t="s">
        <v>147</v>
      </c>
      <c r="F247" s="1">
        <v>1920902250000</v>
      </c>
      <c r="G247" s="1" t="s">
        <v>275</v>
      </c>
      <c r="H247" s="1" t="s">
        <v>1431</v>
      </c>
      <c r="I247" s="1" t="s">
        <v>1182</v>
      </c>
      <c r="Q247" s="1" t="s">
        <v>264</v>
      </c>
      <c r="R247" s="1" t="s">
        <v>147</v>
      </c>
      <c r="S247" s="1" t="s">
        <v>275</v>
      </c>
    </row>
    <row r="248" spans="1:19" x14ac:dyDescent="0.25">
      <c r="A248" s="1">
        <v>1920923810000</v>
      </c>
      <c r="B248" s="1" t="s">
        <v>264</v>
      </c>
      <c r="C248" s="1" t="s">
        <v>1265</v>
      </c>
      <c r="D248" s="1">
        <v>3</v>
      </c>
      <c r="E248" s="1" t="s">
        <v>147</v>
      </c>
      <c r="F248" s="1">
        <v>1920923810000</v>
      </c>
      <c r="G248" s="1" t="s">
        <v>276</v>
      </c>
      <c r="H248" s="1" t="s">
        <v>1432</v>
      </c>
      <c r="I248" s="1" t="s">
        <v>1182</v>
      </c>
      <c r="Q248" s="1" t="s">
        <v>264</v>
      </c>
      <c r="R248" s="1" t="s">
        <v>147</v>
      </c>
      <c r="S248" s="1" t="s">
        <v>276</v>
      </c>
    </row>
    <row r="249" spans="1:19" x14ac:dyDescent="0.25">
      <c r="A249" s="1">
        <v>1920927610000</v>
      </c>
      <c r="B249" s="1" t="s">
        <v>264</v>
      </c>
      <c r="C249" s="1" t="s">
        <v>1265</v>
      </c>
      <c r="D249" s="1">
        <v>3</v>
      </c>
      <c r="E249" s="1" t="s">
        <v>147</v>
      </c>
      <c r="F249" s="1">
        <v>1920927610000</v>
      </c>
      <c r="G249" s="1" t="s">
        <v>277</v>
      </c>
      <c r="H249" s="1" t="s">
        <v>1433</v>
      </c>
      <c r="I249" s="1" t="s">
        <v>1182</v>
      </c>
      <c r="Q249" s="1" t="s">
        <v>264</v>
      </c>
      <c r="R249" s="1" t="s">
        <v>147</v>
      </c>
      <c r="S249" s="1" t="s">
        <v>277</v>
      </c>
    </row>
    <row r="250" spans="1:19" x14ac:dyDescent="0.25">
      <c r="A250" s="1">
        <v>1920930800000</v>
      </c>
      <c r="B250" s="1" t="s">
        <v>264</v>
      </c>
      <c r="C250" s="1" t="s">
        <v>1265</v>
      </c>
      <c r="D250" s="1">
        <v>3</v>
      </c>
      <c r="E250" s="1" t="s">
        <v>147</v>
      </c>
      <c r="F250" s="1">
        <v>1920930800000</v>
      </c>
      <c r="G250" s="1" t="s">
        <v>278</v>
      </c>
      <c r="H250" s="1" t="s">
        <v>1434</v>
      </c>
      <c r="I250" s="1" t="s">
        <v>1182</v>
      </c>
      <c r="Q250" s="1" t="s">
        <v>264</v>
      </c>
      <c r="R250" s="1" t="s">
        <v>147</v>
      </c>
      <c r="S250" s="1" t="s">
        <v>278</v>
      </c>
    </row>
    <row r="251" spans="1:19" x14ac:dyDescent="0.25">
      <c r="A251" s="1">
        <v>1920931000000</v>
      </c>
      <c r="B251" s="1" t="s">
        <v>264</v>
      </c>
      <c r="C251" s="1" t="s">
        <v>1265</v>
      </c>
      <c r="D251" s="1">
        <v>3</v>
      </c>
      <c r="E251" s="1" t="s">
        <v>147</v>
      </c>
      <c r="F251" s="1">
        <v>1920931000000</v>
      </c>
      <c r="G251" s="1" t="s">
        <v>279</v>
      </c>
      <c r="H251" s="1" t="s">
        <v>1435</v>
      </c>
      <c r="I251" s="1" t="s">
        <v>1182</v>
      </c>
      <c r="Q251" s="1" t="s">
        <v>264</v>
      </c>
      <c r="R251" s="1" t="s">
        <v>147</v>
      </c>
      <c r="S251" s="1" t="s">
        <v>279</v>
      </c>
    </row>
    <row r="252" spans="1:19" x14ac:dyDescent="0.25">
      <c r="A252" s="1">
        <v>1920932360000</v>
      </c>
      <c r="B252" s="1" t="s">
        <v>264</v>
      </c>
      <c r="C252" s="1" t="s">
        <v>1265</v>
      </c>
      <c r="D252" s="1">
        <v>3</v>
      </c>
      <c r="E252" s="1" t="s">
        <v>147</v>
      </c>
      <c r="F252" s="1">
        <v>1920932360000</v>
      </c>
      <c r="G252" s="1" t="s">
        <v>280</v>
      </c>
      <c r="H252" s="1" t="s">
        <v>1436</v>
      </c>
      <c r="I252" s="1" t="s">
        <v>1182</v>
      </c>
      <c r="Q252" s="1" t="s">
        <v>264</v>
      </c>
      <c r="R252" s="1" t="s">
        <v>147</v>
      </c>
      <c r="S252" s="1" t="s">
        <v>280</v>
      </c>
    </row>
    <row r="253" spans="1:19" x14ac:dyDescent="0.25">
      <c r="A253" s="1">
        <v>1920933060000</v>
      </c>
      <c r="B253" s="1" t="s">
        <v>264</v>
      </c>
      <c r="C253" s="1" t="s">
        <v>1265</v>
      </c>
      <c r="D253" s="1">
        <v>3</v>
      </c>
      <c r="E253" s="1" t="s">
        <v>147</v>
      </c>
      <c r="F253" s="1">
        <v>1920933060000</v>
      </c>
      <c r="G253" s="1" t="s">
        <v>281</v>
      </c>
      <c r="H253" s="1" t="s">
        <v>1437</v>
      </c>
      <c r="I253" s="1" t="s">
        <v>1182</v>
      </c>
      <c r="Q253" s="1" t="s">
        <v>264</v>
      </c>
      <c r="R253" s="1" t="s">
        <v>147</v>
      </c>
      <c r="S253" s="1" t="s">
        <v>281</v>
      </c>
    </row>
    <row r="254" spans="1:19" x14ac:dyDescent="0.25">
      <c r="A254" s="1">
        <v>1920901270000</v>
      </c>
      <c r="B254" s="1" t="s">
        <v>264</v>
      </c>
      <c r="C254" s="1" t="s">
        <v>1265</v>
      </c>
      <c r="D254" s="1">
        <v>6</v>
      </c>
      <c r="E254" s="1" t="s">
        <v>147</v>
      </c>
      <c r="F254" s="1">
        <v>1920901270000</v>
      </c>
      <c r="G254" s="1" t="s">
        <v>282</v>
      </c>
      <c r="H254" s="1" t="s">
        <v>1438</v>
      </c>
      <c r="I254" s="1" t="s">
        <v>1182</v>
      </c>
      <c r="Q254" s="1" t="s">
        <v>264</v>
      </c>
      <c r="R254" s="1" t="s">
        <v>147</v>
      </c>
      <c r="S254" s="1" t="s">
        <v>282</v>
      </c>
    </row>
    <row r="255" spans="1:19" x14ac:dyDescent="0.25">
      <c r="A255" s="1">
        <v>1920930810000</v>
      </c>
      <c r="B255" s="1" t="s">
        <v>264</v>
      </c>
      <c r="C255" s="1" t="s">
        <v>1265</v>
      </c>
      <c r="D255" s="1">
        <v>6</v>
      </c>
      <c r="E255" s="1" t="s">
        <v>147</v>
      </c>
      <c r="F255" s="1">
        <v>1920930810000</v>
      </c>
      <c r="G255" s="1" t="s">
        <v>212</v>
      </c>
      <c r="H255" s="1" t="s">
        <v>1439</v>
      </c>
      <c r="I255" s="1" t="s">
        <v>1182</v>
      </c>
      <c r="Q255" s="1" t="s">
        <v>264</v>
      </c>
      <c r="R255" s="1" t="s">
        <v>147</v>
      </c>
      <c r="S255" s="1" t="s">
        <v>212</v>
      </c>
    </row>
    <row r="256" spans="1:19" x14ac:dyDescent="0.25">
      <c r="A256" s="1">
        <v>1920930910000</v>
      </c>
      <c r="B256" s="1" t="s">
        <v>264</v>
      </c>
      <c r="C256" s="1" t="s">
        <v>1265</v>
      </c>
      <c r="D256" s="1">
        <v>6</v>
      </c>
      <c r="E256" s="1" t="s">
        <v>147</v>
      </c>
      <c r="F256" s="1">
        <v>1920930910000</v>
      </c>
      <c r="G256" s="1" t="s">
        <v>283</v>
      </c>
      <c r="H256" s="1" t="s">
        <v>1440</v>
      </c>
      <c r="I256" s="1" t="s">
        <v>1182</v>
      </c>
      <c r="Q256" s="1" t="s">
        <v>264</v>
      </c>
      <c r="R256" s="1" t="s">
        <v>147</v>
      </c>
      <c r="S256" s="1" t="s">
        <v>283</v>
      </c>
    </row>
    <row r="257" spans="1:19" x14ac:dyDescent="0.25">
      <c r="A257" s="1">
        <v>1920931160000</v>
      </c>
      <c r="B257" s="1" t="s">
        <v>264</v>
      </c>
      <c r="C257" s="1" t="s">
        <v>1265</v>
      </c>
      <c r="D257" s="1">
        <v>6</v>
      </c>
      <c r="E257" s="1" t="s">
        <v>147</v>
      </c>
      <c r="F257" s="1">
        <v>1920931160000</v>
      </c>
      <c r="G257" s="1" t="s">
        <v>284</v>
      </c>
      <c r="H257" s="1" t="s">
        <v>1441</v>
      </c>
      <c r="I257" s="1" t="s">
        <v>1182</v>
      </c>
      <c r="Q257" s="1" t="s">
        <v>264</v>
      </c>
      <c r="R257" s="1" t="s">
        <v>147</v>
      </c>
      <c r="S257" s="1" t="s">
        <v>284</v>
      </c>
    </row>
    <row r="258" spans="1:19" x14ac:dyDescent="0.25">
      <c r="A258" s="1">
        <v>1920930540000</v>
      </c>
      <c r="B258" s="1" t="s">
        <v>264</v>
      </c>
      <c r="C258" s="1" t="s">
        <v>1265</v>
      </c>
      <c r="E258" s="1" t="s">
        <v>147</v>
      </c>
      <c r="F258" s="1">
        <v>1920930540000</v>
      </c>
      <c r="G258" s="1" t="s">
        <v>286</v>
      </c>
      <c r="H258" s="1" t="s">
        <v>1442</v>
      </c>
      <c r="I258" s="1" t="s">
        <v>1182</v>
      </c>
      <c r="Q258" s="1" t="s">
        <v>285</v>
      </c>
      <c r="R258" s="1" t="s">
        <v>147</v>
      </c>
      <c r="S258" s="1" t="s">
        <v>286</v>
      </c>
    </row>
    <row r="259" spans="1:19" x14ac:dyDescent="0.25">
      <c r="A259" s="1">
        <v>1920901210000</v>
      </c>
      <c r="B259" s="1" t="s">
        <v>287</v>
      </c>
      <c r="C259" s="1" t="s">
        <v>1265</v>
      </c>
      <c r="D259" s="1">
        <v>4</v>
      </c>
      <c r="E259" s="1" t="s">
        <v>147</v>
      </c>
      <c r="F259" s="1">
        <v>1920901210000</v>
      </c>
      <c r="G259" s="1" t="s">
        <v>288</v>
      </c>
      <c r="H259" s="1" t="s">
        <v>1443</v>
      </c>
      <c r="I259" s="1" t="s">
        <v>1182</v>
      </c>
      <c r="Q259" s="1" t="s">
        <v>287</v>
      </c>
      <c r="R259" s="1" t="s">
        <v>147</v>
      </c>
      <c r="S259" s="1" t="s">
        <v>288</v>
      </c>
    </row>
    <row r="260" spans="1:19" x14ac:dyDescent="0.25">
      <c r="A260" s="1">
        <v>1920901220000</v>
      </c>
      <c r="B260" s="1" t="s">
        <v>287</v>
      </c>
      <c r="C260" s="1" t="s">
        <v>1265</v>
      </c>
      <c r="D260" s="1">
        <v>4</v>
      </c>
      <c r="E260" s="1" t="s">
        <v>147</v>
      </c>
      <c r="F260" s="1">
        <v>1920901220000</v>
      </c>
      <c r="G260" s="1" t="s">
        <v>289</v>
      </c>
      <c r="H260" s="1" t="s">
        <v>1444</v>
      </c>
      <c r="I260" s="1" t="s">
        <v>1182</v>
      </c>
      <c r="Q260" s="1" t="s">
        <v>287</v>
      </c>
      <c r="R260" s="1" t="s">
        <v>147</v>
      </c>
      <c r="S260" s="1" t="s">
        <v>289</v>
      </c>
    </row>
    <row r="261" spans="1:19" x14ac:dyDescent="0.25">
      <c r="A261" s="1">
        <v>1920901230000</v>
      </c>
      <c r="B261" s="1" t="s">
        <v>287</v>
      </c>
      <c r="C261" s="1" t="s">
        <v>1265</v>
      </c>
      <c r="D261" s="1">
        <v>4</v>
      </c>
      <c r="E261" s="1" t="s">
        <v>147</v>
      </c>
      <c r="F261" s="1">
        <v>1920901230000</v>
      </c>
      <c r="G261" s="1" t="s">
        <v>290</v>
      </c>
      <c r="H261" s="1" t="s">
        <v>1445</v>
      </c>
      <c r="I261" s="1" t="s">
        <v>1182</v>
      </c>
      <c r="Q261" s="1" t="s">
        <v>287</v>
      </c>
      <c r="R261" s="1" t="s">
        <v>147</v>
      </c>
      <c r="S261" s="1" t="s">
        <v>290</v>
      </c>
    </row>
    <row r="262" spans="1:19" x14ac:dyDescent="0.25">
      <c r="A262" s="1">
        <v>1920901310000</v>
      </c>
      <c r="B262" s="1" t="s">
        <v>287</v>
      </c>
      <c r="C262" s="1" t="s">
        <v>1265</v>
      </c>
      <c r="D262" s="1">
        <v>4</v>
      </c>
      <c r="E262" s="1" t="s">
        <v>147</v>
      </c>
      <c r="F262" s="1">
        <v>1920901310000</v>
      </c>
      <c r="G262" s="1" t="s">
        <v>291</v>
      </c>
      <c r="H262" s="1" t="s">
        <v>1446</v>
      </c>
      <c r="I262" s="1" t="s">
        <v>1182</v>
      </c>
      <c r="Q262" s="1" t="s">
        <v>287</v>
      </c>
      <c r="R262" s="1" t="s">
        <v>147</v>
      </c>
      <c r="S262" s="1" t="s">
        <v>291</v>
      </c>
    </row>
    <row r="263" spans="1:19" x14ac:dyDescent="0.25">
      <c r="A263" s="1">
        <v>1920901320000</v>
      </c>
      <c r="B263" s="1" t="s">
        <v>287</v>
      </c>
      <c r="C263" s="1" t="s">
        <v>1265</v>
      </c>
      <c r="D263" s="1">
        <v>4</v>
      </c>
      <c r="E263" s="1" t="s">
        <v>147</v>
      </c>
      <c r="F263" s="1">
        <v>1920901320000</v>
      </c>
      <c r="G263" s="1" t="s">
        <v>292</v>
      </c>
      <c r="H263" s="1" t="s">
        <v>1447</v>
      </c>
      <c r="I263" s="1" t="s">
        <v>1182</v>
      </c>
      <c r="Q263" s="1" t="s">
        <v>287</v>
      </c>
      <c r="R263" s="1" t="s">
        <v>147</v>
      </c>
      <c r="S263" s="1" t="s">
        <v>292</v>
      </c>
    </row>
    <row r="264" spans="1:19" x14ac:dyDescent="0.25">
      <c r="A264" s="1">
        <v>1920901330000</v>
      </c>
      <c r="B264" s="1" t="s">
        <v>287</v>
      </c>
      <c r="C264" s="1" t="s">
        <v>1265</v>
      </c>
      <c r="D264" s="1">
        <v>4</v>
      </c>
      <c r="E264" s="1" t="s">
        <v>147</v>
      </c>
      <c r="F264" s="1">
        <v>1920901330000</v>
      </c>
      <c r="G264" s="1" t="s">
        <v>293</v>
      </c>
      <c r="H264" s="1" t="s">
        <v>1448</v>
      </c>
      <c r="I264" s="1" t="s">
        <v>1182</v>
      </c>
      <c r="Q264" s="1" t="s">
        <v>287</v>
      </c>
      <c r="R264" s="1" t="s">
        <v>147</v>
      </c>
      <c r="S264" s="1" t="s">
        <v>293</v>
      </c>
    </row>
    <row r="265" spans="1:19" x14ac:dyDescent="0.25">
      <c r="A265" s="1">
        <v>1920901880000</v>
      </c>
      <c r="B265" s="1" t="s">
        <v>287</v>
      </c>
      <c r="C265" s="1" t="s">
        <v>1265</v>
      </c>
      <c r="D265" s="1">
        <v>4</v>
      </c>
      <c r="E265" s="1" t="s">
        <v>147</v>
      </c>
      <c r="F265" s="1">
        <v>1920901880000</v>
      </c>
      <c r="G265" s="1" t="s">
        <v>294</v>
      </c>
      <c r="H265" s="1" t="s">
        <v>1449</v>
      </c>
      <c r="I265" s="1" t="s">
        <v>1182</v>
      </c>
      <c r="Q265" s="1" t="s">
        <v>287</v>
      </c>
      <c r="R265" s="1" t="s">
        <v>147</v>
      </c>
      <c r="S265" s="1" t="s">
        <v>294</v>
      </c>
    </row>
    <row r="266" spans="1:19" x14ac:dyDescent="0.25">
      <c r="A266" s="1">
        <v>1920901890000</v>
      </c>
      <c r="B266" s="1" t="s">
        <v>287</v>
      </c>
      <c r="C266" s="1" t="s">
        <v>1265</v>
      </c>
      <c r="D266" s="1">
        <v>4</v>
      </c>
      <c r="E266" s="1" t="s">
        <v>147</v>
      </c>
      <c r="F266" s="1">
        <v>1920901890000</v>
      </c>
      <c r="G266" s="1" t="s">
        <v>295</v>
      </c>
      <c r="H266" s="1" t="s">
        <v>1450</v>
      </c>
      <c r="I266" s="1" t="s">
        <v>1182</v>
      </c>
      <c r="Q266" s="1" t="s">
        <v>287</v>
      </c>
      <c r="R266" s="1" t="s">
        <v>147</v>
      </c>
      <c r="S266" s="1" t="s">
        <v>295</v>
      </c>
    </row>
    <row r="267" spans="1:19" x14ac:dyDescent="0.25">
      <c r="A267" s="1">
        <v>1920902100000</v>
      </c>
      <c r="B267" s="1" t="s">
        <v>287</v>
      </c>
      <c r="C267" s="1" t="s">
        <v>1265</v>
      </c>
      <c r="D267" s="1">
        <v>4</v>
      </c>
      <c r="E267" s="1" t="s">
        <v>147</v>
      </c>
      <c r="F267" s="1">
        <v>1920902100000</v>
      </c>
      <c r="G267" s="1" t="s">
        <v>296</v>
      </c>
      <c r="H267" s="1" t="s">
        <v>1451</v>
      </c>
      <c r="I267" s="1" t="s">
        <v>1182</v>
      </c>
      <c r="Q267" s="1" t="s">
        <v>287</v>
      </c>
      <c r="R267" s="1" t="s">
        <v>147</v>
      </c>
      <c r="S267" s="1" t="s">
        <v>296</v>
      </c>
    </row>
    <row r="268" spans="1:19" x14ac:dyDescent="0.25">
      <c r="A268" s="1">
        <v>1920902110000</v>
      </c>
      <c r="B268" s="1" t="s">
        <v>287</v>
      </c>
      <c r="C268" s="1" t="s">
        <v>1265</v>
      </c>
      <c r="D268" s="1">
        <v>4</v>
      </c>
      <c r="E268" s="1" t="s">
        <v>147</v>
      </c>
      <c r="F268" s="1">
        <v>1920902110000</v>
      </c>
      <c r="G268" s="1" t="s">
        <v>297</v>
      </c>
      <c r="H268" s="1" t="s">
        <v>1452</v>
      </c>
      <c r="I268" s="1" t="s">
        <v>1182</v>
      </c>
      <c r="Q268" s="1" t="s">
        <v>287</v>
      </c>
      <c r="R268" s="1" t="s">
        <v>147</v>
      </c>
      <c r="S268" s="1" t="s">
        <v>297</v>
      </c>
    </row>
    <row r="269" spans="1:19" x14ac:dyDescent="0.25">
      <c r="A269" s="1">
        <v>1920902180000</v>
      </c>
      <c r="B269" s="1" t="s">
        <v>287</v>
      </c>
      <c r="C269" s="1" t="s">
        <v>1265</v>
      </c>
      <c r="D269" s="1">
        <v>4</v>
      </c>
      <c r="E269" s="1" t="s">
        <v>147</v>
      </c>
      <c r="F269" s="1">
        <v>1920902180000</v>
      </c>
      <c r="G269" s="1" t="s">
        <v>298</v>
      </c>
      <c r="H269" s="1" t="s">
        <v>1453</v>
      </c>
      <c r="I269" s="1" t="s">
        <v>1182</v>
      </c>
      <c r="Q269" s="1" t="s">
        <v>287</v>
      </c>
      <c r="R269" s="1" t="s">
        <v>147</v>
      </c>
      <c r="S269" s="1" t="s">
        <v>298</v>
      </c>
    </row>
    <row r="270" spans="1:19" x14ac:dyDescent="0.25">
      <c r="A270" s="1">
        <v>1920902330000</v>
      </c>
      <c r="B270" s="1" t="s">
        <v>287</v>
      </c>
      <c r="C270" s="1" t="s">
        <v>1265</v>
      </c>
      <c r="D270" s="1">
        <v>4</v>
      </c>
      <c r="E270" s="1" t="s">
        <v>147</v>
      </c>
      <c r="F270" s="1">
        <v>1920902330000</v>
      </c>
      <c r="G270" s="1" t="s">
        <v>299</v>
      </c>
      <c r="H270" s="1" t="s">
        <v>1454</v>
      </c>
      <c r="I270" s="1" t="s">
        <v>1182</v>
      </c>
      <c r="Q270" s="1" t="s">
        <v>287</v>
      </c>
      <c r="R270" s="1" t="s">
        <v>147</v>
      </c>
      <c r="S270" s="1" t="s">
        <v>299</v>
      </c>
    </row>
    <row r="271" spans="1:19" x14ac:dyDescent="0.25">
      <c r="A271" s="1">
        <v>1920931230000</v>
      </c>
      <c r="B271" s="1" t="s">
        <v>287</v>
      </c>
      <c r="C271" s="1" t="s">
        <v>1265</v>
      </c>
      <c r="D271" s="1">
        <v>4</v>
      </c>
      <c r="E271" s="1" t="s">
        <v>147</v>
      </c>
      <c r="F271" s="1">
        <v>1920931230000</v>
      </c>
      <c r="G271" s="1" t="s">
        <v>300</v>
      </c>
      <c r="H271" s="1" t="s">
        <v>1455</v>
      </c>
      <c r="I271" s="1" t="s">
        <v>1182</v>
      </c>
      <c r="Q271" s="1" t="s">
        <v>287</v>
      </c>
      <c r="R271" s="1" t="s">
        <v>147</v>
      </c>
      <c r="S271" s="1" t="s">
        <v>300</v>
      </c>
    </row>
    <row r="272" spans="1:19" x14ac:dyDescent="0.25">
      <c r="A272" s="1">
        <v>1920931270000</v>
      </c>
      <c r="B272" s="1" t="s">
        <v>287</v>
      </c>
      <c r="C272" s="1" t="s">
        <v>1265</v>
      </c>
      <c r="D272" s="1">
        <v>4</v>
      </c>
      <c r="E272" s="1" t="s">
        <v>147</v>
      </c>
      <c r="F272" s="1">
        <v>1920931270000</v>
      </c>
      <c r="G272" s="1" t="s">
        <v>301</v>
      </c>
      <c r="H272" s="1" t="s">
        <v>1456</v>
      </c>
      <c r="I272" s="1" t="s">
        <v>1182</v>
      </c>
      <c r="Q272" s="1" t="s">
        <v>287</v>
      </c>
      <c r="R272" s="1" t="s">
        <v>147</v>
      </c>
      <c r="S272" s="1" t="s">
        <v>301</v>
      </c>
    </row>
    <row r="273" spans="1:19" x14ac:dyDescent="0.25">
      <c r="A273" s="1">
        <v>1920931970000</v>
      </c>
      <c r="B273" s="1" t="s">
        <v>287</v>
      </c>
      <c r="C273" s="1" t="s">
        <v>1265</v>
      </c>
      <c r="D273" s="1">
        <v>4</v>
      </c>
      <c r="E273" s="1" t="s">
        <v>147</v>
      </c>
      <c r="F273" s="1">
        <v>1920931970000</v>
      </c>
      <c r="G273" s="1" t="s">
        <v>302</v>
      </c>
      <c r="H273" s="1" t="s">
        <v>1457</v>
      </c>
      <c r="I273" s="1" t="s">
        <v>1182</v>
      </c>
      <c r="Q273" s="1" t="s">
        <v>287</v>
      </c>
      <c r="R273" s="1" t="s">
        <v>147</v>
      </c>
      <c r="S273" s="1" t="s">
        <v>302</v>
      </c>
    </row>
    <row r="274" spans="1:19" x14ac:dyDescent="0.25">
      <c r="A274" s="1">
        <v>1920932520000</v>
      </c>
      <c r="B274" s="1" t="s">
        <v>287</v>
      </c>
      <c r="C274" s="1" t="s">
        <v>1265</v>
      </c>
      <c r="D274" s="1">
        <v>4</v>
      </c>
      <c r="E274" s="1" t="s">
        <v>147</v>
      </c>
      <c r="F274" s="1">
        <v>1920932520000</v>
      </c>
      <c r="G274" s="1" t="s">
        <v>303</v>
      </c>
      <c r="H274" s="1" t="s">
        <v>1458</v>
      </c>
      <c r="I274" s="1" t="s">
        <v>1182</v>
      </c>
      <c r="Q274" s="1" t="s">
        <v>287</v>
      </c>
      <c r="R274" s="1" t="s">
        <v>147</v>
      </c>
      <c r="S274" s="1" t="s">
        <v>303</v>
      </c>
    </row>
    <row r="275" spans="1:19" x14ac:dyDescent="0.25">
      <c r="A275" s="1">
        <v>1920932960000</v>
      </c>
      <c r="B275" s="1" t="s">
        <v>287</v>
      </c>
      <c r="C275" s="1" t="s">
        <v>1265</v>
      </c>
      <c r="D275" s="1">
        <v>4</v>
      </c>
      <c r="E275" s="1" t="s">
        <v>147</v>
      </c>
      <c r="F275" s="1">
        <v>1920932960000</v>
      </c>
      <c r="G275" s="1" t="s">
        <v>304</v>
      </c>
      <c r="H275" s="1" t="s">
        <v>1459</v>
      </c>
      <c r="I275" s="1" t="s">
        <v>1182</v>
      </c>
      <c r="Q275" s="1" t="s">
        <v>287</v>
      </c>
      <c r="R275" s="1" t="s">
        <v>147</v>
      </c>
      <c r="S275" s="1" t="s">
        <v>304</v>
      </c>
    </row>
    <row r="276" spans="1:19" x14ac:dyDescent="0.25">
      <c r="A276" s="1">
        <v>1920936420000</v>
      </c>
      <c r="B276" s="1" t="s">
        <v>287</v>
      </c>
      <c r="C276" s="1" t="s">
        <v>1265</v>
      </c>
      <c r="D276" s="1">
        <v>4</v>
      </c>
      <c r="E276" s="1" t="s">
        <v>147</v>
      </c>
      <c r="F276" s="1">
        <v>1920936420000</v>
      </c>
      <c r="G276" s="1" t="s">
        <v>305</v>
      </c>
      <c r="H276" s="1" t="s">
        <v>1460</v>
      </c>
      <c r="I276" s="1" t="s">
        <v>1182</v>
      </c>
      <c r="Q276" s="1" t="s">
        <v>287</v>
      </c>
      <c r="R276" s="1" t="s">
        <v>147</v>
      </c>
      <c r="S276" s="1" t="s">
        <v>305</v>
      </c>
    </row>
    <row r="277" spans="1:19" x14ac:dyDescent="0.25">
      <c r="A277" s="1">
        <v>1920937300000</v>
      </c>
      <c r="B277" s="1" t="s">
        <v>287</v>
      </c>
      <c r="C277" s="1" t="s">
        <v>1265</v>
      </c>
      <c r="D277" s="1">
        <v>4</v>
      </c>
      <c r="E277" s="1" t="s">
        <v>147</v>
      </c>
      <c r="F277" s="1">
        <v>1920937300000</v>
      </c>
      <c r="G277" s="1" t="s">
        <v>306</v>
      </c>
      <c r="H277" s="1" t="s">
        <v>1461</v>
      </c>
      <c r="I277" s="1" t="s">
        <v>1182</v>
      </c>
      <c r="Q277" s="1" t="s">
        <v>287</v>
      </c>
      <c r="R277" s="1" t="s">
        <v>147</v>
      </c>
      <c r="S277" s="1" t="s">
        <v>306</v>
      </c>
    </row>
    <row r="278" spans="1:19" x14ac:dyDescent="0.25">
      <c r="A278" s="1">
        <v>1920953000000</v>
      </c>
      <c r="B278" s="1" t="s">
        <v>287</v>
      </c>
      <c r="C278" s="1" t="s">
        <v>1265</v>
      </c>
      <c r="D278" s="1">
        <v>4</v>
      </c>
      <c r="E278" s="1" t="s">
        <v>147</v>
      </c>
      <c r="F278" s="1">
        <v>1920953000000</v>
      </c>
      <c r="G278" s="1" t="s">
        <v>307</v>
      </c>
      <c r="H278" s="1" t="s">
        <v>1462</v>
      </c>
      <c r="I278" s="1" t="s">
        <v>1182</v>
      </c>
      <c r="Q278" s="1" t="s">
        <v>287</v>
      </c>
      <c r="R278" s="1" t="s">
        <v>147</v>
      </c>
      <c r="S278" s="1" t="s">
        <v>307</v>
      </c>
    </row>
    <row r="279" spans="1:19" x14ac:dyDescent="0.25">
      <c r="A279" s="1">
        <v>1920902070000</v>
      </c>
      <c r="B279" s="1" t="s">
        <v>287</v>
      </c>
      <c r="C279" s="1" t="s">
        <v>1265</v>
      </c>
      <c r="D279" s="1">
        <v>4</v>
      </c>
      <c r="E279" s="1" t="s">
        <v>147</v>
      </c>
      <c r="F279" s="1">
        <v>1920902070000</v>
      </c>
      <c r="G279" s="1" t="s">
        <v>308</v>
      </c>
      <c r="H279" s="1" t="s">
        <v>1463</v>
      </c>
      <c r="I279" s="1" t="s">
        <v>1182</v>
      </c>
      <c r="Q279" s="1" t="s">
        <v>287</v>
      </c>
      <c r="R279" s="1" t="s">
        <v>147</v>
      </c>
      <c r="S279" s="1" t="s">
        <v>308</v>
      </c>
    </row>
    <row r="280" spans="1:19" x14ac:dyDescent="0.25">
      <c r="A280" s="1">
        <v>1920902280000</v>
      </c>
      <c r="B280" s="1" t="s">
        <v>287</v>
      </c>
      <c r="C280" s="1" t="s">
        <v>1265</v>
      </c>
      <c r="D280" s="1">
        <v>4</v>
      </c>
      <c r="E280" s="1" t="s">
        <v>147</v>
      </c>
      <c r="F280" s="1">
        <v>1920902280000</v>
      </c>
      <c r="G280" s="1" t="s">
        <v>309</v>
      </c>
      <c r="H280" s="1" t="s">
        <v>1464</v>
      </c>
      <c r="I280" s="1" t="s">
        <v>1182</v>
      </c>
      <c r="Q280" s="1" t="s">
        <v>287</v>
      </c>
      <c r="R280" s="1" t="s">
        <v>147</v>
      </c>
      <c r="S280" s="1" t="s">
        <v>309</v>
      </c>
    </row>
    <row r="281" spans="1:19" x14ac:dyDescent="0.25">
      <c r="A281" s="1">
        <v>1920901300000</v>
      </c>
      <c r="B281" s="1" t="s">
        <v>310</v>
      </c>
      <c r="C281" s="1" t="s">
        <v>1265</v>
      </c>
      <c r="D281" s="1">
        <v>5</v>
      </c>
      <c r="E281" s="1" t="s">
        <v>147</v>
      </c>
      <c r="F281" s="1">
        <v>1920901300000</v>
      </c>
      <c r="G281" s="1" t="s">
        <v>311</v>
      </c>
      <c r="H281" s="1" t="s">
        <v>1465</v>
      </c>
      <c r="I281" s="1" t="s">
        <v>1182</v>
      </c>
      <c r="Q281" s="1" t="s">
        <v>310</v>
      </c>
      <c r="R281" s="1" t="s">
        <v>147</v>
      </c>
      <c r="S281" s="1" t="s">
        <v>311</v>
      </c>
    </row>
    <row r="282" spans="1:19" x14ac:dyDescent="0.25">
      <c r="A282" s="1">
        <v>1920901670000</v>
      </c>
      <c r="B282" s="1" t="s">
        <v>310</v>
      </c>
      <c r="C282" s="1" t="s">
        <v>1265</v>
      </c>
      <c r="D282" s="1">
        <v>5</v>
      </c>
      <c r="E282" s="1" t="s">
        <v>147</v>
      </c>
      <c r="F282" s="1">
        <v>1920901670000</v>
      </c>
      <c r="G282" s="1" t="s">
        <v>312</v>
      </c>
      <c r="H282" s="1" t="s">
        <v>1466</v>
      </c>
      <c r="I282" s="1" t="s">
        <v>1182</v>
      </c>
      <c r="Q282" s="1" t="s">
        <v>310</v>
      </c>
      <c r="R282" s="1" t="s">
        <v>147</v>
      </c>
      <c r="S282" s="1" t="s">
        <v>312</v>
      </c>
    </row>
    <row r="283" spans="1:19" x14ac:dyDescent="0.25">
      <c r="A283" s="1">
        <v>1920901800000</v>
      </c>
      <c r="B283" s="1" t="s">
        <v>310</v>
      </c>
      <c r="C283" s="1" t="s">
        <v>1265</v>
      </c>
      <c r="D283" s="1">
        <v>5</v>
      </c>
      <c r="E283" s="1" t="s">
        <v>147</v>
      </c>
      <c r="F283" s="1">
        <v>1920901800000</v>
      </c>
      <c r="G283" s="1" t="s">
        <v>313</v>
      </c>
      <c r="H283" s="1" t="s">
        <v>1467</v>
      </c>
      <c r="I283" s="1" t="s">
        <v>1182</v>
      </c>
      <c r="Q283" s="1" t="s">
        <v>310</v>
      </c>
      <c r="R283" s="1" t="s">
        <v>147</v>
      </c>
      <c r="S283" s="1" t="s">
        <v>313</v>
      </c>
    </row>
    <row r="284" spans="1:19" x14ac:dyDescent="0.25">
      <c r="A284" s="1">
        <v>1920901920000</v>
      </c>
      <c r="B284" s="1" t="s">
        <v>310</v>
      </c>
      <c r="C284" s="1" t="s">
        <v>1265</v>
      </c>
      <c r="D284" s="1">
        <v>5</v>
      </c>
      <c r="E284" s="1" t="s">
        <v>147</v>
      </c>
      <c r="F284" s="1">
        <v>1920901920000</v>
      </c>
      <c r="G284" s="1" t="s">
        <v>314</v>
      </c>
      <c r="H284" s="1" t="s">
        <v>1468</v>
      </c>
      <c r="I284" s="1" t="s">
        <v>1182</v>
      </c>
      <c r="Q284" s="1" t="s">
        <v>310</v>
      </c>
      <c r="R284" s="1" t="s">
        <v>147</v>
      </c>
      <c r="S284" s="1" t="s">
        <v>314</v>
      </c>
    </row>
    <row r="285" spans="1:19" x14ac:dyDescent="0.25">
      <c r="A285" s="1">
        <v>1920902320000</v>
      </c>
      <c r="B285" s="1" t="s">
        <v>310</v>
      </c>
      <c r="C285" s="1" t="s">
        <v>1265</v>
      </c>
      <c r="D285" s="1">
        <v>5</v>
      </c>
      <c r="E285" s="1" t="s">
        <v>147</v>
      </c>
      <c r="F285" s="1">
        <v>1920902320000</v>
      </c>
      <c r="G285" s="1" t="s">
        <v>315</v>
      </c>
      <c r="H285" s="1" t="s">
        <v>1469</v>
      </c>
      <c r="I285" s="1" t="s">
        <v>1182</v>
      </c>
      <c r="Q285" s="1" t="s">
        <v>310</v>
      </c>
      <c r="R285" s="1" t="s">
        <v>147</v>
      </c>
      <c r="S285" s="1" t="s">
        <v>315</v>
      </c>
    </row>
    <row r="286" spans="1:19" x14ac:dyDescent="0.25">
      <c r="A286" s="1">
        <v>1920928880000</v>
      </c>
      <c r="B286" s="1" t="s">
        <v>310</v>
      </c>
      <c r="C286" s="1" t="s">
        <v>1265</v>
      </c>
      <c r="D286" s="1">
        <v>5</v>
      </c>
      <c r="E286" s="1" t="s">
        <v>147</v>
      </c>
      <c r="F286" s="1">
        <v>1920928880000</v>
      </c>
      <c r="G286" s="1" t="s">
        <v>316</v>
      </c>
      <c r="H286" s="1" t="s">
        <v>1470</v>
      </c>
      <c r="I286" s="1" t="s">
        <v>1182</v>
      </c>
      <c r="Q286" s="1" t="s">
        <v>310</v>
      </c>
      <c r="R286" s="1" t="s">
        <v>147</v>
      </c>
      <c r="S286" s="1" t="s">
        <v>316</v>
      </c>
    </row>
    <row r="287" spans="1:19" x14ac:dyDescent="0.25">
      <c r="A287" s="1">
        <v>1920930940000</v>
      </c>
      <c r="B287" s="1" t="s">
        <v>310</v>
      </c>
      <c r="C287" s="1" t="s">
        <v>1265</v>
      </c>
      <c r="D287" s="1">
        <v>5</v>
      </c>
      <c r="E287" s="1" t="s">
        <v>147</v>
      </c>
      <c r="F287" s="1">
        <v>1920930940000</v>
      </c>
      <c r="G287" s="1" t="s">
        <v>317</v>
      </c>
      <c r="H287" s="1" t="s">
        <v>1471</v>
      </c>
      <c r="I287" s="1" t="s">
        <v>1182</v>
      </c>
      <c r="Q287" s="1" t="s">
        <v>310</v>
      </c>
      <c r="R287" s="1" t="s">
        <v>147</v>
      </c>
      <c r="S287" s="1" t="s">
        <v>317</v>
      </c>
    </row>
    <row r="288" spans="1:19" x14ac:dyDescent="0.25">
      <c r="A288" s="1">
        <v>1920931260000</v>
      </c>
      <c r="B288" s="1" t="s">
        <v>310</v>
      </c>
      <c r="C288" s="1" t="s">
        <v>1265</v>
      </c>
      <c r="D288" s="1">
        <v>5</v>
      </c>
      <c r="E288" s="1" t="s">
        <v>147</v>
      </c>
      <c r="F288" s="1">
        <v>1920931260000</v>
      </c>
      <c r="G288" s="1" t="s">
        <v>318</v>
      </c>
      <c r="H288" s="1" t="s">
        <v>1472</v>
      </c>
      <c r="I288" s="1" t="s">
        <v>1182</v>
      </c>
      <c r="Q288" s="1" t="s">
        <v>310</v>
      </c>
      <c r="R288" s="1" t="s">
        <v>147</v>
      </c>
      <c r="S288" s="1" t="s">
        <v>318</v>
      </c>
    </row>
    <row r="289" spans="1:19" x14ac:dyDescent="0.25">
      <c r="A289" s="1">
        <v>1920934880000</v>
      </c>
      <c r="B289" s="1" t="s">
        <v>310</v>
      </c>
      <c r="C289" s="1" t="s">
        <v>1265</v>
      </c>
      <c r="D289" s="1">
        <v>5</v>
      </c>
      <c r="E289" s="1" t="s">
        <v>147</v>
      </c>
      <c r="F289" s="1">
        <v>1920934880000</v>
      </c>
      <c r="G289" s="1" t="s">
        <v>319</v>
      </c>
      <c r="H289" s="1" t="s">
        <v>1473</v>
      </c>
      <c r="I289" s="1" t="s">
        <v>1182</v>
      </c>
      <c r="Q289" s="1" t="s">
        <v>310</v>
      </c>
      <c r="R289" s="1" t="s">
        <v>147</v>
      </c>
      <c r="S289" s="1" t="s">
        <v>319</v>
      </c>
    </row>
    <row r="290" spans="1:19" x14ac:dyDescent="0.25">
      <c r="A290" s="1">
        <v>1920938700000</v>
      </c>
      <c r="B290" s="1" t="s">
        <v>310</v>
      </c>
      <c r="C290" s="1" t="s">
        <v>1265</v>
      </c>
      <c r="D290" s="1">
        <v>5</v>
      </c>
      <c r="E290" s="1" t="s">
        <v>147</v>
      </c>
      <c r="F290" s="1">
        <v>1920938700000</v>
      </c>
      <c r="G290" s="1" t="s">
        <v>320</v>
      </c>
      <c r="H290" s="1" t="s">
        <v>1474</v>
      </c>
      <c r="I290" s="1" t="s">
        <v>1182</v>
      </c>
      <c r="Q290" s="1" t="s">
        <v>310</v>
      </c>
      <c r="R290" s="1" t="s">
        <v>147</v>
      </c>
      <c r="S290" s="1" t="s">
        <v>320</v>
      </c>
    </row>
    <row r="291" spans="1:19" x14ac:dyDescent="0.25">
      <c r="A291" s="1">
        <v>1920901060000</v>
      </c>
      <c r="B291" s="1" t="s">
        <v>310</v>
      </c>
      <c r="C291" s="1" t="s">
        <v>1265</v>
      </c>
      <c r="D291" s="1">
        <v>6</v>
      </c>
      <c r="E291" s="1" t="s">
        <v>147</v>
      </c>
      <c r="F291" s="1">
        <v>1920901060000</v>
      </c>
      <c r="G291" s="1" t="s">
        <v>321</v>
      </c>
      <c r="H291" s="1" t="s">
        <v>1475</v>
      </c>
      <c r="I291" s="1" t="s">
        <v>1182</v>
      </c>
      <c r="Q291" s="1" t="s">
        <v>310</v>
      </c>
      <c r="R291" s="1" t="s">
        <v>147</v>
      </c>
      <c r="S291" s="1" t="s">
        <v>321</v>
      </c>
    </row>
    <row r="292" spans="1:19" x14ac:dyDescent="0.25">
      <c r="A292" s="1">
        <v>1920901720000</v>
      </c>
      <c r="B292" s="1" t="s">
        <v>310</v>
      </c>
      <c r="C292" s="1" t="s">
        <v>1265</v>
      </c>
      <c r="D292" s="1">
        <v>6</v>
      </c>
      <c r="E292" s="1" t="s">
        <v>147</v>
      </c>
      <c r="F292" s="1">
        <v>1920901720000</v>
      </c>
      <c r="G292" s="1" t="s">
        <v>322</v>
      </c>
      <c r="H292" s="1" t="s">
        <v>1476</v>
      </c>
      <c r="I292" s="1" t="s">
        <v>1182</v>
      </c>
      <c r="Q292" s="1" t="s">
        <v>310</v>
      </c>
      <c r="R292" s="1" t="s">
        <v>147</v>
      </c>
      <c r="S292" s="1" t="s">
        <v>322</v>
      </c>
    </row>
    <row r="293" spans="1:19" x14ac:dyDescent="0.25">
      <c r="A293" s="1">
        <v>1920901730000</v>
      </c>
      <c r="B293" s="1" t="s">
        <v>310</v>
      </c>
      <c r="C293" s="1" t="s">
        <v>1265</v>
      </c>
      <c r="D293" s="1">
        <v>6</v>
      </c>
      <c r="E293" s="1" t="s">
        <v>147</v>
      </c>
      <c r="F293" s="1">
        <v>1920901730000</v>
      </c>
      <c r="G293" s="1" t="s">
        <v>323</v>
      </c>
      <c r="H293" s="1" t="s">
        <v>1477</v>
      </c>
      <c r="I293" s="1" t="s">
        <v>1182</v>
      </c>
      <c r="Q293" s="1" t="s">
        <v>310</v>
      </c>
      <c r="R293" s="1" t="s">
        <v>147</v>
      </c>
      <c r="S293" s="1" t="s">
        <v>323</v>
      </c>
    </row>
    <row r="294" spans="1:19" x14ac:dyDescent="0.25">
      <c r="A294" s="1">
        <v>1920902360000</v>
      </c>
      <c r="B294" s="1" t="s">
        <v>310</v>
      </c>
      <c r="C294" s="1" t="s">
        <v>1265</v>
      </c>
      <c r="D294" s="1">
        <v>6</v>
      </c>
      <c r="E294" s="1" t="s">
        <v>147</v>
      </c>
      <c r="F294" s="1">
        <v>1920902360000</v>
      </c>
      <c r="G294" s="1" t="s">
        <v>324</v>
      </c>
      <c r="H294" s="1" t="s">
        <v>1478</v>
      </c>
      <c r="I294" s="1" t="s">
        <v>1182</v>
      </c>
      <c r="Q294" s="1" t="s">
        <v>310</v>
      </c>
      <c r="R294" s="1" t="s">
        <v>147</v>
      </c>
      <c r="S294" s="1" t="s">
        <v>324</v>
      </c>
    </row>
    <row r="295" spans="1:19" x14ac:dyDescent="0.25">
      <c r="A295" s="1">
        <v>1920930420000</v>
      </c>
      <c r="B295" s="1" t="s">
        <v>310</v>
      </c>
      <c r="C295" s="1" t="s">
        <v>1265</v>
      </c>
      <c r="D295" s="1">
        <v>6</v>
      </c>
      <c r="E295" s="1" t="s">
        <v>147</v>
      </c>
      <c r="F295" s="1">
        <v>1920930420000</v>
      </c>
      <c r="G295" s="1" t="s">
        <v>325</v>
      </c>
      <c r="H295" s="1" t="s">
        <v>1479</v>
      </c>
      <c r="I295" s="1" t="s">
        <v>1182</v>
      </c>
      <c r="Q295" s="1" t="s">
        <v>310</v>
      </c>
      <c r="R295" s="1" t="s">
        <v>147</v>
      </c>
      <c r="S295" s="1" t="s">
        <v>325</v>
      </c>
    </row>
    <row r="296" spans="1:19" x14ac:dyDescent="0.25">
      <c r="A296" s="1">
        <v>1920930480000</v>
      </c>
      <c r="B296" s="1" t="s">
        <v>310</v>
      </c>
      <c r="C296" s="1" t="s">
        <v>1265</v>
      </c>
      <c r="D296" s="1">
        <v>6</v>
      </c>
      <c r="E296" s="1" t="s">
        <v>147</v>
      </c>
      <c r="F296" s="1">
        <v>1920930480000</v>
      </c>
      <c r="G296" s="1" t="s">
        <v>326</v>
      </c>
      <c r="H296" s="1" t="s">
        <v>1480</v>
      </c>
      <c r="I296" s="1" t="s">
        <v>1182</v>
      </c>
      <c r="Q296" s="1" t="s">
        <v>310</v>
      </c>
      <c r="R296" s="1" t="s">
        <v>147</v>
      </c>
      <c r="S296" s="1" t="s">
        <v>326</v>
      </c>
    </row>
    <row r="297" spans="1:19" x14ac:dyDescent="0.25">
      <c r="A297" s="1">
        <v>1920930820000</v>
      </c>
      <c r="B297" s="1" t="s">
        <v>310</v>
      </c>
      <c r="C297" s="1" t="s">
        <v>1265</v>
      </c>
      <c r="D297" s="1">
        <v>6</v>
      </c>
      <c r="E297" s="1" t="s">
        <v>147</v>
      </c>
      <c r="F297" s="1">
        <v>1920930820000</v>
      </c>
      <c r="G297" s="1" t="s">
        <v>327</v>
      </c>
      <c r="H297" s="1" t="s">
        <v>1481</v>
      </c>
      <c r="I297" s="1" t="s">
        <v>1182</v>
      </c>
      <c r="Q297" s="1" t="s">
        <v>310</v>
      </c>
      <c r="R297" s="1" t="s">
        <v>147</v>
      </c>
      <c r="S297" s="1" t="s">
        <v>327</v>
      </c>
    </row>
    <row r="298" spans="1:19" x14ac:dyDescent="0.25">
      <c r="A298" s="1">
        <v>1920930970000</v>
      </c>
      <c r="B298" s="1" t="s">
        <v>310</v>
      </c>
      <c r="C298" s="1" t="s">
        <v>1265</v>
      </c>
      <c r="D298" s="1">
        <v>6</v>
      </c>
      <c r="E298" s="1" t="s">
        <v>147</v>
      </c>
      <c r="F298" s="1">
        <v>1920930970000</v>
      </c>
      <c r="G298" s="1" t="s">
        <v>328</v>
      </c>
      <c r="H298" s="1" t="s">
        <v>1482</v>
      </c>
      <c r="I298" s="1" t="s">
        <v>1182</v>
      </c>
      <c r="Q298" s="1" t="s">
        <v>310</v>
      </c>
      <c r="R298" s="1" t="s">
        <v>147</v>
      </c>
      <c r="S298" s="1" t="s">
        <v>328</v>
      </c>
    </row>
    <row r="299" spans="1:19" x14ac:dyDescent="0.25">
      <c r="A299" s="1">
        <v>1920933790000</v>
      </c>
      <c r="B299" s="1" t="s">
        <v>310</v>
      </c>
      <c r="C299" s="1" t="s">
        <v>1265</v>
      </c>
      <c r="D299" s="1">
        <v>6</v>
      </c>
      <c r="E299" s="1" t="s">
        <v>147</v>
      </c>
      <c r="F299" s="1">
        <v>1920933790000</v>
      </c>
      <c r="G299" s="1" t="s">
        <v>329</v>
      </c>
      <c r="H299" s="1" t="s">
        <v>1483</v>
      </c>
      <c r="I299" s="1" t="s">
        <v>1182</v>
      </c>
      <c r="Q299" s="1" t="s">
        <v>310</v>
      </c>
      <c r="R299" s="1" t="s">
        <v>147</v>
      </c>
      <c r="S299" s="1" t="s">
        <v>329</v>
      </c>
    </row>
    <row r="300" spans="1:19" x14ac:dyDescent="0.25">
      <c r="A300" s="1">
        <v>1920930440000</v>
      </c>
      <c r="B300" s="1" t="s">
        <v>310</v>
      </c>
      <c r="C300" s="1" t="s">
        <v>1265</v>
      </c>
      <c r="E300" s="1" t="s">
        <v>147</v>
      </c>
      <c r="F300" s="1">
        <v>1920930440000</v>
      </c>
      <c r="G300" s="1" t="s">
        <v>330</v>
      </c>
      <c r="H300" s="1" t="s">
        <v>1484</v>
      </c>
      <c r="I300" s="1" t="s">
        <v>1182</v>
      </c>
      <c r="Q300" s="1" t="s">
        <v>310</v>
      </c>
      <c r="R300" s="1" t="s">
        <v>147</v>
      </c>
      <c r="S300" s="1" t="s">
        <v>330</v>
      </c>
    </row>
    <row r="301" spans="1:19" x14ac:dyDescent="0.25">
      <c r="A301" s="1">
        <v>1920932120000</v>
      </c>
      <c r="B301" s="1" t="s">
        <v>310</v>
      </c>
      <c r="C301" s="1" t="s">
        <v>1265</v>
      </c>
      <c r="E301" s="1" t="s">
        <v>147</v>
      </c>
      <c r="F301" s="1">
        <v>1920932120000</v>
      </c>
      <c r="G301" s="1" t="s">
        <v>331</v>
      </c>
      <c r="H301" s="1" t="s">
        <v>1485</v>
      </c>
      <c r="I301" s="1" t="s">
        <v>1182</v>
      </c>
      <c r="Q301" s="1" t="s">
        <v>310</v>
      </c>
      <c r="R301" s="1" t="s">
        <v>147</v>
      </c>
      <c r="S301" s="1" t="s">
        <v>331</v>
      </c>
    </row>
    <row r="302" spans="1:19" x14ac:dyDescent="0.25">
      <c r="A302" s="1">
        <v>1920901610000</v>
      </c>
      <c r="B302" s="1" t="s">
        <v>332</v>
      </c>
      <c r="C302" s="1" t="s">
        <v>1265</v>
      </c>
      <c r="D302" s="1">
        <v>7</v>
      </c>
      <c r="E302" s="1" t="s">
        <v>100</v>
      </c>
      <c r="F302" s="1">
        <v>1920901610000</v>
      </c>
      <c r="G302" s="1" t="s">
        <v>333</v>
      </c>
      <c r="H302" s="1" t="s">
        <v>1486</v>
      </c>
      <c r="I302" s="1" t="s">
        <v>1182</v>
      </c>
      <c r="Q302" s="1" t="s">
        <v>332</v>
      </c>
      <c r="R302" s="1" t="s">
        <v>100</v>
      </c>
      <c r="S302" s="1" t="s">
        <v>333</v>
      </c>
    </row>
    <row r="303" spans="1:19" x14ac:dyDescent="0.25">
      <c r="A303" s="1">
        <v>1920902470000</v>
      </c>
      <c r="B303" s="1" t="s">
        <v>332</v>
      </c>
      <c r="C303" s="1" t="s">
        <v>1265</v>
      </c>
      <c r="D303" s="1">
        <v>7</v>
      </c>
      <c r="E303" s="1" t="s">
        <v>100</v>
      </c>
      <c r="F303" s="1">
        <v>1920902470000</v>
      </c>
      <c r="G303" s="1" t="s">
        <v>334</v>
      </c>
      <c r="H303" s="1" t="s">
        <v>1487</v>
      </c>
      <c r="I303" s="1" t="s">
        <v>1182</v>
      </c>
      <c r="Q303" s="1" t="s">
        <v>332</v>
      </c>
      <c r="R303" s="1" t="s">
        <v>100</v>
      </c>
      <c r="S303" s="1" t="s">
        <v>334</v>
      </c>
    </row>
    <row r="304" spans="1:19" x14ac:dyDescent="0.25">
      <c r="A304" s="1">
        <v>1920902480000</v>
      </c>
      <c r="B304" s="1" t="s">
        <v>332</v>
      </c>
      <c r="C304" s="1" t="s">
        <v>1265</v>
      </c>
      <c r="D304" s="1">
        <v>7</v>
      </c>
      <c r="E304" s="1" t="s">
        <v>100</v>
      </c>
      <c r="F304" s="1">
        <v>1920902480000</v>
      </c>
      <c r="G304" s="1" t="s">
        <v>335</v>
      </c>
      <c r="H304" s="1" t="s">
        <v>1488</v>
      </c>
      <c r="I304" s="1" t="s">
        <v>1182</v>
      </c>
      <c r="Q304" s="1" t="s">
        <v>332</v>
      </c>
      <c r="R304" s="1" t="s">
        <v>100</v>
      </c>
      <c r="S304" s="1" t="s">
        <v>335</v>
      </c>
    </row>
    <row r="305" spans="1:19" x14ac:dyDescent="0.25">
      <c r="A305" s="1">
        <v>1920902650000</v>
      </c>
      <c r="B305" s="1" t="s">
        <v>332</v>
      </c>
      <c r="C305" s="1" t="s">
        <v>1265</v>
      </c>
      <c r="D305" s="1">
        <v>7</v>
      </c>
      <c r="E305" s="1" t="s">
        <v>100</v>
      </c>
      <c r="F305" s="1">
        <v>1920902650000</v>
      </c>
      <c r="G305" s="1" t="s">
        <v>336</v>
      </c>
      <c r="H305" s="1" t="s">
        <v>1489</v>
      </c>
      <c r="I305" s="1" t="s">
        <v>1182</v>
      </c>
      <c r="Q305" s="1" t="s">
        <v>332</v>
      </c>
      <c r="R305" s="1" t="s">
        <v>100</v>
      </c>
      <c r="S305" s="1" t="s">
        <v>336</v>
      </c>
    </row>
    <row r="306" spans="1:19" x14ac:dyDescent="0.25">
      <c r="A306" s="1">
        <v>1920933600000</v>
      </c>
      <c r="B306" s="1" t="s">
        <v>332</v>
      </c>
      <c r="C306" s="1" t="s">
        <v>1265</v>
      </c>
      <c r="D306" s="1">
        <v>7</v>
      </c>
      <c r="E306" s="1" t="s">
        <v>100</v>
      </c>
      <c r="F306" s="1">
        <v>1920933600000</v>
      </c>
      <c r="G306" s="1" t="s">
        <v>337</v>
      </c>
      <c r="H306" s="1" t="s">
        <v>1490</v>
      </c>
      <c r="I306" s="1" t="s">
        <v>1182</v>
      </c>
      <c r="Q306" s="1" t="s">
        <v>332</v>
      </c>
      <c r="R306" s="1" t="s">
        <v>100</v>
      </c>
      <c r="S306" s="1" t="s">
        <v>337</v>
      </c>
    </row>
    <row r="307" spans="1:19" x14ac:dyDescent="0.25">
      <c r="A307" s="1">
        <v>1920901140000</v>
      </c>
      <c r="B307" s="1" t="s">
        <v>332</v>
      </c>
      <c r="C307" s="1" t="s">
        <v>1265</v>
      </c>
      <c r="D307" s="1">
        <v>7</v>
      </c>
      <c r="E307" s="1" t="s">
        <v>147</v>
      </c>
      <c r="F307" s="1">
        <v>1920901140000</v>
      </c>
      <c r="G307" s="1" t="s">
        <v>338</v>
      </c>
      <c r="H307" s="1" t="s">
        <v>1491</v>
      </c>
      <c r="I307" s="1" t="s">
        <v>1182</v>
      </c>
      <c r="Q307" s="1" t="s">
        <v>332</v>
      </c>
      <c r="R307" s="1" t="s">
        <v>147</v>
      </c>
      <c r="S307" s="1" t="s">
        <v>338</v>
      </c>
    </row>
    <row r="308" spans="1:19" x14ac:dyDescent="0.25">
      <c r="A308" s="1">
        <v>1920901150000</v>
      </c>
      <c r="B308" s="1" t="s">
        <v>332</v>
      </c>
      <c r="C308" s="1" t="s">
        <v>1265</v>
      </c>
      <c r="D308" s="1">
        <v>7</v>
      </c>
      <c r="E308" s="1" t="s">
        <v>147</v>
      </c>
      <c r="F308" s="1">
        <v>1920901150000</v>
      </c>
      <c r="G308" s="1" t="s">
        <v>339</v>
      </c>
      <c r="H308" s="1" t="s">
        <v>1492</v>
      </c>
      <c r="I308" s="1" t="s">
        <v>1182</v>
      </c>
      <c r="Q308" s="1" t="s">
        <v>332</v>
      </c>
      <c r="R308" s="1" t="s">
        <v>147</v>
      </c>
      <c r="S308" s="1" t="s">
        <v>339</v>
      </c>
    </row>
    <row r="309" spans="1:19" x14ac:dyDescent="0.25">
      <c r="A309" s="1">
        <v>1920901160000</v>
      </c>
      <c r="B309" s="1" t="s">
        <v>332</v>
      </c>
      <c r="C309" s="1" t="s">
        <v>1265</v>
      </c>
      <c r="D309" s="1">
        <v>7</v>
      </c>
      <c r="E309" s="1" t="s">
        <v>147</v>
      </c>
      <c r="F309" s="1">
        <v>1920901160000</v>
      </c>
      <c r="G309" s="1" t="s">
        <v>340</v>
      </c>
      <c r="H309" s="1" t="s">
        <v>1493</v>
      </c>
      <c r="I309" s="1" t="s">
        <v>1182</v>
      </c>
      <c r="Q309" s="1" t="s">
        <v>332</v>
      </c>
      <c r="R309" s="1" t="s">
        <v>147</v>
      </c>
      <c r="S309" s="1" t="s">
        <v>340</v>
      </c>
    </row>
    <row r="310" spans="1:19" x14ac:dyDescent="0.25">
      <c r="A310" s="1">
        <v>1920901170000</v>
      </c>
      <c r="B310" s="1" t="s">
        <v>332</v>
      </c>
      <c r="C310" s="1" t="s">
        <v>1265</v>
      </c>
      <c r="D310" s="1">
        <v>7</v>
      </c>
      <c r="E310" s="1" t="s">
        <v>147</v>
      </c>
      <c r="F310" s="1">
        <v>1920901170000</v>
      </c>
      <c r="G310" s="1" t="s">
        <v>341</v>
      </c>
      <c r="H310" s="1" t="s">
        <v>1494</v>
      </c>
      <c r="I310" s="1" t="s">
        <v>1182</v>
      </c>
      <c r="Q310" s="1" t="s">
        <v>332</v>
      </c>
      <c r="R310" s="1" t="s">
        <v>147</v>
      </c>
      <c r="S310" s="1" t="s">
        <v>341</v>
      </c>
    </row>
    <row r="311" spans="1:19" x14ac:dyDescent="0.25">
      <c r="A311" s="1">
        <v>1920901280000</v>
      </c>
      <c r="B311" s="1" t="s">
        <v>332</v>
      </c>
      <c r="C311" s="1" t="s">
        <v>1265</v>
      </c>
      <c r="D311" s="1">
        <v>7</v>
      </c>
      <c r="E311" s="1" t="s">
        <v>147</v>
      </c>
      <c r="F311" s="1">
        <v>1920901280000</v>
      </c>
      <c r="G311" s="1" t="s">
        <v>342</v>
      </c>
      <c r="H311" s="1" t="s">
        <v>1495</v>
      </c>
      <c r="I311" s="1" t="s">
        <v>1182</v>
      </c>
      <c r="Q311" s="1" t="s">
        <v>332</v>
      </c>
      <c r="R311" s="1" t="s">
        <v>147</v>
      </c>
      <c r="S311" s="1" t="s">
        <v>342</v>
      </c>
    </row>
    <row r="312" spans="1:19" x14ac:dyDescent="0.25">
      <c r="A312" s="1">
        <v>1920901820000</v>
      </c>
      <c r="B312" s="1" t="s">
        <v>332</v>
      </c>
      <c r="C312" s="1" t="s">
        <v>1265</v>
      </c>
      <c r="D312" s="1">
        <v>7</v>
      </c>
      <c r="E312" s="1" t="s">
        <v>147</v>
      </c>
      <c r="F312" s="1">
        <v>1920901820000</v>
      </c>
      <c r="G312" s="1" t="s">
        <v>343</v>
      </c>
      <c r="H312" s="1" t="s">
        <v>1496</v>
      </c>
      <c r="I312" s="1" t="s">
        <v>1182</v>
      </c>
      <c r="Q312" s="1" t="s">
        <v>332</v>
      </c>
      <c r="R312" s="1" t="s">
        <v>147</v>
      </c>
      <c r="S312" s="1" t="s">
        <v>343</v>
      </c>
    </row>
    <row r="313" spans="1:19" x14ac:dyDescent="0.25">
      <c r="A313" s="1">
        <v>1920901840000</v>
      </c>
      <c r="B313" s="1" t="s">
        <v>332</v>
      </c>
      <c r="C313" s="1" t="s">
        <v>1265</v>
      </c>
      <c r="D313" s="1">
        <v>7</v>
      </c>
      <c r="E313" s="1" t="s">
        <v>147</v>
      </c>
      <c r="F313" s="1">
        <v>1920901840000</v>
      </c>
      <c r="G313" s="1" t="s">
        <v>344</v>
      </c>
      <c r="H313" s="1" t="s">
        <v>1497</v>
      </c>
      <c r="I313" s="1" t="s">
        <v>1182</v>
      </c>
      <c r="Q313" s="1" t="s">
        <v>332</v>
      </c>
      <c r="R313" s="1" t="s">
        <v>147</v>
      </c>
      <c r="S313" s="1" t="s">
        <v>344</v>
      </c>
    </row>
    <row r="314" spans="1:19" x14ac:dyDescent="0.25">
      <c r="A314" s="1">
        <v>1920901850000</v>
      </c>
      <c r="B314" s="1" t="s">
        <v>332</v>
      </c>
      <c r="C314" s="1" t="s">
        <v>1265</v>
      </c>
      <c r="D314" s="1">
        <v>7</v>
      </c>
      <c r="E314" s="1" t="s">
        <v>147</v>
      </c>
      <c r="F314" s="1">
        <v>1920901850000</v>
      </c>
      <c r="G314" s="1" t="s">
        <v>345</v>
      </c>
      <c r="H314" s="1" t="s">
        <v>1498</v>
      </c>
      <c r="I314" s="1" t="s">
        <v>1182</v>
      </c>
      <c r="Q314" s="1" t="s">
        <v>332</v>
      </c>
      <c r="R314" s="1" t="s">
        <v>147</v>
      </c>
      <c r="S314" s="1" t="s">
        <v>345</v>
      </c>
    </row>
    <row r="315" spans="1:19" x14ac:dyDescent="0.25">
      <c r="A315" s="1">
        <v>1920902050000</v>
      </c>
      <c r="B315" s="1" t="s">
        <v>332</v>
      </c>
      <c r="C315" s="1" t="s">
        <v>1265</v>
      </c>
      <c r="D315" s="1">
        <v>7</v>
      </c>
      <c r="E315" s="1" t="s">
        <v>147</v>
      </c>
      <c r="F315" s="1">
        <v>1920902050000</v>
      </c>
      <c r="G315" s="1" t="s">
        <v>346</v>
      </c>
      <c r="H315" s="1" t="s">
        <v>1499</v>
      </c>
      <c r="I315" s="1" t="s">
        <v>1182</v>
      </c>
      <c r="Q315" s="1" t="s">
        <v>332</v>
      </c>
      <c r="R315" s="1" t="s">
        <v>147</v>
      </c>
      <c r="S315" s="1" t="s">
        <v>346</v>
      </c>
    </row>
    <row r="316" spans="1:19" x14ac:dyDescent="0.25">
      <c r="A316" s="1">
        <v>1920902260000</v>
      </c>
      <c r="B316" s="1" t="s">
        <v>332</v>
      </c>
      <c r="C316" s="1" t="s">
        <v>1265</v>
      </c>
      <c r="D316" s="1">
        <v>7</v>
      </c>
      <c r="E316" s="1" t="s">
        <v>147</v>
      </c>
      <c r="F316" s="1">
        <v>1920902260000</v>
      </c>
      <c r="G316" s="1" t="s">
        <v>347</v>
      </c>
      <c r="H316" s="1" t="s">
        <v>1500</v>
      </c>
      <c r="I316" s="1" t="s">
        <v>1182</v>
      </c>
      <c r="Q316" s="1" t="s">
        <v>332</v>
      </c>
      <c r="R316" s="1" t="s">
        <v>147</v>
      </c>
      <c r="S316" s="1" t="s">
        <v>347</v>
      </c>
    </row>
    <row r="317" spans="1:19" x14ac:dyDescent="0.25">
      <c r="A317" s="1">
        <v>1920902370000</v>
      </c>
      <c r="B317" s="1" t="s">
        <v>332</v>
      </c>
      <c r="C317" s="1" t="s">
        <v>1265</v>
      </c>
      <c r="D317" s="1">
        <v>7</v>
      </c>
      <c r="E317" s="1" t="s">
        <v>147</v>
      </c>
      <c r="F317" s="1">
        <v>1920902370000</v>
      </c>
      <c r="G317" s="1" t="s">
        <v>348</v>
      </c>
      <c r="H317" s="1" t="s">
        <v>1501</v>
      </c>
      <c r="I317" s="1" t="s">
        <v>1182</v>
      </c>
      <c r="Q317" s="1" t="s">
        <v>332</v>
      </c>
      <c r="R317" s="1" t="s">
        <v>147</v>
      </c>
      <c r="S317" s="1" t="s">
        <v>348</v>
      </c>
    </row>
    <row r="318" spans="1:19" x14ac:dyDescent="0.25">
      <c r="A318" s="1">
        <v>1920927900000</v>
      </c>
      <c r="B318" s="1" t="s">
        <v>332</v>
      </c>
      <c r="C318" s="1" t="s">
        <v>1265</v>
      </c>
      <c r="D318" s="1">
        <v>7</v>
      </c>
      <c r="E318" s="1" t="s">
        <v>147</v>
      </c>
      <c r="F318" s="1">
        <v>1920927900000</v>
      </c>
      <c r="G318" s="1" t="s">
        <v>349</v>
      </c>
      <c r="H318" s="1" t="s">
        <v>1502</v>
      </c>
      <c r="I318" s="1" t="s">
        <v>1182</v>
      </c>
      <c r="Q318" s="1" t="s">
        <v>332</v>
      </c>
      <c r="R318" s="1" t="s">
        <v>147</v>
      </c>
      <c r="S318" s="1" t="s">
        <v>349</v>
      </c>
    </row>
    <row r="319" spans="1:19" x14ac:dyDescent="0.25">
      <c r="A319" s="1">
        <v>1920934610000</v>
      </c>
      <c r="B319" s="1" t="s">
        <v>332</v>
      </c>
      <c r="C319" s="1" t="s">
        <v>1265</v>
      </c>
      <c r="D319" s="1">
        <v>7</v>
      </c>
      <c r="E319" s="1" t="s">
        <v>147</v>
      </c>
      <c r="F319" s="1">
        <v>1920934610000</v>
      </c>
      <c r="G319" s="1" t="s">
        <v>350</v>
      </c>
      <c r="H319" s="1" t="s">
        <v>1503</v>
      </c>
      <c r="I319" s="1" t="s">
        <v>1182</v>
      </c>
      <c r="Q319" s="1" t="s">
        <v>332</v>
      </c>
      <c r="R319" s="1" t="s">
        <v>147</v>
      </c>
      <c r="S319" s="1" t="s">
        <v>350</v>
      </c>
    </row>
    <row r="320" spans="1:19" x14ac:dyDescent="0.25">
      <c r="A320" s="1">
        <v>1920934680000</v>
      </c>
      <c r="B320" s="1" t="s">
        <v>332</v>
      </c>
      <c r="C320" s="1" t="s">
        <v>1265</v>
      </c>
      <c r="D320" s="1">
        <v>7</v>
      </c>
      <c r="E320" s="1" t="s">
        <v>147</v>
      </c>
      <c r="F320" s="1">
        <v>1920934680000</v>
      </c>
      <c r="G320" s="1" t="s">
        <v>351</v>
      </c>
      <c r="H320" s="1" t="s">
        <v>1504</v>
      </c>
      <c r="I320" s="1" t="s">
        <v>1182</v>
      </c>
      <c r="Q320" s="1" t="s">
        <v>332</v>
      </c>
      <c r="R320" s="1" t="s">
        <v>147</v>
      </c>
      <c r="S320" s="1" t="s">
        <v>351</v>
      </c>
    </row>
    <row r="321" spans="1:19" x14ac:dyDescent="0.25">
      <c r="A321" s="1">
        <v>1920902160000</v>
      </c>
      <c r="B321" s="1" t="s">
        <v>285</v>
      </c>
      <c r="C321" s="1" t="s">
        <v>1265</v>
      </c>
      <c r="D321" s="1">
        <v>6</v>
      </c>
      <c r="E321" s="1" t="s">
        <v>147</v>
      </c>
      <c r="F321" s="1">
        <v>1920902160000</v>
      </c>
      <c r="G321" s="1" t="s">
        <v>352</v>
      </c>
      <c r="H321" s="1" t="s">
        <v>1505</v>
      </c>
      <c r="I321" s="1" t="s">
        <v>1182</v>
      </c>
      <c r="Q321" s="1" t="s">
        <v>285</v>
      </c>
      <c r="R321" s="1" t="s">
        <v>147</v>
      </c>
      <c r="S321" s="1" t="s">
        <v>352</v>
      </c>
    </row>
    <row r="322" spans="1:19" x14ac:dyDescent="0.25">
      <c r="A322" s="1">
        <v>1920901290000</v>
      </c>
      <c r="B322" s="1" t="s">
        <v>285</v>
      </c>
      <c r="C322" s="1" t="s">
        <v>1265</v>
      </c>
      <c r="D322" s="1">
        <v>8</v>
      </c>
      <c r="E322" s="1" t="s">
        <v>147</v>
      </c>
      <c r="F322" s="1">
        <v>1920901290000</v>
      </c>
      <c r="G322" s="1" t="s">
        <v>353</v>
      </c>
      <c r="H322" s="1" t="s">
        <v>1506</v>
      </c>
      <c r="I322" s="1" t="s">
        <v>1182</v>
      </c>
      <c r="Q322" s="1" t="s">
        <v>285</v>
      </c>
      <c r="R322" s="1" t="s">
        <v>147</v>
      </c>
      <c r="S322" s="1" t="s">
        <v>353</v>
      </c>
    </row>
    <row r="323" spans="1:19" x14ac:dyDescent="0.25">
      <c r="A323" s="1">
        <v>1920901810000</v>
      </c>
      <c r="B323" s="1" t="s">
        <v>285</v>
      </c>
      <c r="C323" s="1" t="s">
        <v>1265</v>
      </c>
      <c r="D323" s="1">
        <v>8</v>
      </c>
      <c r="E323" s="1" t="s">
        <v>147</v>
      </c>
      <c r="F323" s="1">
        <v>1920901810000</v>
      </c>
      <c r="G323" s="1" t="s">
        <v>354</v>
      </c>
      <c r="H323" s="1" t="s">
        <v>1507</v>
      </c>
      <c r="I323" s="1" t="s">
        <v>1182</v>
      </c>
      <c r="Q323" s="1" t="s">
        <v>285</v>
      </c>
      <c r="R323" s="1" t="s">
        <v>147</v>
      </c>
      <c r="S323" s="1" t="s">
        <v>354</v>
      </c>
    </row>
    <row r="324" spans="1:19" x14ac:dyDescent="0.25">
      <c r="A324" s="1">
        <v>1920901830000</v>
      </c>
      <c r="B324" s="1" t="s">
        <v>285</v>
      </c>
      <c r="C324" s="1" t="s">
        <v>1265</v>
      </c>
      <c r="D324" s="1">
        <v>8</v>
      </c>
      <c r="E324" s="1" t="s">
        <v>147</v>
      </c>
      <c r="F324" s="1">
        <v>1920901830000</v>
      </c>
      <c r="G324" s="1" t="s">
        <v>355</v>
      </c>
      <c r="H324" s="1" t="s">
        <v>1508</v>
      </c>
      <c r="I324" s="1" t="s">
        <v>1182</v>
      </c>
      <c r="Q324" s="1" t="s">
        <v>285</v>
      </c>
      <c r="R324" s="1" t="s">
        <v>147</v>
      </c>
      <c r="S324" s="1" t="s">
        <v>355</v>
      </c>
    </row>
    <row r="325" spans="1:19" x14ac:dyDescent="0.25">
      <c r="A325" s="1">
        <v>1920901870000</v>
      </c>
      <c r="B325" s="1" t="s">
        <v>285</v>
      </c>
      <c r="C325" s="1" t="s">
        <v>1265</v>
      </c>
      <c r="D325" s="1">
        <v>8</v>
      </c>
      <c r="E325" s="1" t="s">
        <v>147</v>
      </c>
      <c r="F325" s="1">
        <v>1920901870000</v>
      </c>
      <c r="G325" s="1" t="s">
        <v>356</v>
      </c>
      <c r="H325" s="1" t="s">
        <v>1509</v>
      </c>
      <c r="I325" s="1" t="s">
        <v>1182</v>
      </c>
      <c r="Q325" s="1" t="s">
        <v>285</v>
      </c>
      <c r="R325" s="1" t="s">
        <v>147</v>
      </c>
      <c r="S325" s="1" t="s">
        <v>356</v>
      </c>
    </row>
    <row r="326" spans="1:19" x14ac:dyDescent="0.25">
      <c r="A326" s="1">
        <v>1920901910000</v>
      </c>
      <c r="B326" s="1" t="s">
        <v>285</v>
      </c>
      <c r="C326" s="1" t="s">
        <v>1265</v>
      </c>
      <c r="D326" s="1">
        <v>8</v>
      </c>
      <c r="E326" s="1" t="s">
        <v>147</v>
      </c>
      <c r="F326" s="1">
        <v>1920901910000</v>
      </c>
      <c r="G326" s="1" t="s">
        <v>357</v>
      </c>
      <c r="H326" s="1" t="s">
        <v>1510</v>
      </c>
      <c r="I326" s="1" t="s">
        <v>1182</v>
      </c>
      <c r="Q326" s="1" t="s">
        <v>285</v>
      </c>
      <c r="R326" s="1" t="s">
        <v>147</v>
      </c>
      <c r="S326" s="1" t="s">
        <v>357</v>
      </c>
    </row>
    <row r="327" spans="1:19" x14ac:dyDescent="0.25">
      <c r="A327" s="1">
        <v>1920901970000</v>
      </c>
      <c r="B327" s="1" t="s">
        <v>285</v>
      </c>
      <c r="C327" s="1" t="s">
        <v>1265</v>
      </c>
      <c r="D327" s="1">
        <v>8</v>
      </c>
      <c r="E327" s="1" t="s">
        <v>147</v>
      </c>
      <c r="F327" s="1">
        <v>1920901970000</v>
      </c>
      <c r="G327" s="1" t="s">
        <v>358</v>
      </c>
      <c r="H327" s="1" t="s">
        <v>1511</v>
      </c>
      <c r="I327" s="1" t="s">
        <v>1182</v>
      </c>
      <c r="Q327" s="1" t="s">
        <v>285</v>
      </c>
      <c r="R327" s="1" t="s">
        <v>147</v>
      </c>
      <c r="S327" s="1" t="s">
        <v>358</v>
      </c>
    </row>
    <row r="328" spans="1:19" x14ac:dyDescent="0.25">
      <c r="A328" s="1">
        <v>1920902080000</v>
      </c>
      <c r="B328" s="1" t="s">
        <v>285</v>
      </c>
      <c r="C328" s="1" t="s">
        <v>1265</v>
      </c>
      <c r="D328" s="1">
        <v>8</v>
      </c>
      <c r="E328" s="1" t="s">
        <v>147</v>
      </c>
      <c r="F328" s="1">
        <v>1920902080000</v>
      </c>
      <c r="G328" s="1" t="s">
        <v>359</v>
      </c>
      <c r="H328" s="1" t="s">
        <v>1512</v>
      </c>
      <c r="I328" s="1" t="s">
        <v>1182</v>
      </c>
      <c r="Q328" s="1" t="s">
        <v>285</v>
      </c>
      <c r="R328" s="1" t="s">
        <v>147</v>
      </c>
      <c r="S328" s="1" t="s">
        <v>359</v>
      </c>
    </row>
    <row r="329" spans="1:19" x14ac:dyDescent="0.25">
      <c r="A329" s="1">
        <v>1920902090000</v>
      </c>
      <c r="B329" s="1" t="s">
        <v>285</v>
      </c>
      <c r="C329" s="1" t="s">
        <v>1265</v>
      </c>
      <c r="D329" s="1">
        <v>8</v>
      </c>
      <c r="E329" s="1" t="s">
        <v>147</v>
      </c>
      <c r="F329" s="1">
        <v>1920902090000</v>
      </c>
      <c r="G329" s="1" t="s">
        <v>360</v>
      </c>
      <c r="H329" s="1" t="s">
        <v>1513</v>
      </c>
      <c r="I329" s="1" t="s">
        <v>1182</v>
      </c>
      <c r="Q329" s="1" t="s">
        <v>285</v>
      </c>
      <c r="R329" s="1" t="s">
        <v>147</v>
      </c>
      <c r="S329" s="1" t="s">
        <v>360</v>
      </c>
    </row>
    <row r="330" spans="1:19" x14ac:dyDescent="0.25">
      <c r="A330" s="1">
        <v>1920902140000</v>
      </c>
      <c r="B330" s="1" t="s">
        <v>285</v>
      </c>
      <c r="C330" s="1" t="s">
        <v>1265</v>
      </c>
      <c r="D330" s="1">
        <v>8</v>
      </c>
      <c r="E330" s="1" t="s">
        <v>147</v>
      </c>
      <c r="F330" s="1">
        <v>1920902140000</v>
      </c>
      <c r="G330" s="1" t="s">
        <v>361</v>
      </c>
      <c r="H330" s="1" t="s">
        <v>1514</v>
      </c>
      <c r="I330" s="1" t="s">
        <v>1182</v>
      </c>
      <c r="Q330" s="1" t="s">
        <v>285</v>
      </c>
      <c r="R330" s="1" t="s">
        <v>147</v>
      </c>
      <c r="S330" s="1" t="s">
        <v>361</v>
      </c>
    </row>
    <row r="331" spans="1:19" x14ac:dyDescent="0.25">
      <c r="A331" s="1">
        <v>1920902220000</v>
      </c>
      <c r="B331" s="1" t="s">
        <v>285</v>
      </c>
      <c r="C331" s="1" t="s">
        <v>1265</v>
      </c>
      <c r="D331" s="1">
        <v>8</v>
      </c>
      <c r="E331" s="1" t="s">
        <v>147</v>
      </c>
      <c r="F331" s="1">
        <v>1920902220000</v>
      </c>
      <c r="G331" s="1" t="s">
        <v>362</v>
      </c>
      <c r="H331" s="1" t="s">
        <v>1515</v>
      </c>
      <c r="I331" s="1" t="s">
        <v>1182</v>
      </c>
      <c r="Q331" s="1" t="s">
        <v>285</v>
      </c>
      <c r="R331" s="1" t="s">
        <v>147</v>
      </c>
      <c r="S331" s="1" t="s">
        <v>362</v>
      </c>
    </row>
    <row r="332" spans="1:19" x14ac:dyDescent="0.25">
      <c r="A332" s="1">
        <v>1920902240000</v>
      </c>
      <c r="B332" s="1" t="s">
        <v>285</v>
      </c>
      <c r="C332" s="1" t="s">
        <v>1265</v>
      </c>
      <c r="D332" s="1">
        <v>8</v>
      </c>
      <c r="E332" s="1" t="s">
        <v>147</v>
      </c>
      <c r="F332" s="1">
        <v>1920902240000</v>
      </c>
      <c r="G332" s="1" t="s">
        <v>363</v>
      </c>
      <c r="H332" s="1" t="s">
        <v>1516</v>
      </c>
      <c r="I332" s="1" t="s">
        <v>1182</v>
      </c>
      <c r="Q332" s="1" t="s">
        <v>285</v>
      </c>
      <c r="R332" s="1" t="s">
        <v>147</v>
      </c>
      <c r="S332" s="1" t="s">
        <v>363</v>
      </c>
    </row>
    <row r="333" spans="1:19" x14ac:dyDescent="0.25">
      <c r="A333" s="1">
        <v>1920929890000</v>
      </c>
      <c r="B333" s="1" t="s">
        <v>285</v>
      </c>
      <c r="C333" s="1" t="s">
        <v>1265</v>
      </c>
      <c r="D333" s="1">
        <v>8</v>
      </c>
      <c r="E333" s="1" t="s">
        <v>147</v>
      </c>
      <c r="F333" s="1">
        <v>1920929890000</v>
      </c>
      <c r="G333" s="1" t="s">
        <v>364</v>
      </c>
      <c r="H333" s="1" t="s">
        <v>1517</v>
      </c>
      <c r="I333" s="1" t="s">
        <v>1182</v>
      </c>
      <c r="Q333" s="1" t="s">
        <v>285</v>
      </c>
      <c r="R333" s="1" t="s">
        <v>147</v>
      </c>
      <c r="S333" s="1" t="s">
        <v>364</v>
      </c>
    </row>
    <row r="334" spans="1:19" x14ac:dyDescent="0.25">
      <c r="A334" s="1">
        <v>1920930900000</v>
      </c>
      <c r="B334" s="1" t="s">
        <v>285</v>
      </c>
      <c r="C334" s="1" t="s">
        <v>1265</v>
      </c>
      <c r="D334" s="1">
        <v>8</v>
      </c>
      <c r="E334" s="1" t="s">
        <v>147</v>
      </c>
      <c r="F334" s="1">
        <v>1920930900000</v>
      </c>
      <c r="G334" s="1" t="s">
        <v>365</v>
      </c>
      <c r="H334" s="1" t="s">
        <v>1518</v>
      </c>
      <c r="I334" s="1" t="s">
        <v>1182</v>
      </c>
      <c r="Q334" s="1" t="s">
        <v>285</v>
      </c>
      <c r="R334" s="1" t="s">
        <v>147</v>
      </c>
      <c r="S334" s="1" t="s">
        <v>365</v>
      </c>
    </row>
    <row r="335" spans="1:19" x14ac:dyDescent="0.25">
      <c r="A335" s="1">
        <v>1920930930000</v>
      </c>
      <c r="B335" s="1" t="s">
        <v>285</v>
      </c>
      <c r="C335" s="1" t="s">
        <v>1265</v>
      </c>
      <c r="D335" s="1">
        <v>8</v>
      </c>
      <c r="E335" s="1" t="s">
        <v>147</v>
      </c>
      <c r="F335" s="1">
        <v>1920930930000</v>
      </c>
      <c r="G335" s="1" t="s">
        <v>366</v>
      </c>
      <c r="H335" s="1" t="s">
        <v>1519</v>
      </c>
      <c r="I335" s="1" t="s">
        <v>1182</v>
      </c>
      <c r="Q335" s="1" t="s">
        <v>285</v>
      </c>
      <c r="R335" s="1" t="s">
        <v>147</v>
      </c>
      <c r="S335" s="1" t="s">
        <v>366</v>
      </c>
    </row>
    <row r="336" spans="1:19" x14ac:dyDescent="0.25">
      <c r="A336" s="1">
        <v>1920931010000</v>
      </c>
      <c r="B336" s="1" t="s">
        <v>285</v>
      </c>
      <c r="C336" s="1" t="s">
        <v>1265</v>
      </c>
      <c r="D336" s="1">
        <v>8</v>
      </c>
      <c r="E336" s="1" t="s">
        <v>147</v>
      </c>
      <c r="F336" s="1">
        <v>1920931010000</v>
      </c>
      <c r="G336" s="1" t="s">
        <v>367</v>
      </c>
      <c r="H336" s="1" t="s">
        <v>1520</v>
      </c>
      <c r="I336" s="1" t="s">
        <v>1182</v>
      </c>
      <c r="Q336" s="1" t="s">
        <v>285</v>
      </c>
      <c r="R336" s="1" t="s">
        <v>147</v>
      </c>
      <c r="S336" s="1" t="s">
        <v>367</v>
      </c>
    </row>
    <row r="337" spans="1:19" x14ac:dyDescent="0.25">
      <c r="A337" s="1">
        <v>1920931240000</v>
      </c>
      <c r="B337" s="1" t="s">
        <v>285</v>
      </c>
      <c r="C337" s="1" t="s">
        <v>1265</v>
      </c>
      <c r="D337" s="1">
        <v>8</v>
      </c>
      <c r="E337" s="1" t="s">
        <v>147</v>
      </c>
      <c r="F337" s="1">
        <v>1920931240000</v>
      </c>
      <c r="G337" s="1" t="s">
        <v>368</v>
      </c>
      <c r="H337" s="1" t="s">
        <v>1521</v>
      </c>
      <c r="I337" s="1" t="s">
        <v>1182</v>
      </c>
      <c r="Q337" s="1" t="s">
        <v>285</v>
      </c>
      <c r="R337" s="1" t="s">
        <v>147</v>
      </c>
      <c r="S337" s="1" t="s">
        <v>368</v>
      </c>
    </row>
    <row r="338" spans="1:19" x14ac:dyDescent="0.25">
      <c r="A338" s="1">
        <v>1920932600000</v>
      </c>
      <c r="B338" s="1" t="s">
        <v>285</v>
      </c>
      <c r="C338" s="1" t="s">
        <v>1265</v>
      </c>
      <c r="D338" s="1">
        <v>8</v>
      </c>
      <c r="E338" s="1" t="s">
        <v>147</v>
      </c>
      <c r="F338" s="1">
        <v>1920932600000</v>
      </c>
      <c r="G338" s="1" t="s">
        <v>369</v>
      </c>
      <c r="H338" s="1" t="s">
        <v>1522</v>
      </c>
      <c r="I338" s="1" t="s">
        <v>1182</v>
      </c>
      <c r="Q338" s="1" t="s">
        <v>285</v>
      </c>
      <c r="R338" s="1" t="s">
        <v>147</v>
      </c>
      <c r="S338" s="1" t="s">
        <v>369</v>
      </c>
    </row>
    <row r="339" spans="1:19" x14ac:dyDescent="0.25">
      <c r="A339" s="1">
        <v>1920935060000</v>
      </c>
      <c r="B339" s="1" t="s">
        <v>285</v>
      </c>
      <c r="C339" s="1" t="s">
        <v>1265</v>
      </c>
      <c r="D339" s="1">
        <v>8</v>
      </c>
      <c r="E339" s="1" t="s">
        <v>147</v>
      </c>
      <c r="F339" s="1">
        <v>1920935060000</v>
      </c>
      <c r="G339" s="1" t="s">
        <v>370</v>
      </c>
      <c r="H339" s="1" t="s">
        <v>1523</v>
      </c>
      <c r="I339" s="1" t="s">
        <v>1182</v>
      </c>
      <c r="Q339" s="1" t="s">
        <v>285</v>
      </c>
      <c r="R339" s="1" t="s">
        <v>147</v>
      </c>
      <c r="S339" s="1" t="s">
        <v>370</v>
      </c>
    </row>
    <row r="340" spans="1:19" x14ac:dyDescent="0.25">
      <c r="A340" s="1">
        <v>1920935070000</v>
      </c>
      <c r="B340" s="1" t="s">
        <v>285</v>
      </c>
      <c r="C340" s="1" t="s">
        <v>1265</v>
      </c>
      <c r="D340" s="1">
        <v>8</v>
      </c>
      <c r="E340" s="1" t="s">
        <v>147</v>
      </c>
      <c r="F340" s="1">
        <v>1920935070000</v>
      </c>
      <c r="G340" s="1" t="s">
        <v>371</v>
      </c>
      <c r="H340" s="1" t="s">
        <v>1524</v>
      </c>
      <c r="I340" s="1" t="s">
        <v>1182</v>
      </c>
      <c r="Q340" s="1" t="s">
        <v>285</v>
      </c>
      <c r="R340" s="1" t="s">
        <v>147</v>
      </c>
      <c r="S340" s="1" t="s">
        <v>371</v>
      </c>
    </row>
    <row r="341" spans="1:19" x14ac:dyDescent="0.25">
      <c r="A341" s="1">
        <v>1920936780000</v>
      </c>
      <c r="B341" s="1" t="s">
        <v>285</v>
      </c>
      <c r="C341" s="1" t="s">
        <v>1265</v>
      </c>
      <c r="D341" s="1">
        <v>8</v>
      </c>
      <c r="E341" s="1" t="s">
        <v>147</v>
      </c>
      <c r="F341" s="1">
        <v>1920936780000</v>
      </c>
      <c r="G341" s="1" t="s">
        <v>372</v>
      </c>
      <c r="H341" s="1" t="s">
        <v>1525</v>
      </c>
      <c r="I341" s="1" t="s">
        <v>1182</v>
      </c>
      <c r="Q341" s="1" t="s">
        <v>285</v>
      </c>
      <c r="R341" s="1" t="s">
        <v>147</v>
      </c>
      <c r="S341" s="1" t="s">
        <v>372</v>
      </c>
    </row>
    <row r="342" spans="1:19" x14ac:dyDescent="0.25">
      <c r="A342" s="1">
        <v>1920955000000</v>
      </c>
      <c r="B342" s="1" t="s">
        <v>285</v>
      </c>
      <c r="C342" s="1" t="s">
        <v>1265</v>
      </c>
      <c r="D342" s="1">
        <v>8</v>
      </c>
      <c r="E342" s="1" t="s">
        <v>147</v>
      </c>
      <c r="F342" s="1">
        <v>1920955000000</v>
      </c>
      <c r="G342" s="1" t="s">
        <v>373</v>
      </c>
      <c r="H342" s="1" t="s">
        <v>1526</v>
      </c>
      <c r="I342" s="1" t="s">
        <v>1182</v>
      </c>
      <c r="Q342" s="1" t="s">
        <v>285</v>
      </c>
      <c r="R342" s="1" t="s">
        <v>147</v>
      </c>
      <c r="S342" s="1" t="s">
        <v>373</v>
      </c>
    </row>
    <row r="343" spans="1:19" x14ac:dyDescent="0.25">
      <c r="A343" s="1">
        <v>1920902310000</v>
      </c>
      <c r="B343" s="1" t="s">
        <v>374</v>
      </c>
      <c r="C343" s="1" t="s">
        <v>1265</v>
      </c>
      <c r="D343" s="1">
        <v>9</v>
      </c>
      <c r="E343" s="1" t="s">
        <v>147</v>
      </c>
      <c r="F343" s="1">
        <v>1920902310000</v>
      </c>
      <c r="G343" s="1" t="s">
        <v>375</v>
      </c>
      <c r="H343" s="1" t="s">
        <v>1527</v>
      </c>
      <c r="I343" s="1" t="s">
        <v>1182</v>
      </c>
      <c r="Q343" s="1" t="s">
        <v>374</v>
      </c>
      <c r="R343" s="1" t="s">
        <v>147</v>
      </c>
      <c r="S343" s="1" t="s">
        <v>375</v>
      </c>
    </row>
    <row r="344" spans="1:19" x14ac:dyDescent="0.25">
      <c r="A344" s="1">
        <v>1920928750000</v>
      </c>
      <c r="B344" s="1" t="s">
        <v>374</v>
      </c>
      <c r="C344" s="1" t="s">
        <v>1265</v>
      </c>
      <c r="D344" s="1">
        <v>9</v>
      </c>
      <c r="E344" s="1" t="s">
        <v>147</v>
      </c>
      <c r="F344" s="1">
        <v>1920928750000</v>
      </c>
      <c r="G344" s="1" t="s">
        <v>376</v>
      </c>
      <c r="H344" s="1" t="s">
        <v>1528</v>
      </c>
      <c r="I344" s="1" t="s">
        <v>1182</v>
      </c>
      <c r="Q344" s="1" t="s">
        <v>374</v>
      </c>
      <c r="R344" s="1" t="s">
        <v>147</v>
      </c>
      <c r="S344" s="1" t="s">
        <v>376</v>
      </c>
    </row>
    <row r="345" spans="1:19" x14ac:dyDescent="0.25">
      <c r="A345" s="1">
        <v>1920930450000</v>
      </c>
      <c r="B345" s="1" t="s">
        <v>374</v>
      </c>
      <c r="C345" s="1" t="s">
        <v>1265</v>
      </c>
      <c r="D345" s="1">
        <v>9</v>
      </c>
      <c r="E345" s="1" t="s">
        <v>147</v>
      </c>
      <c r="F345" s="1">
        <v>1920930450000</v>
      </c>
      <c r="G345" s="1" t="s">
        <v>377</v>
      </c>
      <c r="H345" s="1" t="s">
        <v>1529</v>
      </c>
      <c r="I345" s="1" t="s">
        <v>1182</v>
      </c>
      <c r="Q345" s="1" t="s">
        <v>374</v>
      </c>
      <c r="R345" s="1" t="s">
        <v>147</v>
      </c>
      <c r="S345" s="1" t="s">
        <v>377</v>
      </c>
    </row>
    <row r="346" spans="1:19" x14ac:dyDescent="0.25">
      <c r="A346" s="1">
        <v>1920930850000</v>
      </c>
      <c r="B346" s="1" t="s">
        <v>374</v>
      </c>
      <c r="C346" s="1" t="s">
        <v>1265</v>
      </c>
      <c r="D346" s="1">
        <v>9</v>
      </c>
      <c r="E346" s="1" t="s">
        <v>147</v>
      </c>
      <c r="F346" s="1">
        <v>1920930850000</v>
      </c>
      <c r="G346" s="1" t="s">
        <v>378</v>
      </c>
      <c r="H346" s="1" t="s">
        <v>1530</v>
      </c>
      <c r="I346" s="1" t="s">
        <v>1182</v>
      </c>
      <c r="Q346" s="1" t="s">
        <v>374</v>
      </c>
      <c r="R346" s="1" t="s">
        <v>147</v>
      </c>
      <c r="S346" s="1" t="s">
        <v>378</v>
      </c>
    </row>
    <row r="347" spans="1:19" x14ac:dyDescent="0.25">
      <c r="A347" s="1">
        <v>1920931130000</v>
      </c>
      <c r="B347" s="1" t="s">
        <v>374</v>
      </c>
      <c r="C347" s="1" t="s">
        <v>1265</v>
      </c>
      <c r="D347" s="1">
        <v>9</v>
      </c>
      <c r="E347" s="1" t="s">
        <v>147</v>
      </c>
      <c r="F347" s="1">
        <v>1920931130000</v>
      </c>
      <c r="G347" s="1" t="s">
        <v>379</v>
      </c>
      <c r="H347" s="1" t="s">
        <v>1531</v>
      </c>
      <c r="I347" s="1" t="s">
        <v>1182</v>
      </c>
      <c r="Q347" s="1" t="s">
        <v>374</v>
      </c>
      <c r="R347" s="1" t="s">
        <v>147</v>
      </c>
      <c r="S347" s="1" t="s">
        <v>379</v>
      </c>
    </row>
    <row r="348" spans="1:19" x14ac:dyDescent="0.25">
      <c r="A348" s="1">
        <v>1920931210000</v>
      </c>
      <c r="B348" s="1" t="s">
        <v>374</v>
      </c>
      <c r="C348" s="1" t="s">
        <v>1265</v>
      </c>
      <c r="D348" s="1">
        <v>9</v>
      </c>
      <c r="E348" s="1" t="s">
        <v>147</v>
      </c>
      <c r="F348" s="1">
        <v>1920931210000</v>
      </c>
      <c r="G348" s="1" t="s">
        <v>380</v>
      </c>
      <c r="H348" s="1" t="s">
        <v>1532</v>
      </c>
      <c r="I348" s="1" t="s">
        <v>1182</v>
      </c>
      <c r="Q348" s="1" t="s">
        <v>374</v>
      </c>
      <c r="R348" s="1" t="s">
        <v>147</v>
      </c>
      <c r="S348" s="1" t="s">
        <v>380</v>
      </c>
    </row>
    <row r="349" spans="1:19" x14ac:dyDescent="0.25">
      <c r="A349" s="1">
        <v>1920933170000</v>
      </c>
      <c r="B349" s="1" t="s">
        <v>374</v>
      </c>
      <c r="C349" s="1" t="s">
        <v>1265</v>
      </c>
      <c r="D349" s="1">
        <v>9</v>
      </c>
      <c r="E349" s="1" t="s">
        <v>147</v>
      </c>
      <c r="F349" s="1">
        <v>1920933170000</v>
      </c>
      <c r="G349" s="1" t="s">
        <v>381</v>
      </c>
      <c r="H349" s="1" t="s">
        <v>1533</v>
      </c>
      <c r="I349" s="1" t="s">
        <v>1182</v>
      </c>
      <c r="Q349" s="1" t="s">
        <v>374</v>
      </c>
      <c r="R349" s="1" t="s">
        <v>147</v>
      </c>
      <c r="S349" s="1" t="s">
        <v>381</v>
      </c>
    </row>
    <row r="350" spans="1:19" x14ac:dyDescent="0.25">
      <c r="A350" s="1">
        <v>1920934520000</v>
      </c>
      <c r="B350" s="1" t="s">
        <v>374</v>
      </c>
      <c r="C350" s="1" t="s">
        <v>1265</v>
      </c>
      <c r="D350" s="1">
        <v>9</v>
      </c>
      <c r="E350" s="1" t="s">
        <v>147</v>
      </c>
      <c r="F350" s="1">
        <v>1920934520000</v>
      </c>
      <c r="G350" s="1" t="s">
        <v>382</v>
      </c>
      <c r="H350" s="1" t="s">
        <v>1534</v>
      </c>
      <c r="I350" s="1" t="s">
        <v>1182</v>
      </c>
      <c r="Q350" s="1" t="s">
        <v>374</v>
      </c>
      <c r="R350" s="1" t="s">
        <v>147</v>
      </c>
      <c r="S350" s="1" t="s">
        <v>382</v>
      </c>
    </row>
    <row r="351" spans="1:19" x14ac:dyDescent="0.25">
      <c r="A351" s="1">
        <v>1920936670000</v>
      </c>
      <c r="B351" s="1" t="s">
        <v>374</v>
      </c>
      <c r="C351" s="1" t="s">
        <v>1265</v>
      </c>
      <c r="D351" s="1">
        <v>9</v>
      </c>
      <c r="E351" s="1" t="s">
        <v>147</v>
      </c>
      <c r="F351" s="1">
        <v>1920936670000</v>
      </c>
      <c r="G351" s="1" t="s">
        <v>383</v>
      </c>
      <c r="H351" s="1" t="s">
        <v>1535</v>
      </c>
      <c r="I351" s="1" t="s">
        <v>1182</v>
      </c>
      <c r="Q351" s="1" t="s">
        <v>374</v>
      </c>
      <c r="R351" s="1" t="s">
        <v>147</v>
      </c>
      <c r="S351" s="1" t="s">
        <v>383</v>
      </c>
    </row>
    <row r="352" spans="1:19" x14ac:dyDescent="0.25">
      <c r="A352" s="1">
        <v>1920936980000</v>
      </c>
      <c r="B352" s="1" t="s">
        <v>374</v>
      </c>
      <c r="C352" s="1" t="s">
        <v>1265</v>
      </c>
      <c r="D352" s="1">
        <v>9</v>
      </c>
      <c r="E352" s="1" t="s">
        <v>147</v>
      </c>
      <c r="F352" s="1">
        <v>1920936980000</v>
      </c>
      <c r="G352" s="1" t="s">
        <v>384</v>
      </c>
      <c r="H352" s="1" t="s">
        <v>1536</v>
      </c>
      <c r="I352" s="1" t="s">
        <v>1182</v>
      </c>
      <c r="Q352" s="1" t="s">
        <v>374</v>
      </c>
      <c r="R352" s="1" t="s">
        <v>147</v>
      </c>
      <c r="S352" s="1" t="s">
        <v>384</v>
      </c>
    </row>
    <row r="353" spans="1:19" x14ac:dyDescent="0.25">
      <c r="A353" s="1">
        <v>1920937090000</v>
      </c>
      <c r="B353" s="1" t="s">
        <v>374</v>
      </c>
      <c r="C353" s="1" t="s">
        <v>1265</v>
      </c>
      <c r="D353" s="1">
        <v>9</v>
      </c>
      <c r="E353" s="1" t="s">
        <v>147</v>
      </c>
      <c r="F353" s="1">
        <v>1920937090000</v>
      </c>
      <c r="G353" s="1" t="s">
        <v>385</v>
      </c>
      <c r="H353" s="1" t="s">
        <v>1537</v>
      </c>
      <c r="I353" s="1" t="s">
        <v>1182</v>
      </c>
      <c r="Q353" s="1" t="s">
        <v>374</v>
      </c>
      <c r="R353" s="1" t="s">
        <v>147</v>
      </c>
      <c r="S353" s="1" t="s">
        <v>385</v>
      </c>
    </row>
    <row r="354" spans="1:19" x14ac:dyDescent="0.25">
      <c r="A354" s="1">
        <v>1920937510000</v>
      </c>
      <c r="B354" s="1" t="s">
        <v>374</v>
      </c>
      <c r="C354" s="1" t="s">
        <v>1265</v>
      </c>
      <c r="D354" s="1">
        <v>9</v>
      </c>
      <c r="E354" s="1" t="s">
        <v>147</v>
      </c>
      <c r="F354" s="1">
        <v>1920937510000</v>
      </c>
      <c r="G354" s="1" t="s">
        <v>386</v>
      </c>
      <c r="H354" s="1" t="s">
        <v>1538</v>
      </c>
      <c r="I354" s="1" t="s">
        <v>1182</v>
      </c>
      <c r="Q354" s="1" t="s">
        <v>374</v>
      </c>
      <c r="R354" s="1" t="s">
        <v>147</v>
      </c>
      <c r="S354" s="1" t="s">
        <v>386</v>
      </c>
    </row>
    <row r="355" spans="1:19" x14ac:dyDescent="0.25">
      <c r="A355" s="1">
        <v>1920937530000</v>
      </c>
      <c r="B355" s="1" t="s">
        <v>374</v>
      </c>
      <c r="C355" s="1" t="s">
        <v>1265</v>
      </c>
      <c r="D355" s="1">
        <v>9</v>
      </c>
      <c r="E355" s="1" t="s">
        <v>147</v>
      </c>
      <c r="F355" s="1">
        <v>1920937530000</v>
      </c>
      <c r="G355" s="1" t="s">
        <v>387</v>
      </c>
      <c r="H355" s="1" t="s">
        <v>1539</v>
      </c>
      <c r="I355" s="1" t="s">
        <v>1182</v>
      </c>
      <c r="Q355" s="1" t="s">
        <v>374</v>
      </c>
      <c r="R355" s="1" t="s">
        <v>147</v>
      </c>
      <c r="S355" s="1" t="s">
        <v>387</v>
      </c>
    </row>
    <row r="356" spans="1:19" x14ac:dyDescent="0.25">
      <c r="A356" s="1">
        <v>1920901650000</v>
      </c>
      <c r="B356" s="1" t="s">
        <v>374</v>
      </c>
      <c r="C356" s="1" t="s">
        <v>1265</v>
      </c>
      <c r="D356" s="1">
        <v>9</v>
      </c>
      <c r="E356" s="1" t="s">
        <v>214</v>
      </c>
      <c r="F356" s="1">
        <v>1920901650000</v>
      </c>
      <c r="G356" s="1" t="s">
        <v>388</v>
      </c>
      <c r="H356" s="1" t="s">
        <v>1540</v>
      </c>
      <c r="I356" s="1" t="s">
        <v>1182</v>
      </c>
      <c r="Q356" s="1" t="s">
        <v>374</v>
      </c>
      <c r="R356" s="1" t="s">
        <v>214</v>
      </c>
      <c r="S356" s="1" t="s">
        <v>388</v>
      </c>
    </row>
    <row r="357" spans="1:19" x14ac:dyDescent="0.25">
      <c r="A357" s="1">
        <v>1920902130000</v>
      </c>
      <c r="B357" s="1" t="s">
        <v>374</v>
      </c>
      <c r="C357" s="1" t="s">
        <v>1265</v>
      </c>
      <c r="D357" s="1">
        <v>9</v>
      </c>
      <c r="E357" s="1" t="s">
        <v>214</v>
      </c>
      <c r="F357" s="1">
        <v>1920902130000</v>
      </c>
      <c r="G357" s="1" t="s">
        <v>389</v>
      </c>
      <c r="H357" s="1" t="s">
        <v>1541</v>
      </c>
      <c r="I357" s="1" t="s">
        <v>1182</v>
      </c>
      <c r="Q357" s="1" t="s">
        <v>374</v>
      </c>
      <c r="R357" s="1" t="s">
        <v>214</v>
      </c>
      <c r="S357" s="1" t="s">
        <v>389</v>
      </c>
    </row>
    <row r="358" spans="1:19" x14ac:dyDescent="0.25">
      <c r="A358" s="1">
        <v>1920928680000</v>
      </c>
      <c r="B358" s="1" t="s">
        <v>374</v>
      </c>
      <c r="C358" s="1" t="s">
        <v>1265</v>
      </c>
      <c r="D358" s="1">
        <v>9</v>
      </c>
      <c r="E358" s="1" t="s">
        <v>214</v>
      </c>
      <c r="F358" s="1">
        <v>1920928680000</v>
      </c>
      <c r="G358" s="1" t="s">
        <v>390</v>
      </c>
      <c r="H358" s="1" t="s">
        <v>1542</v>
      </c>
      <c r="I358" s="1" t="s">
        <v>1182</v>
      </c>
      <c r="Q358" s="1" t="s">
        <v>374</v>
      </c>
      <c r="R358" s="1" t="s">
        <v>214</v>
      </c>
      <c r="S358" s="1" t="s">
        <v>390</v>
      </c>
    </row>
    <row r="359" spans="1:19" x14ac:dyDescent="0.25">
      <c r="A359" s="1">
        <v>1920928870000</v>
      </c>
      <c r="B359" s="1" t="s">
        <v>374</v>
      </c>
      <c r="C359" s="1" t="s">
        <v>1265</v>
      </c>
      <c r="D359" s="1">
        <v>9</v>
      </c>
      <c r="E359" s="1" t="s">
        <v>214</v>
      </c>
      <c r="F359" s="1">
        <v>1920928870000</v>
      </c>
      <c r="G359" s="1" t="s">
        <v>391</v>
      </c>
      <c r="H359" s="1" t="s">
        <v>1543</v>
      </c>
      <c r="I359" s="1" t="s">
        <v>1182</v>
      </c>
      <c r="Q359" s="1" t="s">
        <v>374</v>
      </c>
      <c r="R359" s="1" t="s">
        <v>214</v>
      </c>
      <c r="S359" s="1" t="s">
        <v>391</v>
      </c>
    </row>
    <row r="360" spans="1:19" x14ac:dyDescent="0.25">
      <c r="A360" s="1">
        <v>1920929500000</v>
      </c>
      <c r="B360" s="1" t="s">
        <v>374</v>
      </c>
      <c r="C360" s="1" t="s">
        <v>1265</v>
      </c>
      <c r="D360" s="1">
        <v>9</v>
      </c>
      <c r="E360" s="1" t="s">
        <v>214</v>
      </c>
      <c r="F360" s="1">
        <v>1920929500000</v>
      </c>
      <c r="G360" s="1" t="s">
        <v>392</v>
      </c>
      <c r="H360" s="1" t="s">
        <v>1544</v>
      </c>
      <c r="I360" s="1" t="s">
        <v>1182</v>
      </c>
      <c r="Q360" s="1" t="s">
        <v>374</v>
      </c>
      <c r="R360" s="1" t="s">
        <v>214</v>
      </c>
      <c r="S360" s="1" t="s">
        <v>392</v>
      </c>
    </row>
    <row r="361" spans="1:19" x14ac:dyDescent="0.25">
      <c r="A361" s="1">
        <v>1920930130000</v>
      </c>
      <c r="B361" s="1" t="s">
        <v>374</v>
      </c>
      <c r="C361" s="1" t="s">
        <v>1265</v>
      </c>
      <c r="D361" s="1">
        <v>9</v>
      </c>
      <c r="E361" s="1" t="s">
        <v>214</v>
      </c>
      <c r="F361" s="1">
        <v>1920930130000</v>
      </c>
      <c r="G361" s="1" t="s">
        <v>393</v>
      </c>
      <c r="H361" s="1" t="s">
        <v>1545</v>
      </c>
      <c r="I361" s="1" t="s">
        <v>1182</v>
      </c>
      <c r="Q361" s="1" t="s">
        <v>374</v>
      </c>
      <c r="R361" s="1" t="s">
        <v>214</v>
      </c>
      <c r="S361" s="1" t="s">
        <v>393</v>
      </c>
    </row>
    <row r="362" spans="1:19" x14ac:dyDescent="0.25">
      <c r="A362" s="1">
        <v>1920931100000</v>
      </c>
      <c r="B362" s="1" t="s">
        <v>374</v>
      </c>
      <c r="C362" s="1" t="s">
        <v>1265</v>
      </c>
      <c r="D362" s="1">
        <v>9</v>
      </c>
      <c r="E362" s="1" t="s">
        <v>214</v>
      </c>
      <c r="F362" s="1">
        <v>1920931100000</v>
      </c>
      <c r="G362" s="1" t="s">
        <v>394</v>
      </c>
      <c r="H362" s="1" t="s">
        <v>1546</v>
      </c>
      <c r="I362" s="1" t="s">
        <v>1182</v>
      </c>
      <c r="Q362" s="1" t="s">
        <v>374</v>
      </c>
      <c r="R362" s="1" t="s">
        <v>214</v>
      </c>
      <c r="S362" s="1" t="s">
        <v>394</v>
      </c>
    </row>
    <row r="363" spans="1:19" x14ac:dyDescent="0.25">
      <c r="A363" s="1">
        <v>1920931150000</v>
      </c>
      <c r="B363" s="1" t="s">
        <v>374</v>
      </c>
      <c r="C363" s="1" t="s">
        <v>1265</v>
      </c>
      <c r="D363" s="1">
        <v>9</v>
      </c>
      <c r="E363" s="1" t="s">
        <v>214</v>
      </c>
      <c r="F363" s="1">
        <v>1920931150000</v>
      </c>
      <c r="G363" s="1" t="s">
        <v>395</v>
      </c>
      <c r="H363" s="1" t="s">
        <v>1547</v>
      </c>
      <c r="I363" s="1" t="s">
        <v>1182</v>
      </c>
      <c r="Q363" s="1" t="s">
        <v>374</v>
      </c>
      <c r="R363" s="1" t="s">
        <v>214</v>
      </c>
      <c r="S363" s="1" t="s">
        <v>395</v>
      </c>
    </row>
    <row r="364" spans="1:19" x14ac:dyDescent="0.25">
      <c r="A364" s="1">
        <v>1920937050000</v>
      </c>
      <c r="B364" s="1" t="s">
        <v>374</v>
      </c>
      <c r="C364" s="1" t="s">
        <v>1265</v>
      </c>
      <c r="D364" s="1">
        <v>9</v>
      </c>
      <c r="E364" s="1" t="s">
        <v>214</v>
      </c>
      <c r="F364" s="1">
        <v>1920937050000</v>
      </c>
      <c r="G364" s="1" t="s">
        <v>396</v>
      </c>
      <c r="H364" s="1" t="s">
        <v>1548</v>
      </c>
      <c r="I364" s="1" t="s">
        <v>1182</v>
      </c>
      <c r="Q364" s="1" t="s">
        <v>374</v>
      </c>
      <c r="R364" s="1" t="s">
        <v>214</v>
      </c>
      <c r="S364" s="1" t="s">
        <v>396</v>
      </c>
    </row>
    <row r="365" spans="1:19" x14ac:dyDescent="0.25">
      <c r="A365" s="1">
        <v>1920902390000</v>
      </c>
      <c r="B365" s="1" t="s">
        <v>397</v>
      </c>
      <c r="C365" s="1" t="s">
        <v>1265</v>
      </c>
      <c r="D365" s="1">
        <v>10</v>
      </c>
      <c r="E365" s="1" t="s">
        <v>147</v>
      </c>
      <c r="F365" s="1">
        <v>1920902390000</v>
      </c>
      <c r="G365" s="1" t="s">
        <v>398</v>
      </c>
      <c r="H365" s="1" t="s">
        <v>1549</v>
      </c>
      <c r="I365" s="1" t="s">
        <v>1182</v>
      </c>
      <c r="Q365" s="1" t="s">
        <v>397</v>
      </c>
      <c r="R365" s="1" t="s">
        <v>147</v>
      </c>
      <c r="S365" s="1" t="s">
        <v>398</v>
      </c>
    </row>
    <row r="366" spans="1:19" x14ac:dyDescent="0.25">
      <c r="A366" s="1">
        <v>1920902460000</v>
      </c>
      <c r="B366" s="1" t="s">
        <v>397</v>
      </c>
      <c r="C366" s="1" t="s">
        <v>1265</v>
      </c>
      <c r="D366" s="1">
        <v>10</v>
      </c>
      <c r="E366" s="1" t="s">
        <v>147</v>
      </c>
      <c r="F366" s="1">
        <v>1920902460000</v>
      </c>
      <c r="G366" s="1" t="s">
        <v>399</v>
      </c>
      <c r="H366" s="1" t="s">
        <v>1550</v>
      </c>
      <c r="I366" s="1" t="s">
        <v>1182</v>
      </c>
      <c r="Q366" s="1" t="s">
        <v>397</v>
      </c>
      <c r="R366" s="1" t="s">
        <v>147</v>
      </c>
      <c r="S366" s="1" t="s">
        <v>399</v>
      </c>
    </row>
    <row r="367" spans="1:19" x14ac:dyDescent="0.25">
      <c r="A367" s="1">
        <v>1920902590000</v>
      </c>
      <c r="B367" s="1" t="s">
        <v>397</v>
      </c>
      <c r="C367" s="1" t="s">
        <v>1265</v>
      </c>
      <c r="D367" s="1">
        <v>10</v>
      </c>
      <c r="E367" s="1" t="s">
        <v>147</v>
      </c>
      <c r="F367" s="1">
        <v>1920902590000</v>
      </c>
      <c r="G367" s="1" t="s">
        <v>400</v>
      </c>
      <c r="H367" s="1" t="s">
        <v>1551</v>
      </c>
      <c r="I367" s="1" t="s">
        <v>1182</v>
      </c>
      <c r="Q367" s="1" t="s">
        <v>397</v>
      </c>
      <c r="R367" s="1" t="s">
        <v>147</v>
      </c>
      <c r="S367" s="1" t="s">
        <v>400</v>
      </c>
    </row>
    <row r="368" spans="1:19" x14ac:dyDescent="0.25">
      <c r="A368" s="1">
        <v>1920930460000</v>
      </c>
      <c r="B368" s="1" t="s">
        <v>397</v>
      </c>
      <c r="C368" s="1" t="s">
        <v>1265</v>
      </c>
      <c r="D368" s="1">
        <v>10</v>
      </c>
      <c r="E368" s="1" t="s">
        <v>147</v>
      </c>
      <c r="F368" s="1">
        <v>1920930460000</v>
      </c>
      <c r="G368" s="1" t="s">
        <v>401</v>
      </c>
      <c r="H368" s="1" t="s">
        <v>1552</v>
      </c>
      <c r="I368" s="1" t="s">
        <v>1182</v>
      </c>
      <c r="Q368" s="1" t="s">
        <v>397</v>
      </c>
      <c r="R368" s="1" t="s">
        <v>147</v>
      </c>
      <c r="S368" s="1" t="s">
        <v>401</v>
      </c>
    </row>
    <row r="369" spans="1:19" x14ac:dyDescent="0.25">
      <c r="A369" s="1">
        <v>1920930490000</v>
      </c>
      <c r="B369" s="1" t="s">
        <v>397</v>
      </c>
      <c r="C369" s="1" t="s">
        <v>1265</v>
      </c>
      <c r="D369" s="1">
        <v>10</v>
      </c>
      <c r="E369" s="1" t="s">
        <v>147</v>
      </c>
      <c r="F369" s="1">
        <v>1920930490000</v>
      </c>
      <c r="G369" s="1" t="s">
        <v>402</v>
      </c>
      <c r="H369" s="1" t="s">
        <v>1553</v>
      </c>
      <c r="I369" s="1" t="s">
        <v>1182</v>
      </c>
      <c r="Q369" s="1" t="s">
        <v>397</v>
      </c>
      <c r="R369" s="1" t="s">
        <v>147</v>
      </c>
      <c r="S369" s="1" t="s">
        <v>402</v>
      </c>
    </row>
    <row r="370" spans="1:19" x14ac:dyDescent="0.25">
      <c r="A370" s="1">
        <v>1920931720000</v>
      </c>
      <c r="B370" s="1" t="s">
        <v>397</v>
      </c>
      <c r="C370" s="1" t="s">
        <v>1265</v>
      </c>
      <c r="D370" s="1">
        <v>10</v>
      </c>
      <c r="E370" s="1" t="s">
        <v>147</v>
      </c>
      <c r="F370" s="1">
        <v>1920931720000</v>
      </c>
      <c r="G370" s="1" t="s">
        <v>403</v>
      </c>
      <c r="H370" s="1" t="s">
        <v>1554</v>
      </c>
      <c r="I370" s="1" t="s">
        <v>1182</v>
      </c>
      <c r="Q370" s="1" t="s">
        <v>397</v>
      </c>
      <c r="R370" s="1" t="s">
        <v>147</v>
      </c>
      <c r="S370" s="1" t="s">
        <v>403</v>
      </c>
    </row>
    <row r="371" spans="1:19" x14ac:dyDescent="0.25">
      <c r="A371" s="1">
        <v>1920932160000</v>
      </c>
      <c r="B371" s="1" t="s">
        <v>397</v>
      </c>
      <c r="C371" s="1" t="s">
        <v>1265</v>
      </c>
      <c r="D371" s="1">
        <v>10</v>
      </c>
      <c r="E371" s="1" t="s">
        <v>147</v>
      </c>
      <c r="F371" s="1">
        <v>1920932160000</v>
      </c>
      <c r="G371" s="1" t="s">
        <v>404</v>
      </c>
      <c r="H371" s="1" t="s">
        <v>1555</v>
      </c>
      <c r="I371" s="1" t="s">
        <v>1182</v>
      </c>
      <c r="Q371" s="1" t="s">
        <v>397</v>
      </c>
      <c r="R371" s="1" t="s">
        <v>147</v>
      </c>
      <c r="S371" s="1" t="s">
        <v>404</v>
      </c>
    </row>
    <row r="372" spans="1:19" x14ac:dyDescent="0.25">
      <c r="A372" s="1">
        <v>1920932450000</v>
      </c>
      <c r="B372" s="1" t="s">
        <v>397</v>
      </c>
      <c r="C372" s="1" t="s">
        <v>1265</v>
      </c>
      <c r="D372" s="1">
        <v>10</v>
      </c>
      <c r="E372" s="1" t="s">
        <v>147</v>
      </c>
      <c r="F372" s="1">
        <v>1920932450000</v>
      </c>
      <c r="G372" s="1" t="s">
        <v>405</v>
      </c>
      <c r="H372" s="1" t="s">
        <v>1556</v>
      </c>
      <c r="I372" s="1" t="s">
        <v>1182</v>
      </c>
      <c r="Q372" s="1" t="s">
        <v>397</v>
      </c>
      <c r="R372" s="1" t="s">
        <v>147</v>
      </c>
      <c r="S372" s="1" t="s">
        <v>405</v>
      </c>
    </row>
    <row r="373" spans="1:19" x14ac:dyDescent="0.25">
      <c r="A373" s="1">
        <v>1920934620000</v>
      </c>
      <c r="B373" s="1" t="s">
        <v>397</v>
      </c>
      <c r="C373" s="1" t="s">
        <v>1265</v>
      </c>
      <c r="D373" s="1">
        <v>10</v>
      </c>
      <c r="E373" s="1" t="s">
        <v>147</v>
      </c>
      <c r="F373" s="1">
        <v>1920934620000</v>
      </c>
      <c r="G373" s="1" t="s">
        <v>406</v>
      </c>
      <c r="H373" s="1" t="s">
        <v>1557</v>
      </c>
      <c r="I373" s="1" t="s">
        <v>1182</v>
      </c>
      <c r="Q373" s="1" t="s">
        <v>397</v>
      </c>
      <c r="R373" s="1" t="s">
        <v>147</v>
      </c>
      <c r="S373" s="1" t="s">
        <v>406</v>
      </c>
    </row>
    <row r="374" spans="1:19" x14ac:dyDescent="0.25">
      <c r="A374" s="1">
        <v>1920937290000</v>
      </c>
      <c r="B374" s="1" t="s">
        <v>397</v>
      </c>
      <c r="C374" s="1" t="s">
        <v>1265</v>
      </c>
      <c r="D374" s="1">
        <v>10</v>
      </c>
      <c r="E374" s="1" t="s">
        <v>147</v>
      </c>
      <c r="F374" s="1">
        <v>1920937290000</v>
      </c>
      <c r="G374" s="1" t="s">
        <v>407</v>
      </c>
      <c r="H374" s="1" t="s">
        <v>1558</v>
      </c>
      <c r="I374" s="1" t="s">
        <v>1182</v>
      </c>
      <c r="Q374" s="1" t="s">
        <v>397</v>
      </c>
      <c r="R374" s="1" t="s">
        <v>147</v>
      </c>
      <c r="S374" s="1" t="s">
        <v>407</v>
      </c>
    </row>
    <row r="375" spans="1:19" x14ac:dyDescent="0.25">
      <c r="A375" s="1">
        <v>1920937500000</v>
      </c>
      <c r="B375" s="1" t="s">
        <v>397</v>
      </c>
      <c r="C375" s="1" t="s">
        <v>1265</v>
      </c>
      <c r="D375" s="1">
        <v>10</v>
      </c>
      <c r="E375" s="1" t="s">
        <v>147</v>
      </c>
      <c r="F375" s="1">
        <v>1920937500000</v>
      </c>
      <c r="G375" s="1" t="s">
        <v>408</v>
      </c>
      <c r="H375" s="1" t="s">
        <v>1559</v>
      </c>
      <c r="I375" s="1" t="s">
        <v>1182</v>
      </c>
      <c r="Q375" s="1" t="s">
        <v>397</v>
      </c>
      <c r="R375" s="1" t="s">
        <v>147</v>
      </c>
      <c r="S375" s="1" t="s">
        <v>408</v>
      </c>
    </row>
    <row r="376" spans="1:19" x14ac:dyDescent="0.25">
      <c r="A376" s="1">
        <v>1920937850000</v>
      </c>
      <c r="B376" s="1" t="s">
        <v>397</v>
      </c>
      <c r="C376" s="1" t="s">
        <v>1265</v>
      </c>
      <c r="D376" s="1">
        <v>10</v>
      </c>
      <c r="E376" s="1" t="s">
        <v>147</v>
      </c>
      <c r="F376" s="1">
        <v>1920937850000</v>
      </c>
      <c r="G376" s="1" t="s">
        <v>409</v>
      </c>
      <c r="H376" s="1" t="s">
        <v>1560</v>
      </c>
      <c r="I376" s="1" t="s">
        <v>1182</v>
      </c>
      <c r="Q376" s="1" t="s">
        <v>397</v>
      </c>
      <c r="R376" s="1" t="s">
        <v>147</v>
      </c>
      <c r="S376" s="1" t="s">
        <v>409</v>
      </c>
    </row>
    <row r="377" spans="1:19" x14ac:dyDescent="0.25">
      <c r="A377" s="1">
        <v>1920901100000</v>
      </c>
      <c r="B377" s="1" t="s">
        <v>397</v>
      </c>
      <c r="C377" s="1" t="s">
        <v>1265</v>
      </c>
      <c r="D377" s="1">
        <v>10</v>
      </c>
      <c r="E377" s="1" t="s">
        <v>214</v>
      </c>
      <c r="F377" s="1">
        <v>1920901100000</v>
      </c>
      <c r="G377" s="1" t="s">
        <v>410</v>
      </c>
      <c r="H377" s="1" t="s">
        <v>1561</v>
      </c>
      <c r="I377" s="1" t="s">
        <v>1182</v>
      </c>
      <c r="Q377" s="1" t="s">
        <v>397</v>
      </c>
      <c r="R377" s="1" t="s">
        <v>214</v>
      </c>
      <c r="S377" s="1" t="s">
        <v>410</v>
      </c>
    </row>
    <row r="378" spans="1:19" x14ac:dyDescent="0.25">
      <c r="A378" s="1">
        <v>1920902020000</v>
      </c>
      <c r="B378" s="1" t="s">
        <v>397</v>
      </c>
      <c r="C378" s="1" t="s">
        <v>1265</v>
      </c>
      <c r="D378" s="1">
        <v>10</v>
      </c>
      <c r="E378" s="1" t="s">
        <v>214</v>
      </c>
      <c r="F378" s="1">
        <v>1920902020000</v>
      </c>
      <c r="G378" s="1" t="s">
        <v>411</v>
      </c>
      <c r="H378" s="1" t="s">
        <v>1562</v>
      </c>
      <c r="I378" s="1" t="s">
        <v>1182</v>
      </c>
      <c r="Q378" s="1" t="s">
        <v>397</v>
      </c>
      <c r="R378" s="1" t="s">
        <v>214</v>
      </c>
      <c r="S378" s="1" t="s">
        <v>411</v>
      </c>
    </row>
    <row r="379" spans="1:19" x14ac:dyDescent="0.25">
      <c r="A379" s="1">
        <v>1920927040000</v>
      </c>
      <c r="B379" s="1" t="s">
        <v>397</v>
      </c>
      <c r="C379" s="1" t="s">
        <v>1265</v>
      </c>
      <c r="D379" s="1">
        <v>10</v>
      </c>
      <c r="E379" s="1" t="s">
        <v>214</v>
      </c>
      <c r="F379" s="1">
        <v>1920927040000</v>
      </c>
      <c r="G379" s="1" t="s">
        <v>412</v>
      </c>
      <c r="H379" s="1" t="s">
        <v>1563</v>
      </c>
      <c r="I379" s="1" t="s">
        <v>1182</v>
      </c>
      <c r="Q379" s="1" t="s">
        <v>397</v>
      </c>
      <c r="R379" s="1" t="s">
        <v>214</v>
      </c>
      <c r="S379" s="1" t="s">
        <v>412</v>
      </c>
    </row>
    <row r="380" spans="1:19" x14ac:dyDescent="0.25">
      <c r="A380" s="1">
        <v>1920927850000</v>
      </c>
      <c r="B380" s="1" t="s">
        <v>397</v>
      </c>
      <c r="C380" s="1" t="s">
        <v>1265</v>
      </c>
      <c r="D380" s="1">
        <v>10</v>
      </c>
      <c r="E380" s="1" t="s">
        <v>214</v>
      </c>
      <c r="F380" s="1">
        <v>1920927850000</v>
      </c>
      <c r="G380" s="1" t="s">
        <v>413</v>
      </c>
      <c r="H380" s="1" t="s">
        <v>1564</v>
      </c>
      <c r="I380" s="1" t="s">
        <v>1182</v>
      </c>
      <c r="Q380" s="1" t="s">
        <v>397</v>
      </c>
      <c r="R380" s="1" t="s">
        <v>214</v>
      </c>
      <c r="S380" s="1" t="s">
        <v>413</v>
      </c>
    </row>
    <row r="381" spans="1:19" x14ac:dyDescent="0.25">
      <c r="A381" s="1">
        <v>1920928670000</v>
      </c>
      <c r="B381" s="1" t="s">
        <v>397</v>
      </c>
      <c r="C381" s="1" t="s">
        <v>1265</v>
      </c>
      <c r="D381" s="1">
        <v>10</v>
      </c>
      <c r="E381" s="1" t="s">
        <v>214</v>
      </c>
      <c r="F381" s="1">
        <v>1920928670000</v>
      </c>
      <c r="G381" s="1" t="s">
        <v>414</v>
      </c>
      <c r="H381" s="1" t="s">
        <v>1565</v>
      </c>
      <c r="I381" s="1" t="s">
        <v>1182</v>
      </c>
      <c r="Q381" s="1" t="s">
        <v>397</v>
      </c>
      <c r="R381" s="1" t="s">
        <v>214</v>
      </c>
      <c r="S381" s="1" t="s">
        <v>414</v>
      </c>
    </row>
    <row r="382" spans="1:19" x14ac:dyDescent="0.25">
      <c r="A382" s="1">
        <v>1920928930000</v>
      </c>
      <c r="B382" s="1" t="s">
        <v>397</v>
      </c>
      <c r="C382" s="1" t="s">
        <v>1265</v>
      </c>
      <c r="D382" s="1">
        <v>10</v>
      </c>
      <c r="E382" s="1" t="s">
        <v>214</v>
      </c>
      <c r="F382" s="1">
        <v>1920928930000</v>
      </c>
      <c r="G382" s="1" t="s">
        <v>415</v>
      </c>
      <c r="H382" s="1" t="s">
        <v>1566</v>
      </c>
      <c r="I382" s="1" t="s">
        <v>1182</v>
      </c>
      <c r="Q382" s="1" t="s">
        <v>397</v>
      </c>
      <c r="R382" s="1" t="s">
        <v>214</v>
      </c>
      <c r="S382" s="1" t="s">
        <v>415</v>
      </c>
    </row>
    <row r="383" spans="1:19" x14ac:dyDescent="0.25">
      <c r="A383" s="1">
        <v>1920929810000</v>
      </c>
      <c r="B383" s="1" t="s">
        <v>397</v>
      </c>
      <c r="C383" s="1" t="s">
        <v>1265</v>
      </c>
      <c r="D383" s="1">
        <v>10</v>
      </c>
      <c r="E383" s="1" t="s">
        <v>214</v>
      </c>
      <c r="F383" s="1">
        <v>1920929810000</v>
      </c>
      <c r="G383" s="1" t="s">
        <v>416</v>
      </c>
      <c r="H383" s="1" t="s">
        <v>1567</v>
      </c>
      <c r="I383" s="1" t="s">
        <v>1182</v>
      </c>
      <c r="Q383" s="1" t="s">
        <v>397</v>
      </c>
      <c r="R383" s="1" t="s">
        <v>214</v>
      </c>
      <c r="S383" s="1" t="s">
        <v>416</v>
      </c>
    </row>
    <row r="384" spans="1:19" x14ac:dyDescent="0.25">
      <c r="A384" s="1">
        <v>1920930080000</v>
      </c>
      <c r="B384" s="1" t="s">
        <v>397</v>
      </c>
      <c r="C384" s="1" t="s">
        <v>1265</v>
      </c>
      <c r="D384" s="1">
        <v>10</v>
      </c>
      <c r="E384" s="1" t="s">
        <v>214</v>
      </c>
      <c r="F384" s="1">
        <v>1920930080000</v>
      </c>
      <c r="G384" s="1" t="s">
        <v>417</v>
      </c>
      <c r="H384" s="1" t="s">
        <v>1568</v>
      </c>
      <c r="I384" s="1" t="s">
        <v>1182</v>
      </c>
      <c r="Q384" s="1" t="s">
        <v>397</v>
      </c>
      <c r="R384" s="1" t="s">
        <v>214</v>
      </c>
      <c r="S384" s="1" t="s">
        <v>417</v>
      </c>
    </row>
    <row r="385" spans="1:19" x14ac:dyDescent="0.25">
      <c r="A385" s="1">
        <v>1920930220000</v>
      </c>
      <c r="B385" s="1" t="s">
        <v>397</v>
      </c>
      <c r="C385" s="1" t="s">
        <v>1265</v>
      </c>
      <c r="D385" s="1">
        <v>10</v>
      </c>
      <c r="E385" s="1" t="s">
        <v>214</v>
      </c>
      <c r="F385" s="1">
        <v>1920930220000</v>
      </c>
      <c r="G385" s="1" t="s">
        <v>418</v>
      </c>
      <c r="H385" s="1" t="s">
        <v>1569</v>
      </c>
      <c r="I385" s="1" t="s">
        <v>1182</v>
      </c>
      <c r="Q385" s="1" t="s">
        <v>397</v>
      </c>
      <c r="R385" s="1" t="s">
        <v>214</v>
      </c>
      <c r="S385" s="1" t="s">
        <v>418</v>
      </c>
    </row>
    <row r="386" spans="1:19" x14ac:dyDescent="0.25">
      <c r="A386" s="1">
        <v>1920936200000</v>
      </c>
      <c r="B386" s="1" t="s">
        <v>397</v>
      </c>
      <c r="C386" s="1" t="s">
        <v>1265</v>
      </c>
      <c r="D386" s="1">
        <v>10</v>
      </c>
      <c r="E386" s="1" t="s">
        <v>214</v>
      </c>
      <c r="F386" s="1">
        <v>1920936200000</v>
      </c>
      <c r="G386" s="1" t="s">
        <v>419</v>
      </c>
      <c r="H386" s="1" t="s">
        <v>1570</v>
      </c>
      <c r="I386" s="1" t="s">
        <v>1182</v>
      </c>
      <c r="Q386" s="1" t="s">
        <v>397</v>
      </c>
      <c r="R386" s="1" t="s">
        <v>214</v>
      </c>
      <c r="S386" s="1" t="s">
        <v>419</v>
      </c>
    </row>
    <row r="387" spans="1:19" x14ac:dyDescent="0.25">
      <c r="A387" s="1">
        <v>1920902450000</v>
      </c>
      <c r="B387" s="1" t="s">
        <v>420</v>
      </c>
      <c r="C387" s="1" t="s">
        <v>1265</v>
      </c>
      <c r="D387" s="1">
        <v>18</v>
      </c>
      <c r="E387" s="1" t="s">
        <v>100</v>
      </c>
      <c r="F387" s="1">
        <v>1920902450000</v>
      </c>
      <c r="G387" s="1" t="s">
        <v>40</v>
      </c>
      <c r="H387" s="1" t="s">
        <v>1571</v>
      </c>
      <c r="I387" s="1" t="s">
        <v>1182</v>
      </c>
      <c r="Q387" s="1" t="s">
        <v>420</v>
      </c>
      <c r="R387" s="1" t="s">
        <v>100</v>
      </c>
      <c r="S387" s="1" t="s">
        <v>40</v>
      </c>
    </row>
    <row r="388" spans="1:19" x14ac:dyDescent="0.25">
      <c r="A388" s="1">
        <v>1920921770000</v>
      </c>
      <c r="B388" s="1" t="s">
        <v>420</v>
      </c>
      <c r="C388" s="1" t="s">
        <v>1265</v>
      </c>
      <c r="D388" s="1">
        <v>18</v>
      </c>
      <c r="E388" s="1" t="s">
        <v>420</v>
      </c>
      <c r="F388" s="1">
        <v>1920921770000</v>
      </c>
      <c r="G388" s="1" t="s">
        <v>421</v>
      </c>
      <c r="H388" s="1" t="s">
        <v>1572</v>
      </c>
      <c r="I388" s="1" t="s">
        <v>1182</v>
      </c>
      <c r="Q388" s="1" t="s">
        <v>420</v>
      </c>
      <c r="R388" s="1" t="s">
        <v>420</v>
      </c>
      <c r="S388" s="1" t="s">
        <v>421</v>
      </c>
    </row>
    <row r="389" spans="1:19" x14ac:dyDescent="0.25">
      <c r="A389" s="1">
        <v>1920921780000</v>
      </c>
      <c r="B389" s="1" t="s">
        <v>420</v>
      </c>
      <c r="C389" s="1" t="s">
        <v>1265</v>
      </c>
      <c r="D389" s="1">
        <v>18</v>
      </c>
      <c r="E389" s="1" t="s">
        <v>420</v>
      </c>
      <c r="F389" s="1">
        <v>1920921780000</v>
      </c>
      <c r="G389" s="1" t="s">
        <v>422</v>
      </c>
      <c r="H389" s="1" t="s">
        <v>1573</v>
      </c>
      <c r="I389" s="1" t="s">
        <v>1182</v>
      </c>
      <c r="Q389" s="1" t="s">
        <v>420</v>
      </c>
      <c r="R389" s="1" t="s">
        <v>420</v>
      </c>
      <c r="S389" s="1" t="s">
        <v>422</v>
      </c>
    </row>
    <row r="390" spans="1:19" x14ac:dyDescent="0.25">
      <c r="A390" s="1">
        <v>1920921800000</v>
      </c>
      <c r="B390" s="1" t="s">
        <v>420</v>
      </c>
      <c r="C390" s="1" t="s">
        <v>1265</v>
      </c>
      <c r="D390" s="1">
        <v>18</v>
      </c>
      <c r="E390" s="1" t="s">
        <v>420</v>
      </c>
      <c r="F390" s="1">
        <v>1920921800000</v>
      </c>
      <c r="G390" s="1" t="s">
        <v>423</v>
      </c>
      <c r="H390" s="1" t="s">
        <v>1574</v>
      </c>
      <c r="I390" s="1" t="s">
        <v>1182</v>
      </c>
      <c r="Q390" s="1" t="s">
        <v>420</v>
      </c>
      <c r="R390" s="1" t="s">
        <v>420</v>
      </c>
      <c r="S390" s="1" t="s">
        <v>423</v>
      </c>
    </row>
    <row r="391" spans="1:19" x14ac:dyDescent="0.25">
      <c r="A391" s="1">
        <v>1920921800001</v>
      </c>
      <c r="B391" s="1" t="s">
        <v>420</v>
      </c>
      <c r="C391" s="1" t="s">
        <v>1265</v>
      </c>
      <c r="D391" s="1">
        <v>18</v>
      </c>
      <c r="E391" s="1" t="s">
        <v>420</v>
      </c>
      <c r="F391" s="1">
        <v>1920921800001</v>
      </c>
      <c r="G391" s="1" t="s">
        <v>424</v>
      </c>
      <c r="H391" s="1" t="s">
        <v>1575</v>
      </c>
      <c r="I391" s="1" t="s">
        <v>1182</v>
      </c>
      <c r="Q391" s="1" t="s">
        <v>420</v>
      </c>
      <c r="R391" s="1" t="s">
        <v>420</v>
      </c>
      <c r="S391" s="1" t="s">
        <v>424</v>
      </c>
    </row>
    <row r="392" spans="1:19" x14ac:dyDescent="0.25">
      <c r="A392" s="1">
        <v>1920921810000</v>
      </c>
      <c r="B392" s="1" t="s">
        <v>420</v>
      </c>
      <c r="C392" s="1" t="s">
        <v>1265</v>
      </c>
      <c r="D392" s="1">
        <v>18</v>
      </c>
      <c r="E392" s="1" t="s">
        <v>420</v>
      </c>
      <c r="F392" s="1">
        <v>1920921810000</v>
      </c>
      <c r="G392" s="1" t="s">
        <v>425</v>
      </c>
      <c r="H392" s="1" t="s">
        <v>1576</v>
      </c>
      <c r="I392" s="1" t="s">
        <v>1182</v>
      </c>
      <c r="Q392" s="1" t="s">
        <v>420</v>
      </c>
      <c r="R392" s="1" t="s">
        <v>420</v>
      </c>
      <c r="S392" s="1" t="s">
        <v>425</v>
      </c>
    </row>
    <row r="393" spans="1:19" x14ac:dyDescent="0.25">
      <c r="A393" s="1">
        <v>1920921820000</v>
      </c>
      <c r="B393" s="1" t="s">
        <v>420</v>
      </c>
      <c r="C393" s="1" t="s">
        <v>1265</v>
      </c>
      <c r="D393" s="1">
        <v>18</v>
      </c>
      <c r="E393" s="1" t="s">
        <v>420</v>
      </c>
      <c r="F393" s="1">
        <v>1920921820000</v>
      </c>
      <c r="G393" s="1" t="s">
        <v>426</v>
      </c>
      <c r="H393" s="1" t="s">
        <v>1577</v>
      </c>
      <c r="I393" s="1" t="s">
        <v>1182</v>
      </c>
      <c r="Q393" s="1" t="s">
        <v>420</v>
      </c>
      <c r="R393" s="1" t="s">
        <v>420</v>
      </c>
      <c r="S393" s="1" t="s">
        <v>426</v>
      </c>
    </row>
    <row r="394" spans="1:19" x14ac:dyDescent="0.25">
      <c r="A394" s="1">
        <v>1920921830000</v>
      </c>
      <c r="B394" s="1" t="s">
        <v>420</v>
      </c>
      <c r="C394" s="1" t="s">
        <v>1265</v>
      </c>
      <c r="D394" s="1">
        <v>18</v>
      </c>
      <c r="E394" s="1" t="s">
        <v>420</v>
      </c>
      <c r="F394" s="1">
        <v>1920921830000</v>
      </c>
      <c r="G394" s="1" t="s">
        <v>427</v>
      </c>
      <c r="H394" s="1" t="s">
        <v>1578</v>
      </c>
      <c r="I394" s="1" t="s">
        <v>1182</v>
      </c>
      <c r="Q394" s="1" t="s">
        <v>420</v>
      </c>
      <c r="R394" s="1" t="s">
        <v>420</v>
      </c>
      <c r="S394" s="1" t="s">
        <v>427</v>
      </c>
    </row>
    <row r="395" spans="1:19" x14ac:dyDescent="0.25">
      <c r="A395" s="1">
        <v>1920921840000</v>
      </c>
      <c r="B395" s="1" t="s">
        <v>420</v>
      </c>
      <c r="C395" s="1" t="s">
        <v>1265</v>
      </c>
      <c r="D395" s="1">
        <v>18</v>
      </c>
      <c r="E395" s="1" t="s">
        <v>420</v>
      </c>
      <c r="F395" s="1">
        <v>1920921840000</v>
      </c>
      <c r="G395" s="1" t="s">
        <v>428</v>
      </c>
      <c r="H395" s="1" t="s">
        <v>1579</v>
      </c>
      <c r="I395" s="1" t="s">
        <v>1182</v>
      </c>
      <c r="Q395" s="1" t="s">
        <v>420</v>
      </c>
      <c r="R395" s="1" t="s">
        <v>420</v>
      </c>
      <c r="S395" s="1" t="s">
        <v>428</v>
      </c>
    </row>
    <row r="396" spans="1:19" x14ac:dyDescent="0.25">
      <c r="A396" s="1">
        <v>1920924870000</v>
      </c>
      <c r="B396" s="1" t="s">
        <v>420</v>
      </c>
      <c r="C396" s="1" t="s">
        <v>1265</v>
      </c>
      <c r="D396" s="1">
        <v>18</v>
      </c>
      <c r="E396" s="1" t="s">
        <v>420</v>
      </c>
      <c r="F396" s="1">
        <v>1920924870000</v>
      </c>
      <c r="G396" s="1" t="s">
        <v>429</v>
      </c>
      <c r="H396" s="1" t="s">
        <v>1580</v>
      </c>
      <c r="I396" s="1" t="s">
        <v>1182</v>
      </c>
      <c r="Q396" s="1" t="s">
        <v>420</v>
      </c>
      <c r="R396" s="1" t="s">
        <v>420</v>
      </c>
      <c r="S396" s="1" t="s">
        <v>429</v>
      </c>
    </row>
    <row r="397" spans="1:19" x14ac:dyDescent="0.25">
      <c r="A397" s="1">
        <v>1920931390000</v>
      </c>
      <c r="B397" s="1" t="s">
        <v>420</v>
      </c>
      <c r="C397" s="1" t="s">
        <v>1265</v>
      </c>
      <c r="D397" s="1">
        <v>18</v>
      </c>
      <c r="E397" s="1" t="s">
        <v>420</v>
      </c>
      <c r="F397" s="1">
        <v>1920931390000</v>
      </c>
      <c r="G397" s="1" t="s">
        <v>430</v>
      </c>
      <c r="H397" s="1" t="s">
        <v>1581</v>
      </c>
      <c r="I397" s="1" t="s">
        <v>1182</v>
      </c>
      <c r="Q397" s="1" t="s">
        <v>420</v>
      </c>
      <c r="R397" s="1" t="s">
        <v>420</v>
      </c>
      <c r="S397" s="1" t="s">
        <v>430</v>
      </c>
    </row>
    <row r="398" spans="1:19" x14ac:dyDescent="0.25">
      <c r="A398" s="1">
        <v>1920934380000</v>
      </c>
      <c r="B398" s="1" t="s">
        <v>420</v>
      </c>
      <c r="C398" s="1" t="s">
        <v>1265</v>
      </c>
      <c r="D398" s="1">
        <v>18</v>
      </c>
      <c r="E398" s="1" t="s">
        <v>420</v>
      </c>
      <c r="F398" s="1">
        <v>1920934380000</v>
      </c>
      <c r="G398" s="1" t="s">
        <v>431</v>
      </c>
      <c r="H398" s="1" t="s">
        <v>1582</v>
      </c>
      <c r="I398" s="1" t="s">
        <v>1182</v>
      </c>
      <c r="Q398" s="1" t="s">
        <v>420</v>
      </c>
      <c r="R398" s="1" t="s">
        <v>420</v>
      </c>
      <c r="S398" s="1" t="s">
        <v>431</v>
      </c>
    </row>
    <row r="399" spans="1:19" x14ac:dyDescent="0.25">
      <c r="A399" s="1">
        <v>1920937100000</v>
      </c>
      <c r="B399" s="1" t="s">
        <v>420</v>
      </c>
      <c r="C399" s="1" t="s">
        <v>1265</v>
      </c>
      <c r="D399" s="1">
        <v>18</v>
      </c>
      <c r="E399" s="1" t="s">
        <v>420</v>
      </c>
      <c r="F399" s="1">
        <v>1920937100000</v>
      </c>
      <c r="G399" s="1" t="s">
        <v>432</v>
      </c>
      <c r="H399" s="1" t="s">
        <v>1583</v>
      </c>
      <c r="I399" s="1" t="s">
        <v>1182</v>
      </c>
      <c r="Q399" s="1" t="s">
        <v>420</v>
      </c>
      <c r="R399" s="1" t="s">
        <v>420</v>
      </c>
      <c r="S399" s="1" t="s">
        <v>432</v>
      </c>
    </row>
    <row r="400" spans="1:19" x14ac:dyDescent="0.25">
      <c r="A400" s="1">
        <v>1920931840000</v>
      </c>
      <c r="B400" s="1" t="s">
        <v>420</v>
      </c>
      <c r="C400" s="1" t="s">
        <v>1265</v>
      </c>
      <c r="E400" s="1" t="s">
        <v>420</v>
      </c>
      <c r="F400" s="1">
        <v>1920931840000</v>
      </c>
      <c r="G400" s="1" t="s">
        <v>433</v>
      </c>
      <c r="H400" s="1" t="s">
        <v>1584</v>
      </c>
      <c r="I400" s="1" t="s">
        <v>1182</v>
      </c>
      <c r="Q400" s="1" t="s">
        <v>420</v>
      </c>
      <c r="R400" s="1" t="s">
        <v>420</v>
      </c>
      <c r="S400" s="1" t="s">
        <v>433</v>
      </c>
    </row>
    <row r="401" spans="1:19" x14ac:dyDescent="0.25">
      <c r="A401" s="1">
        <v>1920928810000</v>
      </c>
      <c r="B401" s="1" t="s">
        <v>420</v>
      </c>
      <c r="C401" s="1" t="s">
        <v>1265</v>
      </c>
      <c r="E401" s="1" t="s">
        <v>420</v>
      </c>
      <c r="F401" s="1">
        <v>1920928810000</v>
      </c>
      <c r="G401" s="1" t="s">
        <v>434</v>
      </c>
      <c r="H401" s="1" t="s">
        <v>1585</v>
      </c>
      <c r="I401" s="1" t="s">
        <v>1182</v>
      </c>
      <c r="Q401" s="1" t="s">
        <v>420</v>
      </c>
      <c r="R401" s="1" t="s">
        <v>420</v>
      </c>
      <c r="S401" s="1" t="s">
        <v>434</v>
      </c>
    </row>
    <row r="402" spans="1:19" x14ac:dyDescent="0.25">
      <c r="A402" s="1">
        <v>1920902430000</v>
      </c>
      <c r="B402" s="1" t="s">
        <v>420</v>
      </c>
      <c r="C402" s="1" t="s">
        <v>1265</v>
      </c>
      <c r="D402" s="1">
        <v>18</v>
      </c>
      <c r="E402" s="1" t="s">
        <v>435</v>
      </c>
      <c r="F402" s="1">
        <v>1920902430000</v>
      </c>
      <c r="G402" s="1" t="s">
        <v>436</v>
      </c>
      <c r="H402" s="1" t="s">
        <v>1586</v>
      </c>
      <c r="I402" s="1" t="s">
        <v>1182</v>
      </c>
      <c r="Q402" s="1" t="s">
        <v>420</v>
      </c>
      <c r="R402" s="1" t="s">
        <v>435</v>
      </c>
      <c r="S402" s="1" t="s">
        <v>436</v>
      </c>
    </row>
    <row r="403" spans="1:19" x14ac:dyDescent="0.25">
      <c r="A403" s="1">
        <v>1920902680000</v>
      </c>
      <c r="B403" s="1" t="s">
        <v>420</v>
      </c>
      <c r="C403" s="1" t="s">
        <v>1265</v>
      </c>
      <c r="D403" s="1">
        <v>18</v>
      </c>
      <c r="E403" s="1" t="s">
        <v>435</v>
      </c>
      <c r="F403" s="1">
        <v>1920902680000</v>
      </c>
      <c r="G403" s="1" t="s">
        <v>437</v>
      </c>
      <c r="H403" s="1" t="s">
        <v>1587</v>
      </c>
      <c r="I403" s="1" t="s">
        <v>1182</v>
      </c>
      <c r="Q403" s="1" t="s">
        <v>420</v>
      </c>
      <c r="R403" s="1" t="s">
        <v>435</v>
      </c>
      <c r="S403" s="1" t="s">
        <v>437</v>
      </c>
    </row>
    <row r="404" spans="1:19" x14ac:dyDescent="0.25">
      <c r="A404" s="1">
        <v>1920931370000</v>
      </c>
      <c r="B404" s="1" t="s">
        <v>420</v>
      </c>
      <c r="C404" s="1" t="s">
        <v>1265</v>
      </c>
      <c r="D404" s="1">
        <v>18</v>
      </c>
      <c r="E404" s="1" t="s">
        <v>435</v>
      </c>
      <c r="F404" s="1">
        <v>1920931370000</v>
      </c>
      <c r="G404" s="1" t="s">
        <v>438</v>
      </c>
      <c r="H404" s="1" t="s">
        <v>1588</v>
      </c>
      <c r="I404" s="1" t="s">
        <v>1182</v>
      </c>
      <c r="Q404" s="1" t="s">
        <v>420</v>
      </c>
      <c r="R404" s="1" t="s">
        <v>435</v>
      </c>
      <c r="S404" s="1" t="s">
        <v>438</v>
      </c>
    </row>
    <row r="405" spans="1:19" x14ac:dyDescent="0.25">
      <c r="A405" s="1">
        <v>1920932970000</v>
      </c>
      <c r="B405" s="1" t="s">
        <v>420</v>
      </c>
      <c r="C405" s="1" t="s">
        <v>1265</v>
      </c>
      <c r="D405" s="1">
        <v>18</v>
      </c>
      <c r="E405" s="1" t="s">
        <v>435</v>
      </c>
      <c r="F405" s="1">
        <v>1920932970000</v>
      </c>
      <c r="G405" s="1" t="s">
        <v>439</v>
      </c>
      <c r="H405" s="1" t="s">
        <v>1589</v>
      </c>
      <c r="I405" s="1" t="s">
        <v>1182</v>
      </c>
      <c r="Q405" s="1" t="s">
        <v>420</v>
      </c>
      <c r="R405" s="1" t="s">
        <v>435</v>
      </c>
      <c r="S405" s="1" t="s">
        <v>439</v>
      </c>
    </row>
    <row r="406" spans="1:19" x14ac:dyDescent="0.25">
      <c r="A406" s="1">
        <v>1920933850000</v>
      </c>
      <c r="B406" s="1" t="s">
        <v>420</v>
      </c>
      <c r="C406" s="1" t="s">
        <v>1265</v>
      </c>
      <c r="D406" s="1">
        <v>18</v>
      </c>
      <c r="E406" s="1" t="s">
        <v>435</v>
      </c>
      <c r="F406" s="1">
        <v>1920933850000</v>
      </c>
      <c r="G406" s="1" t="s">
        <v>440</v>
      </c>
      <c r="H406" s="1" t="s">
        <v>1590</v>
      </c>
      <c r="I406" s="1" t="s">
        <v>1182</v>
      </c>
      <c r="Q406" s="1" t="s">
        <v>420</v>
      </c>
      <c r="R406" s="1" t="s">
        <v>435</v>
      </c>
      <c r="S406" s="1" t="s">
        <v>440</v>
      </c>
    </row>
    <row r="407" spans="1:19" x14ac:dyDescent="0.25">
      <c r="A407" s="1">
        <v>1920936220000</v>
      </c>
      <c r="B407" s="1" t="s">
        <v>420</v>
      </c>
      <c r="C407" s="1" t="s">
        <v>1265</v>
      </c>
      <c r="D407" s="1">
        <v>18</v>
      </c>
      <c r="E407" s="1" t="s">
        <v>435</v>
      </c>
      <c r="F407" s="1">
        <v>1920936220000</v>
      </c>
      <c r="G407" s="1" t="s">
        <v>441</v>
      </c>
      <c r="H407" s="1" t="s">
        <v>1591</v>
      </c>
      <c r="I407" s="1" t="s">
        <v>1182</v>
      </c>
      <c r="Q407" s="1" t="s">
        <v>420</v>
      </c>
      <c r="R407" s="1" t="s">
        <v>435</v>
      </c>
      <c r="S407" s="1" t="s">
        <v>441</v>
      </c>
    </row>
    <row r="408" spans="1:19" x14ac:dyDescent="0.25">
      <c r="A408" s="1">
        <v>1920937650000</v>
      </c>
      <c r="B408" s="1" t="s">
        <v>420</v>
      </c>
      <c r="C408" s="1" t="s">
        <v>1265</v>
      </c>
      <c r="E408" s="1" t="s">
        <v>435</v>
      </c>
      <c r="F408" s="1">
        <v>1920937650000</v>
      </c>
      <c r="G408" s="1" t="s">
        <v>442</v>
      </c>
      <c r="H408" s="1" t="s">
        <v>1592</v>
      </c>
      <c r="I408" s="1" t="s">
        <v>1182</v>
      </c>
      <c r="Q408" s="1" t="s">
        <v>420</v>
      </c>
      <c r="R408" s="1" t="s">
        <v>435</v>
      </c>
      <c r="S408" s="1" t="s">
        <v>442</v>
      </c>
    </row>
    <row r="409" spans="1:19" x14ac:dyDescent="0.25">
      <c r="A409" s="1">
        <v>1920914420000</v>
      </c>
      <c r="B409" s="1" t="s">
        <v>443</v>
      </c>
      <c r="C409" s="1" t="s">
        <v>1593</v>
      </c>
      <c r="E409" s="1" t="s">
        <v>444</v>
      </c>
      <c r="F409" s="1">
        <v>1920914420000</v>
      </c>
      <c r="G409" s="1" t="s">
        <v>445</v>
      </c>
      <c r="H409" s="1" t="s">
        <v>1594</v>
      </c>
      <c r="I409" s="1" t="s">
        <v>1182</v>
      </c>
      <c r="Q409" s="1" t="s">
        <v>443</v>
      </c>
      <c r="R409" s="1" t="s">
        <v>444</v>
      </c>
      <c r="S409" s="1" t="s">
        <v>445</v>
      </c>
    </row>
    <row r="410" spans="1:19" x14ac:dyDescent="0.25">
      <c r="A410" s="1">
        <v>1920914540000</v>
      </c>
      <c r="B410" s="1" t="s">
        <v>443</v>
      </c>
      <c r="C410" s="1" t="s">
        <v>1593</v>
      </c>
      <c r="E410" s="1" t="s">
        <v>444</v>
      </c>
      <c r="F410" s="1">
        <v>1920914540000</v>
      </c>
      <c r="G410" s="1" t="s">
        <v>446</v>
      </c>
      <c r="H410" s="1" t="s">
        <v>1595</v>
      </c>
      <c r="I410" s="1" t="s">
        <v>1182</v>
      </c>
      <c r="Q410" s="1" t="s">
        <v>443</v>
      </c>
      <c r="R410" s="1" t="s">
        <v>444</v>
      </c>
      <c r="S410" s="1" t="s">
        <v>446</v>
      </c>
    </row>
    <row r="411" spans="1:19" x14ac:dyDescent="0.25">
      <c r="A411" s="1">
        <v>1920914550000</v>
      </c>
      <c r="B411" s="1" t="s">
        <v>443</v>
      </c>
      <c r="C411" s="1" t="s">
        <v>1593</v>
      </c>
      <c r="E411" s="1" t="s">
        <v>444</v>
      </c>
      <c r="F411" s="1">
        <v>1920914550000</v>
      </c>
      <c r="G411" s="1" t="s">
        <v>447</v>
      </c>
      <c r="H411" s="1" t="s">
        <v>1596</v>
      </c>
      <c r="I411" s="1" t="s">
        <v>1182</v>
      </c>
      <c r="Q411" s="1" t="s">
        <v>443</v>
      </c>
      <c r="R411" s="1" t="s">
        <v>444</v>
      </c>
      <c r="S411" s="1" t="s">
        <v>447</v>
      </c>
    </row>
    <row r="412" spans="1:19" x14ac:dyDescent="0.25">
      <c r="A412" s="1">
        <v>1920928040000</v>
      </c>
      <c r="B412" s="1" t="s">
        <v>443</v>
      </c>
      <c r="C412" s="1" t="s">
        <v>1593</v>
      </c>
      <c r="E412" s="1" t="s">
        <v>444</v>
      </c>
      <c r="F412" s="1">
        <v>1920928040000</v>
      </c>
      <c r="G412" s="1" t="s">
        <v>448</v>
      </c>
      <c r="H412" s="1" t="s">
        <v>1597</v>
      </c>
      <c r="I412" s="1" t="s">
        <v>1182</v>
      </c>
      <c r="Q412" s="1" t="s">
        <v>443</v>
      </c>
      <c r="R412" s="1" t="s">
        <v>444</v>
      </c>
      <c r="S412" s="1" t="s">
        <v>448</v>
      </c>
    </row>
    <row r="413" spans="1:19" x14ac:dyDescent="0.25">
      <c r="A413" s="1">
        <v>1920961000000</v>
      </c>
      <c r="B413" s="1" t="s">
        <v>443</v>
      </c>
      <c r="C413" s="1" t="s">
        <v>1593</v>
      </c>
      <c r="E413" s="1" t="s">
        <v>444</v>
      </c>
      <c r="F413" s="1">
        <v>1920961000000</v>
      </c>
      <c r="G413" s="1" t="s">
        <v>449</v>
      </c>
      <c r="H413" s="1" t="s">
        <v>1598</v>
      </c>
      <c r="I413" s="1" t="s">
        <v>1204</v>
      </c>
      <c r="Q413" s="1" t="s">
        <v>443</v>
      </c>
      <c r="R413" s="1" t="s">
        <v>444</v>
      </c>
      <c r="S413" s="1" t="s">
        <v>449</v>
      </c>
    </row>
    <row r="414" spans="1:19" x14ac:dyDescent="0.25">
      <c r="A414" s="1">
        <v>1920913380000</v>
      </c>
      <c r="B414" s="1" t="s">
        <v>443</v>
      </c>
      <c r="C414" s="1" t="s">
        <v>1593</v>
      </c>
      <c r="E414" s="1" t="s">
        <v>443</v>
      </c>
      <c r="F414" s="1">
        <v>1920913380000</v>
      </c>
      <c r="G414" s="1" t="s">
        <v>450</v>
      </c>
      <c r="H414" s="1" t="s">
        <v>1599</v>
      </c>
      <c r="I414" s="1" t="s">
        <v>1182</v>
      </c>
      <c r="Q414" s="1" t="s">
        <v>443</v>
      </c>
      <c r="R414" s="1" t="s">
        <v>443</v>
      </c>
      <c r="S414" s="1" t="s">
        <v>450</v>
      </c>
    </row>
    <row r="415" spans="1:19" x14ac:dyDescent="0.25">
      <c r="A415" s="1">
        <v>1920913390000</v>
      </c>
      <c r="B415" s="1" t="s">
        <v>443</v>
      </c>
      <c r="C415" s="1" t="s">
        <v>1593</v>
      </c>
      <c r="E415" s="1" t="s">
        <v>443</v>
      </c>
      <c r="F415" s="1">
        <v>1920913390000</v>
      </c>
      <c r="G415" s="1" t="s">
        <v>451</v>
      </c>
      <c r="H415" s="1" t="s">
        <v>1600</v>
      </c>
      <c r="I415" s="1" t="s">
        <v>1182</v>
      </c>
      <c r="Q415" s="1" t="s">
        <v>443</v>
      </c>
      <c r="R415" s="1" t="s">
        <v>443</v>
      </c>
      <c r="S415" s="1" t="s">
        <v>451</v>
      </c>
    </row>
    <row r="416" spans="1:19" x14ac:dyDescent="0.25">
      <c r="A416" s="1">
        <v>1920913400000</v>
      </c>
      <c r="B416" s="1" t="s">
        <v>443</v>
      </c>
      <c r="C416" s="1" t="s">
        <v>1593</v>
      </c>
      <c r="E416" s="1" t="s">
        <v>443</v>
      </c>
      <c r="F416" s="1">
        <v>1920913400000</v>
      </c>
      <c r="G416" s="1" t="s">
        <v>452</v>
      </c>
      <c r="H416" s="1" t="s">
        <v>1601</v>
      </c>
      <c r="I416" s="1" t="s">
        <v>1182</v>
      </c>
      <c r="Q416" s="1" t="s">
        <v>443</v>
      </c>
      <c r="R416" s="1" t="s">
        <v>443</v>
      </c>
      <c r="S416" s="1" t="s">
        <v>452</v>
      </c>
    </row>
    <row r="417" spans="1:19" x14ac:dyDescent="0.25">
      <c r="A417" s="1">
        <v>1920913410000</v>
      </c>
      <c r="B417" s="1" t="s">
        <v>443</v>
      </c>
      <c r="C417" s="1" t="s">
        <v>1593</v>
      </c>
      <c r="E417" s="1" t="s">
        <v>443</v>
      </c>
      <c r="F417" s="1">
        <v>1920913410000</v>
      </c>
      <c r="G417" s="1" t="s">
        <v>453</v>
      </c>
      <c r="H417" s="1" t="s">
        <v>1602</v>
      </c>
      <c r="I417" s="1" t="s">
        <v>1182</v>
      </c>
      <c r="Q417" s="1" t="s">
        <v>443</v>
      </c>
      <c r="R417" s="1" t="s">
        <v>443</v>
      </c>
      <c r="S417" s="1" t="s">
        <v>453</v>
      </c>
    </row>
    <row r="418" spans="1:19" x14ac:dyDescent="0.25">
      <c r="A418" s="1">
        <v>1920913420000</v>
      </c>
      <c r="B418" s="1" t="s">
        <v>443</v>
      </c>
      <c r="C418" s="1" t="s">
        <v>1593</v>
      </c>
      <c r="E418" s="1" t="s">
        <v>443</v>
      </c>
      <c r="F418" s="1">
        <v>1920913420000</v>
      </c>
      <c r="G418" s="1" t="s">
        <v>454</v>
      </c>
      <c r="H418" s="1" t="s">
        <v>1603</v>
      </c>
      <c r="I418" s="1" t="s">
        <v>1182</v>
      </c>
      <c r="Q418" s="1" t="s">
        <v>443</v>
      </c>
      <c r="R418" s="1" t="s">
        <v>443</v>
      </c>
      <c r="S418" s="1" t="s">
        <v>454</v>
      </c>
    </row>
    <row r="419" spans="1:19" x14ac:dyDescent="0.25">
      <c r="A419" s="1">
        <v>1920913430000</v>
      </c>
      <c r="B419" s="1" t="s">
        <v>443</v>
      </c>
      <c r="C419" s="1" t="s">
        <v>1593</v>
      </c>
      <c r="E419" s="1" t="s">
        <v>443</v>
      </c>
      <c r="F419" s="1">
        <v>1920913430000</v>
      </c>
      <c r="G419" s="1" t="s">
        <v>455</v>
      </c>
      <c r="H419" s="1" t="s">
        <v>1604</v>
      </c>
      <c r="I419" s="1" t="s">
        <v>1182</v>
      </c>
      <c r="Q419" s="1" t="s">
        <v>443</v>
      </c>
      <c r="R419" s="1" t="s">
        <v>443</v>
      </c>
      <c r="S419" s="1" t="s">
        <v>455</v>
      </c>
    </row>
    <row r="420" spans="1:19" x14ac:dyDescent="0.25">
      <c r="A420" s="1">
        <v>1920913450000</v>
      </c>
      <c r="B420" s="1" t="s">
        <v>443</v>
      </c>
      <c r="C420" s="1" t="s">
        <v>1593</v>
      </c>
      <c r="E420" s="1" t="s">
        <v>443</v>
      </c>
      <c r="F420" s="1">
        <v>1920913450000</v>
      </c>
      <c r="G420" s="1" t="s">
        <v>456</v>
      </c>
      <c r="H420" s="1" t="s">
        <v>1605</v>
      </c>
      <c r="I420" s="1" t="s">
        <v>1182</v>
      </c>
      <c r="Q420" s="1" t="s">
        <v>443</v>
      </c>
      <c r="R420" s="1" t="s">
        <v>443</v>
      </c>
      <c r="S420" s="1" t="s">
        <v>456</v>
      </c>
    </row>
    <row r="421" spans="1:19" x14ac:dyDescent="0.25">
      <c r="A421" s="1">
        <v>1920913460000</v>
      </c>
      <c r="B421" s="1" t="s">
        <v>443</v>
      </c>
      <c r="C421" s="1" t="s">
        <v>1593</v>
      </c>
      <c r="E421" s="1" t="s">
        <v>443</v>
      </c>
      <c r="F421" s="1">
        <v>1920913460000</v>
      </c>
      <c r="G421" s="1" t="s">
        <v>457</v>
      </c>
      <c r="H421" s="1" t="s">
        <v>1606</v>
      </c>
      <c r="I421" s="1" t="s">
        <v>1182</v>
      </c>
      <c r="Q421" s="1" t="s">
        <v>443</v>
      </c>
      <c r="R421" s="1" t="s">
        <v>443</v>
      </c>
      <c r="S421" s="1" t="s">
        <v>457</v>
      </c>
    </row>
    <row r="422" spans="1:19" x14ac:dyDescent="0.25">
      <c r="A422" s="1">
        <v>1920913470000</v>
      </c>
      <c r="B422" s="1" t="s">
        <v>443</v>
      </c>
      <c r="C422" s="1" t="s">
        <v>1593</v>
      </c>
      <c r="E422" s="1" t="s">
        <v>443</v>
      </c>
      <c r="F422" s="1">
        <v>1920913470000</v>
      </c>
      <c r="G422" s="1" t="s">
        <v>458</v>
      </c>
      <c r="H422" s="1" t="s">
        <v>1607</v>
      </c>
      <c r="I422" s="1" t="s">
        <v>1182</v>
      </c>
      <c r="Q422" s="1" t="s">
        <v>443</v>
      </c>
      <c r="R422" s="1" t="s">
        <v>443</v>
      </c>
      <c r="S422" s="1" t="s">
        <v>458</v>
      </c>
    </row>
    <row r="423" spans="1:19" x14ac:dyDescent="0.25">
      <c r="A423" s="1">
        <v>1920913500000</v>
      </c>
      <c r="B423" s="1" t="s">
        <v>443</v>
      </c>
      <c r="C423" s="1" t="s">
        <v>1593</v>
      </c>
      <c r="E423" s="1" t="s">
        <v>443</v>
      </c>
      <c r="F423" s="1">
        <v>1920913500000</v>
      </c>
      <c r="G423" s="1" t="s">
        <v>459</v>
      </c>
      <c r="H423" s="1" t="s">
        <v>1608</v>
      </c>
      <c r="I423" s="1" t="s">
        <v>1182</v>
      </c>
      <c r="Q423" s="1" t="s">
        <v>443</v>
      </c>
      <c r="R423" s="1" t="s">
        <v>443</v>
      </c>
      <c r="S423" s="1" t="s">
        <v>459</v>
      </c>
    </row>
    <row r="424" spans="1:19" x14ac:dyDescent="0.25">
      <c r="A424" s="1">
        <v>1920913510000</v>
      </c>
      <c r="B424" s="1" t="s">
        <v>443</v>
      </c>
      <c r="C424" s="1" t="s">
        <v>1593</v>
      </c>
      <c r="E424" s="1" t="s">
        <v>443</v>
      </c>
      <c r="F424" s="1">
        <v>1920913510000</v>
      </c>
      <c r="G424" s="1" t="s">
        <v>460</v>
      </c>
      <c r="H424" s="1" t="s">
        <v>1609</v>
      </c>
      <c r="I424" s="1" t="s">
        <v>1182</v>
      </c>
      <c r="Q424" s="1" t="s">
        <v>443</v>
      </c>
      <c r="R424" s="1" t="s">
        <v>443</v>
      </c>
      <c r="S424" s="1" t="s">
        <v>460</v>
      </c>
    </row>
    <row r="425" spans="1:19" x14ac:dyDescent="0.25">
      <c r="A425" s="1">
        <v>1920913530000</v>
      </c>
      <c r="B425" s="1" t="s">
        <v>443</v>
      </c>
      <c r="C425" s="1" t="s">
        <v>1593</v>
      </c>
      <c r="E425" s="1" t="s">
        <v>443</v>
      </c>
      <c r="F425" s="1">
        <v>1920913530000</v>
      </c>
      <c r="G425" s="1" t="s">
        <v>461</v>
      </c>
      <c r="H425" s="1" t="s">
        <v>1610</v>
      </c>
      <c r="I425" s="1" t="s">
        <v>1182</v>
      </c>
      <c r="Q425" s="1" t="s">
        <v>443</v>
      </c>
      <c r="R425" s="1" t="s">
        <v>443</v>
      </c>
      <c r="S425" s="1" t="s">
        <v>461</v>
      </c>
    </row>
    <row r="426" spans="1:19" x14ac:dyDescent="0.25">
      <c r="A426" s="1">
        <v>1920913560000</v>
      </c>
      <c r="B426" s="1" t="s">
        <v>443</v>
      </c>
      <c r="C426" s="1" t="s">
        <v>1593</v>
      </c>
      <c r="E426" s="1" t="s">
        <v>443</v>
      </c>
      <c r="F426" s="1">
        <v>1920913560000</v>
      </c>
      <c r="G426" s="1" t="s">
        <v>462</v>
      </c>
      <c r="H426" s="1" t="s">
        <v>1611</v>
      </c>
      <c r="I426" s="1" t="s">
        <v>1182</v>
      </c>
      <c r="Q426" s="1" t="s">
        <v>443</v>
      </c>
      <c r="R426" s="1" t="s">
        <v>443</v>
      </c>
      <c r="S426" s="1" t="s">
        <v>462</v>
      </c>
    </row>
    <row r="427" spans="1:19" x14ac:dyDescent="0.25">
      <c r="A427" s="1">
        <v>1920913570000</v>
      </c>
      <c r="B427" s="1" t="s">
        <v>443</v>
      </c>
      <c r="C427" s="1" t="s">
        <v>1593</v>
      </c>
      <c r="E427" s="1" t="s">
        <v>443</v>
      </c>
      <c r="F427" s="1">
        <v>1920913570000</v>
      </c>
      <c r="G427" s="1" t="s">
        <v>463</v>
      </c>
      <c r="H427" s="1" t="s">
        <v>1612</v>
      </c>
      <c r="I427" s="1" t="s">
        <v>1182</v>
      </c>
      <c r="Q427" s="1" t="s">
        <v>443</v>
      </c>
      <c r="R427" s="1" t="s">
        <v>443</v>
      </c>
      <c r="S427" s="1" t="s">
        <v>463</v>
      </c>
    </row>
    <row r="428" spans="1:19" x14ac:dyDescent="0.25">
      <c r="A428" s="1">
        <v>1920913610000</v>
      </c>
      <c r="B428" s="1" t="s">
        <v>443</v>
      </c>
      <c r="C428" s="1" t="s">
        <v>1593</v>
      </c>
      <c r="E428" s="1" t="s">
        <v>443</v>
      </c>
      <c r="F428" s="1">
        <v>1920913610000</v>
      </c>
      <c r="G428" s="1" t="s">
        <v>464</v>
      </c>
      <c r="H428" s="1" t="s">
        <v>1613</v>
      </c>
      <c r="I428" s="1" t="s">
        <v>1182</v>
      </c>
      <c r="Q428" s="1" t="s">
        <v>443</v>
      </c>
      <c r="R428" s="1" t="s">
        <v>443</v>
      </c>
      <c r="S428" s="1" t="s">
        <v>464</v>
      </c>
    </row>
    <row r="429" spans="1:19" x14ac:dyDescent="0.25">
      <c r="A429" s="1">
        <v>1920913620000</v>
      </c>
      <c r="B429" s="1" t="s">
        <v>443</v>
      </c>
      <c r="C429" s="1" t="s">
        <v>1593</v>
      </c>
      <c r="E429" s="1" t="s">
        <v>443</v>
      </c>
      <c r="F429" s="1">
        <v>1920913620000</v>
      </c>
      <c r="G429" s="1" t="s">
        <v>465</v>
      </c>
      <c r="H429" s="1" t="s">
        <v>1614</v>
      </c>
      <c r="I429" s="1" t="s">
        <v>1182</v>
      </c>
      <c r="Q429" s="1" t="s">
        <v>443</v>
      </c>
      <c r="R429" s="1" t="s">
        <v>443</v>
      </c>
      <c r="S429" s="1" t="s">
        <v>465</v>
      </c>
    </row>
    <row r="430" spans="1:19" x14ac:dyDescent="0.25">
      <c r="A430" s="1">
        <v>1920962000000</v>
      </c>
      <c r="B430" s="1" t="s">
        <v>443</v>
      </c>
      <c r="C430" s="1" t="s">
        <v>1593</v>
      </c>
      <c r="E430" s="1" t="s">
        <v>443</v>
      </c>
      <c r="F430" s="1">
        <v>1920962000000</v>
      </c>
      <c r="G430" s="1" t="s">
        <v>466</v>
      </c>
      <c r="H430" s="1" t="s">
        <v>1615</v>
      </c>
      <c r="I430" s="1" t="s">
        <v>1204</v>
      </c>
      <c r="Q430" s="1" t="s">
        <v>443</v>
      </c>
      <c r="R430" s="1" t="s">
        <v>443</v>
      </c>
      <c r="S430" s="1" t="s">
        <v>466</v>
      </c>
    </row>
    <row r="431" spans="1:19" x14ac:dyDescent="0.25">
      <c r="A431" s="1">
        <v>1920914340000</v>
      </c>
      <c r="B431" s="1" t="s">
        <v>443</v>
      </c>
      <c r="C431" s="1" t="s">
        <v>1593</v>
      </c>
      <c r="E431" s="1" t="s">
        <v>443</v>
      </c>
      <c r="F431" s="1">
        <v>1920914340000</v>
      </c>
      <c r="G431" s="1" t="s">
        <v>467</v>
      </c>
      <c r="H431" s="1" t="s">
        <v>1616</v>
      </c>
      <c r="I431" s="1" t="s">
        <v>1182</v>
      </c>
      <c r="Q431" s="1" t="s">
        <v>443</v>
      </c>
      <c r="R431" s="1" t="s">
        <v>443</v>
      </c>
      <c r="S431" s="1" t="s">
        <v>467</v>
      </c>
    </row>
    <row r="432" spans="1:19" x14ac:dyDescent="0.25">
      <c r="A432" s="1">
        <v>1920926770000</v>
      </c>
      <c r="B432" s="1" t="s">
        <v>443</v>
      </c>
      <c r="C432" s="1" t="s">
        <v>1593</v>
      </c>
      <c r="E432" s="1" t="s">
        <v>443</v>
      </c>
      <c r="F432" s="1">
        <v>1920926770000</v>
      </c>
      <c r="G432" s="1" t="s">
        <v>468</v>
      </c>
      <c r="H432" s="1" t="s">
        <v>1617</v>
      </c>
      <c r="I432" s="1" t="s">
        <v>1182</v>
      </c>
      <c r="Q432" s="1" t="s">
        <v>443</v>
      </c>
      <c r="R432" s="1" t="s">
        <v>443</v>
      </c>
      <c r="S432" s="1" t="s">
        <v>468</v>
      </c>
    </row>
    <row r="433" spans="1:19" x14ac:dyDescent="0.25">
      <c r="A433" s="1">
        <v>1920929090000</v>
      </c>
      <c r="B433" s="1" t="s">
        <v>443</v>
      </c>
      <c r="C433" s="1" t="s">
        <v>1593</v>
      </c>
      <c r="E433" s="1" t="s">
        <v>443</v>
      </c>
      <c r="F433" s="1">
        <v>1920929090000</v>
      </c>
      <c r="G433" s="1" t="s">
        <v>469</v>
      </c>
      <c r="H433" s="1" t="s">
        <v>1618</v>
      </c>
      <c r="I433" s="1" t="s">
        <v>1182</v>
      </c>
      <c r="Q433" s="1" t="s">
        <v>443</v>
      </c>
      <c r="R433" s="1" t="s">
        <v>443</v>
      </c>
      <c r="S433" s="1" t="s">
        <v>469</v>
      </c>
    </row>
    <row r="434" spans="1:19" x14ac:dyDescent="0.25">
      <c r="A434" s="1">
        <v>1920931400000</v>
      </c>
      <c r="B434" s="1" t="s">
        <v>443</v>
      </c>
      <c r="C434" s="1" t="s">
        <v>1593</v>
      </c>
      <c r="E434" s="1" t="s">
        <v>443</v>
      </c>
      <c r="F434" s="1">
        <v>1920931400000</v>
      </c>
      <c r="G434" s="1" t="s">
        <v>470</v>
      </c>
      <c r="H434" s="1" t="s">
        <v>1619</v>
      </c>
      <c r="I434" s="1" t="s">
        <v>1182</v>
      </c>
      <c r="Q434" s="1" t="s">
        <v>443</v>
      </c>
      <c r="R434" s="1" t="s">
        <v>443</v>
      </c>
      <c r="S434" s="1" t="s">
        <v>470</v>
      </c>
    </row>
    <row r="435" spans="1:19" x14ac:dyDescent="0.25">
      <c r="A435" s="1">
        <v>1920931420000</v>
      </c>
      <c r="B435" s="1" t="s">
        <v>443</v>
      </c>
      <c r="C435" s="1" t="s">
        <v>1593</v>
      </c>
      <c r="E435" s="1" t="s">
        <v>443</v>
      </c>
      <c r="F435" s="1">
        <v>1920931420000</v>
      </c>
      <c r="G435" s="1" t="s">
        <v>471</v>
      </c>
      <c r="H435" s="1" t="s">
        <v>1620</v>
      </c>
      <c r="I435" s="1" t="s">
        <v>1182</v>
      </c>
      <c r="Q435" s="1" t="s">
        <v>443</v>
      </c>
      <c r="R435" s="1" t="s">
        <v>443</v>
      </c>
      <c r="S435" s="1" t="s">
        <v>471</v>
      </c>
    </row>
    <row r="436" spans="1:19" x14ac:dyDescent="0.25">
      <c r="A436" s="1">
        <v>1920931430000</v>
      </c>
      <c r="B436" s="1" t="s">
        <v>443</v>
      </c>
      <c r="C436" s="1" t="s">
        <v>1593</v>
      </c>
      <c r="E436" s="1" t="s">
        <v>443</v>
      </c>
      <c r="F436" s="1">
        <v>1920931430000</v>
      </c>
      <c r="G436" s="1" t="s">
        <v>366</v>
      </c>
      <c r="H436" s="1" t="s">
        <v>1621</v>
      </c>
      <c r="I436" s="1" t="s">
        <v>1182</v>
      </c>
      <c r="Q436" s="1" t="s">
        <v>443</v>
      </c>
      <c r="R436" s="1" t="s">
        <v>443</v>
      </c>
      <c r="S436" s="1" t="s">
        <v>366</v>
      </c>
    </row>
    <row r="437" spans="1:19" x14ac:dyDescent="0.25">
      <c r="A437" s="1">
        <v>1920932310000</v>
      </c>
      <c r="B437" s="1" t="s">
        <v>443</v>
      </c>
      <c r="C437" s="1" t="s">
        <v>1593</v>
      </c>
      <c r="E437" s="1" t="s">
        <v>443</v>
      </c>
      <c r="F437" s="1">
        <v>1920932310000</v>
      </c>
      <c r="G437" s="1" t="s">
        <v>472</v>
      </c>
      <c r="H437" s="1" t="s">
        <v>1622</v>
      </c>
      <c r="I437" s="1" t="s">
        <v>1182</v>
      </c>
      <c r="Q437" s="1" t="s">
        <v>443</v>
      </c>
      <c r="R437" s="1" t="s">
        <v>443</v>
      </c>
      <c r="S437" s="1" t="s">
        <v>472</v>
      </c>
    </row>
    <row r="438" spans="1:19" x14ac:dyDescent="0.25">
      <c r="A438" s="1">
        <v>1920932420000</v>
      </c>
      <c r="B438" s="1" t="s">
        <v>443</v>
      </c>
      <c r="C438" s="1" t="s">
        <v>1593</v>
      </c>
      <c r="E438" s="1" t="s">
        <v>443</v>
      </c>
      <c r="F438" s="1">
        <v>1920932420000</v>
      </c>
      <c r="G438" s="1" t="s">
        <v>473</v>
      </c>
      <c r="H438" s="1" t="s">
        <v>1623</v>
      </c>
      <c r="I438" s="1" t="s">
        <v>1182</v>
      </c>
      <c r="Q438" s="1" t="s">
        <v>443</v>
      </c>
      <c r="R438" s="1" t="s">
        <v>443</v>
      </c>
      <c r="S438" s="1" t="s">
        <v>473</v>
      </c>
    </row>
    <row r="439" spans="1:19" x14ac:dyDescent="0.25">
      <c r="A439" s="1">
        <v>1920933120000</v>
      </c>
      <c r="B439" s="1" t="s">
        <v>443</v>
      </c>
      <c r="C439" s="1" t="s">
        <v>1593</v>
      </c>
      <c r="E439" s="1" t="s">
        <v>443</v>
      </c>
      <c r="F439" s="1">
        <v>1920933120000</v>
      </c>
      <c r="G439" s="1" t="s">
        <v>474</v>
      </c>
      <c r="H439" s="1" t="s">
        <v>1624</v>
      </c>
      <c r="I439" s="1" t="s">
        <v>1182</v>
      </c>
      <c r="Q439" s="1" t="s">
        <v>443</v>
      </c>
      <c r="R439" s="1" t="s">
        <v>443</v>
      </c>
      <c r="S439" s="1" t="s">
        <v>474</v>
      </c>
    </row>
    <row r="440" spans="1:19" x14ac:dyDescent="0.25">
      <c r="A440" s="1">
        <v>1920931410000</v>
      </c>
      <c r="B440" s="1" t="s">
        <v>443</v>
      </c>
      <c r="C440" s="1" t="s">
        <v>1593</v>
      </c>
      <c r="E440" s="1" t="s">
        <v>443</v>
      </c>
      <c r="F440" s="1">
        <v>1920931410000</v>
      </c>
      <c r="G440" s="1" t="s">
        <v>475</v>
      </c>
      <c r="H440" s="1" t="s">
        <v>1625</v>
      </c>
      <c r="I440" s="1" t="s">
        <v>1182</v>
      </c>
      <c r="Q440" s="1" t="s">
        <v>443</v>
      </c>
      <c r="R440" s="1" t="s">
        <v>443</v>
      </c>
      <c r="S440" s="1" t="s">
        <v>475</v>
      </c>
    </row>
    <row r="441" spans="1:19" x14ac:dyDescent="0.25">
      <c r="A441" s="1">
        <v>1920914920000</v>
      </c>
      <c r="B441" s="1" t="s">
        <v>443</v>
      </c>
      <c r="C441" s="1" t="s">
        <v>1593</v>
      </c>
      <c r="E441" s="1" t="s">
        <v>476</v>
      </c>
      <c r="F441" s="1">
        <v>1920914920000</v>
      </c>
      <c r="G441" s="1" t="s">
        <v>477</v>
      </c>
      <c r="H441" s="1" t="s">
        <v>1626</v>
      </c>
      <c r="I441" s="1" t="s">
        <v>1182</v>
      </c>
      <c r="Q441" s="1" t="s">
        <v>443</v>
      </c>
      <c r="R441" s="1" t="s">
        <v>476</v>
      </c>
      <c r="S441" s="1" t="s">
        <v>477</v>
      </c>
    </row>
    <row r="442" spans="1:19" x14ac:dyDescent="0.25">
      <c r="A442" s="1">
        <v>1920963000000</v>
      </c>
      <c r="B442" s="1" t="s">
        <v>443</v>
      </c>
      <c r="C442" s="1" t="s">
        <v>1593</v>
      </c>
      <c r="E442" s="1" t="s">
        <v>476</v>
      </c>
      <c r="F442" s="1">
        <v>1920963000000</v>
      </c>
      <c r="G442" s="1" t="s">
        <v>478</v>
      </c>
      <c r="H442" s="1" t="s">
        <v>1627</v>
      </c>
      <c r="I442" s="1" t="s">
        <v>1204</v>
      </c>
      <c r="Q442" s="1" t="s">
        <v>443</v>
      </c>
      <c r="R442" s="1" t="s">
        <v>476</v>
      </c>
      <c r="S442" s="1" t="s">
        <v>478</v>
      </c>
    </row>
    <row r="443" spans="1:19" x14ac:dyDescent="0.25">
      <c r="A443" s="1">
        <v>1920930740000</v>
      </c>
      <c r="B443" s="1" t="s">
        <v>443</v>
      </c>
      <c r="C443" s="1" t="s">
        <v>1593</v>
      </c>
      <c r="E443" s="1" t="s">
        <v>476</v>
      </c>
      <c r="F443" s="1">
        <v>1920930740000</v>
      </c>
      <c r="G443" s="1" t="s">
        <v>479</v>
      </c>
      <c r="H443" s="1" t="s">
        <v>1628</v>
      </c>
      <c r="I443" s="1" t="s">
        <v>1182</v>
      </c>
      <c r="Q443" s="1" t="s">
        <v>443</v>
      </c>
      <c r="R443" s="1" t="s">
        <v>476</v>
      </c>
      <c r="S443" s="1" t="s">
        <v>479</v>
      </c>
    </row>
    <row r="444" spans="1:19" x14ac:dyDescent="0.25">
      <c r="A444" s="1">
        <v>1920913480000</v>
      </c>
      <c r="B444" s="1" t="s">
        <v>443</v>
      </c>
      <c r="C444" s="1" t="s">
        <v>1593</v>
      </c>
      <c r="E444" s="1" t="s">
        <v>480</v>
      </c>
      <c r="F444" s="1">
        <v>1920913480000</v>
      </c>
      <c r="G444" s="1" t="s">
        <v>481</v>
      </c>
      <c r="H444" s="1" t="s">
        <v>1629</v>
      </c>
      <c r="I444" s="1" t="s">
        <v>1182</v>
      </c>
      <c r="Q444" s="1" t="s">
        <v>443</v>
      </c>
      <c r="R444" s="1" t="s">
        <v>480</v>
      </c>
      <c r="S444" s="1" t="s">
        <v>481</v>
      </c>
    </row>
    <row r="445" spans="1:19" x14ac:dyDescent="0.25">
      <c r="A445" s="1">
        <v>1920913540000</v>
      </c>
      <c r="B445" s="1" t="s">
        <v>443</v>
      </c>
      <c r="C445" s="1" t="s">
        <v>1593</v>
      </c>
      <c r="E445" s="1" t="s">
        <v>480</v>
      </c>
      <c r="F445" s="1">
        <v>1920913540000</v>
      </c>
      <c r="G445" s="1" t="s">
        <v>482</v>
      </c>
      <c r="H445" s="1" t="s">
        <v>1630</v>
      </c>
      <c r="I445" s="1" t="s">
        <v>1182</v>
      </c>
      <c r="Q445" s="1" t="s">
        <v>443</v>
      </c>
      <c r="R445" s="1" t="s">
        <v>480</v>
      </c>
      <c r="S445" s="1" t="s">
        <v>482</v>
      </c>
    </row>
    <row r="446" spans="1:19" x14ac:dyDescent="0.25">
      <c r="A446" s="1">
        <v>1920927760000</v>
      </c>
      <c r="B446" s="1" t="s">
        <v>443</v>
      </c>
      <c r="C446" s="1" t="s">
        <v>1593</v>
      </c>
      <c r="E446" s="1" t="s">
        <v>483</v>
      </c>
      <c r="F446" s="1">
        <v>1920927760000</v>
      </c>
      <c r="G446" s="1" t="s">
        <v>484</v>
      </c>
      <c r="H446" s="1" t="s">
        <v>1631</v>
      </c>
      <c r="I446" s="1" t="s">
        <v>1182</v>
      </c>
      <c r="Q446" s="1" t="s">
        <v>443</v>
      </c>
      <c r="R446" s="1" t="s">
        <v>483</v>
      </c>
      <c r="S446" s="1" t="s">
        <v>484</v>
      </c>
    </row>
    <row r="447" spans="1:19" x14ac:dyDescent="0.25">
      <c r="A447" s="1">
        <v>1920927760001</v>
      </c>
      <c r="B447" s="1" t="s">
        <v>443</v>
      </c>
      <c r="C447" s="1" t="s">
        <v>1593</v>
      </c>
      <c r="E447" s="1" t="s">
        <v>483</v>
      </c>
      <c r="F447" s="1">
        <v>1920927760001</v>
      </c>
      <c r="G447" s="1" t="s">
        <v>485</v>
      </c>
      <c r="H447" s="1" t="s">
        <v>1632</v>
      </c>
      <c r="I447" s="1" t="s">
        <v>1182</v>
      </c>
      <c r="Q447" s="1" t="s">
        <v>443</v>
      </c>
      <c r="R447" s="1" t="s">
        <v>483</v>
      </c>
      <c r="S447" s="1" t="s">
        <v>485</v>
      </c>
    </row>
    <row r="448" spans="1:19" x14ac:dyDescent="0.25">
      <c r="A448" s="1">
        <v>1920927760002</v>
      </c>
      <c r="B448" s="1" t="s">
        <v>443</v>
      </c>
      <c r="C448" s="1" t="s">
        <v>1593</v>
      </c>
      <c r="E448" s="1" t="s">
        <v>483</v>
      </c>
      <c r="F448" s="1">
        <v>1920927760002</v>
      </c>
      <c r="G448" s="1" t="s">
        <v>486</v>
      </c>
      <c r="H448" s="1" t="s">
        <v>1633</v>
      </c>
      <c r="I448" s="1" t="s">
        <v>1182</v>
      </c>
      <c r="Q448" s="1" t="s">
        <v>443</v>
      </c>
      <c r="R448" s="1" t="s">
        <v>483</v>
      </c>
      <c r="S448" s="1" t="s">
        <v>486</v>
      </c>
    </row>
    <row r="449" spans="1:19" x14ac:dyDescent="0.25">
      <c r="A449" s="1">
        <v>1920927760003</v>
      </c>
      <c r="B449" s="1" t="s">
        <v>443</v>
      </c>
      <c r="C449" s="1" t="s">
        <v>1593</v>
      </c>
      <c r="E449" s="1" t="s">
        <v>483</v>
      </c>
      <c r="F449" s="1">
        <v>1920927760003</v>
      </c>
      <c r="G449" s="1" t="s">
        <v>487</v>
      </c>
      <c r="H449" s="1" t="s">
        <v>1634</v>
      </c>
      <c r="I449" s="1" t="s">
        <v>1182</v>
      </c>
      <c r="Q449" s="1" t="s">
        <v>443</v>
      </c>
      <c r="R449" s="1" t="s">
        <v>483</v>
      </c>
      <c r="S449" s="1" t="s">
        <v>487</v>
      </c>
    </row>
    <row r="450" spans="1:19" x14ac:dyDescent="0.25">
      <c r="A450" s="1">
        <v>1920964000000</v>
      </c>
      <c r="B450" s="1" t="s">
        <v>443</v>
      </c>
      <c r="C450" s="1" t="s">
        <v>1593</v>
      </c>
      <c r="E450" s="1" t="s">
        <v>483</v>
      </c>
      <c r="F450" s="1">
        <v>1920964000000</v>
      </c>
      <c r="G450" s="1" t="s">
        <v>488</v>
      </c>
      <c r="H450" s="1" t="s">
        <v>1635</v>
      </c>
      <c r="I450" s="1" t="s">
        <v>1204</v>
      </c>
      <c r="Q450" s="1" t="s">
        <v>443</v>
      </c>
      <c r="R450" s="1" t="s">
        <v>483</v>
      </c>
      <c r="S450" s="1" t="s">
        <v>488</v>
      </c>
    </row>
    <row r="451" spans="1:19" x14ac:dyDescent="0.25">
      <c r="A451" s="1">
        <v>1920927760004</v>
      </c>
      <c r="B451" s="1" t="s">
        <v>443</v>
      </c>
      <c r="C451" s="1" t="s">
        <v>1593</v>
      </c>
      <c r="E451" s="1" t="s">
        <v>483</v>
      </c>
      <c r="F451" s="1">
        <v>1920927760004</v>
      </c>
      <c r="G451" s="1" t="s">
        <v>489</v>
      </c>
      <c r="H451" s="1" t="s">
        <v>1636</v>
      </c>
      <c r="I451" s="1" t="s">
        <v>1182</v>
      </c>
      <c r="Q451" s="1" t="s">
        <v>443</v>
      </c>
      <c r="R451" s="1" t="s">
        <v>483</v>
      </c>
      <c r="S451" s="1" t="s">
        <v>489</v>
      </c>
    </row>
    <row r="452" spans="1:19" x14ac:dyDescent="0.25">
      <c r="A452" s="1">
        <v>1920921960000</v>
      </c>
      <c r="B452" s="1" t="s">
        <v>490</v>
      </c>
      <c r="C452" s="1" t="s">
        <v>1236</v>
      </c>
      <c r="E452" s="1" t="s">
        <v>491</v>
      </c>
      <c r="F452" s="1">
        <v>1920921960000</v>
      </c>
      <c r="G452" s="1" t="s">
        <v>492</v>
      </c>
      <c r="H452" s="1" t="s">
        <v>1637</v>
      </c>
      <c r="I452" s="1" t="s">
        <v>1182</v>
      </c>
      <c r="Q452" s="1" t="s">
        <v>490</v>
      </c>
      <c r="R452" s="1" t="s">
        <v>491</v>
      </c>
      <c r="S452" s="1" t="s">
        <v>492</v>
      </c>
    </row>
    <row r="453" spans="1:19" x14ac:dyDescent="0.25">
      <c r="A453" s="1">
        <v>1921020000000</v>
      </c>
      <c r="B453" s="1" t="s">
        <v>490</v>
      </c>
      <c r="C453" s="1" t="s">
        <v>1236</v>
      </c>
      <c r="E453" s="1" t="s">
        <v>491</v>
      </c>
      <c r="F453" s="1">
        <v>1921020000000</v>
      </c>
      <c r="G453" s="1" t="s">
        <v>493</v>
      </c>
      <c r="H453" s="1" t="s">
        <v>1638</v>
      </c>
      <c r="I453" s="1" t="s">
        <v>1204</v>
      </c>
      <c r="Q453" s="1" t="s">
        <v>490</v>
      </c>
      <c r="R453" s="1" t="s">
        <v>491</v>
      </c>
      <c r="S453" s="1" t="s">
        <v>493</v>
      </c>
    </row>
    <row r="454" spans="1:19" x14ac:dyDescent="0.25">
      <c r="A454" s="1">
        <v>1920937210000</v>
      </c>
      <c r="B454" s="1" t="s">
        <v>490</v>
      </c>
      <c r="C454" s="1" t="s">
        <v>1236</v>
      </c>
      <c r="E454" s="1" t="s">
        <v>494</v>
      </c>
      <c r="F454" s="1">
        <v>1920937210000</v>
      </c>
      <c r="G454" s="1" t="s">
        <v>495</v>
      </c>
      <c r="H454" s="1" t="s">
        <v>1639</v>
      </c>
      <c r="I454" s="1" t="s">
        <v>1182</v>
      </c>
      <c r="Q454" s="1" t="s">
        <v>490</v>
      </c>
      <c r="R454" s="1" t="s">
        <v>494</v>
      </c>
      <c r="S454" s="1" t="s">
        <v>495</v>
      </c>
    </row>
    <row r="455" spans="1:19" x14ac:dyDescent="0.25">
      <c r="A455" s="1">
        <v>1921021000000</v>
      </c>
      <c r="B455" s="1" t="s">
        <v>490</v>
      </c>
      <c r="C455" s="1" t="s">
        <v>1236</v>
      </c>
      <c r="E455" s="1" t="s">
        <v>494</v>
      </c>
      <c r="F455" s="1">
        <v>1921021000000</v>
      </c>
      <c r="G455" s="1" t="s">
        <v>496</v>
      </c>
      <c r="H455" s="1" t="s">
        <v>1640</v>
      </c>
      <c r="I455" s="1" t="s">
        <v>1204</v>
      </c>
      <c r="Q455" s="1" t="s">
        <v>490</v>
      </c>
      <c r="R455" s="1" t="s">
        <v>494</v>
      </c>
      <c r="S455" s="1" t="s">
        <v>496</v>
      </c>
    </row>
    <row r="456" spans="1:19" x14ac:dyDescent="0.25">
      <c r="A456" s="1">
        <v>1920927830000</v>
      </c>
      <c r="B456" s="1" t="s">
        <v>490</v>
      </c>
      <c r="C456" s="1" t="s">
        <v>1236</v>
      </c>
      <c r="E456" s="1" t="s">
        <v>490</v>
      </c>
      <c r="F456" s="1">
        <v>1920927830000</v>
      </c>
      <c r="G456" s="1" t="s">
        <v>497</v>
      </c>
      <c r="H456" s="1" t="s">
        <v>1641</v>
      </c>
      <c r="I456" s="1" t="s">
        <v>1182</v>
      </c>
      <c r="Q456" s="1" t="s">
        <v>490</v>
      </c>
      <c r="R456" s="1" t="s">
        <v>490</v>
      </c>
      <c r="S456" s="1" t="s">
        <v>497</v>
      </c>
    </row>
    <row r="457" spans="1:19" x14ac:dyDescent="0.25">
      <c r="A457" s="1">
        <v>1920927830002</v>
      </c>
      <c r="B457" s="1" t="s">
        <v>490</v>
      </c>
      <c r="C457" s="1" t="s">
        <v>1236</v>
      </c>
      <c r="E457" s="1" t="s">
        <v>490</v>
      </c>
      <c r="F457" s="1">
        <v>1920927830002</v>
      </c>
      <c r="G457" s="1" t="s">
        <v>498</v>
      </c>
      <c r="H457" s="1" t="s">
        <v>1642</v>
      </c>
      <c r="I457" s="1" t="s">
        <v>1182</v>
      </c>
      <c r="Q457" s="1" t="s">
        <v>490</v>
      </c>
      <c r="R457" s="1" t="s">
        <v>490</v>
      </c>
      <c r="S457" s="1" t="s">
        <v>498</v>
      </c>
    </row>
    <row r="458" spans="1:19" x14ac:dyDescent="0.25">
      <c r="A458" s="1">
        <v>1920929720000</v>
      </c>
      <c r="B458" s="1" t="s">
        <v>490</v>
      </c>
      <c r="C458" s="1" t="s">
        <v>1236</v>
      </c>
      <c r="E458" s="1" t="s">
        <v>490</v>
      </c>
      <c r="F458" s="1">
        <v>1920929720000</v>
      </c>
      <c r="G458" s="1" t="s">
        <v>499</v>
      </c>
      <c r="H458" s="1" t="s">
        <v>1643</v>
      </c>
      <c r="I458" s="1" t="s">
        <v>1182</v>
      </c>
      <c r="Q458" s="1" t="s">
        <v>490</v>
      </c>
      <c r="R458" s="1" t="s">
        <v>490</v>
      </c>
      <c r="S458" s="1" t="s">
        <v>499</v>
      </c>
    </row>
    <row r="459" spans="1:19" x14ac:dyDescent="0.25">
      <c r="A459" s="1">
        <v>1921022000000</v>
      </c>
      <c r="B459" s="1" t="s">
        <v>490</v>
      </c>
      <c r="C459" s="1" t="s">
        <v>1236</v>
      </c>
      <c r="E459" s="1" t="s">
        <v>490</v>
      </c>
      <c r="F459" s="1">
        <v>1921022000000</v>
      </c>
      <c r="G459" s="1" t="s">
        <v>500</v>
      </c>
      <c r="H459" s="1" t="s">
        <v>1644</v>
      </c>
      <c r="I459" s="1" t="s">
        <v>1204</v>
      </c>
      <c r="Q459" s="1" t="s">
        <v>490</v>
      </c>
      <c r="R459" s="1" t="s">
        <v>490</v>
      </c>
      <c r="S459" s="1" t="s">
        <v>500</v>
      </c>
    </row>
    <row r="460" spans="1:19" x14ac:dyDescent="0.25">
      <c r="A460" s="1">
        <v>1920929730000</v>
      </c>
      <c r="B460" s="1" t="s">
        <v>490</v>
      </c>
      <c r="C460" s="1" t="s">
        <v>1236</v>
      </c>
      <c r="E460" s="1" t="s">
        <v>490</v>
      </c>
      <c r="F460" s="1">
        <v>1920929730000</v>
      </c>
      <c r="G460" s="1" t="s">
        <v>501</v>
      </c>
      <c r="H460" s="1" t="s">
        <v>1645</v>
      </c>
      <c r="I460" s="1" t="s">
        <v>1182</v>
      </c>
      <c r="Q460" s="1" t="s">
        <v>490</v>
      </c>
      <c r="R460" s="1" t="s">
        <v>490</v>
      </c>
      <c r="S460" s="1" t="s">
        <v>501</v>
      </c>
    </row>
    <row r="461" spans="1:19" x14ac:dyDescent="0.25">
      <c r="A461" s="1">
        <v>1920936960000</v>
      </c>
      <c r="B461" s="1" t="s">
        <v>490</v>
      </c>
      <c r="C461" s="1" t="s">
        <v>1236</v>
      </c>
      <c r="E461" s="1" t="s">
        <v>490</v>
      </c>
      <c r="F461" s="1">
        <v>1920936960000</v>
      </c>
      <c r="G461" s="1" t="s">
        <v>502</v>
      </c>
      <c r="H461" s="1" t="s">
        <v>1646</v>
      </c>
      <c r="I461" s="1" t="s">
        <v>1182</v>
      </c>
      <c r="Q461" s="1" t="s">
        <v>490</v>
      </c>
      <c r="R461" s="1" t="s">
        <v>490</v>
      </c>
      <c r="S461" s="1" t="s">
        <v>502</v>
      </c>
    </row>
    <row r="462" spans="1:19" x14ac:dyDescent="0.25">
      <c r="A462" s="1">
        <v>1920936960100</v>
      </c>
      <c r="B462" s="1" t="s">
        <v>490</v>
      </c>
      <c r="C462" s="1" t="s">
        <v>1236</v>
      </c>
      <c r="E462" s="1" t="s">
        <v>490</v>
      </c>
      <c r="F462" s="1">
        <v>1920936960100</v>
      </c>
      <c r="G462" s="1" t="s">
        <v>503</v>
      </c>
      <c r="H462" s="1" t="s">
        <v>1647</v>
      </c>
      <c r="I462" s="1" t="s">
        <v>1182</v>
      </c>
      <c r="Q462" s="1" t="s">
        <v>490</v>
      </c>
      <c r="R462" s="1" t="s">
        <v>490</v>
      </c>
      <c r="S462" s="1" t="s">
        <v>503</v>
      </c>
    </row>
    <row r="463" spans="1:19" x14ac:dyDescent="0.25">
      <c r="A463" s="1">
        <v>1920946000000</v>
      </c>
      <c r="B463" s="1" t="s">
        <v>490</v>
      </c>
      <c r="C463" s="1" t="s">
        <v>1236</v>
      </c>
      <c r="E463" s="1" t="s">
        <v>490</v>
      </c>
      <c r="F463" s="1">
        <v>1920946000000</v>
      </c>
      <c r="G463" s="1" t="s">
        <v>504</v>
      </c>
      <c r="H463" s="1" t="s">
        <v>1648</v>
      </c>
      <c r="I463" s="1" t="s">
        <v>1182</v>
      </c>
      <c r="Q463" s="1" t="s">
        <v>490</v>
      </c>
      <c r="R463" s="1" t="s">
        <v>490</v>
      </c>
      <c r="S463" s="1" t="s">
        <v>504</v>
      </c>
    </row>
    <row r="464" spans="1:19" x14ac:dyDescent="0.25">
      <c r="A464" s="1">
        <v>1920905810000</v>
      </c>
      <c r="B464" s="1" t="s">
        <v>490</v>
      </c>
      <c r="C464" s="1" t="s">
        <v>1236</v>
      </c>
      <c r="E464" s="1" t="s">
        <v>505</v>
      </c>
      <c r="F464" s="1">
        <v>1920905810000</v>
      </c>
      <c r="G464" s="1" t="s">
        <v>506</v>
      </c>
      <c r="H464" s="1" t="s">
        <v>1649</v>
      </c>
      <c r="I464" s="1" t="s">
        <v>1182</v>
      </c>
      <c r="Q464" s="1" t="s">
        <v>490</v>
      </c>
      <c r="R464" s="1" t="s">
        <v>505</v>
      </c>
      <c r="S464" s="1" t="s">
        <v>506</v>
      </c>
    </row>
    <row r="465" spans="1:19" x14ac:dyDescent="0.25">
      <c r="A465" s="1">
        <v>1921025000000</v>
      </c>
      <c r="B465" s="1" t="s">
        <v>490</v>
      </c>
      <c r="C465" s="1" t="s">
        <v>1236</v>
      </c>
      <c r="E465" s="1" t="s">
        <v>505</v>
      </c>
      <c r="F465" s="1">
        <v>1921025000000</v>
      </c>
      <c r="G465" s="1" t="s">
        <v>507</v>
      </c>
      <c r="H465" s="1" t="s">
        <v>1650</v>
      </c>
      <c r="I465" s="1" t="s">
        <v>1204</v>
      </c>
      <c r="Q465" s="1" t="s">
        <v>490</v>
      </c>
      <c r="R465" s="1" t="s">
        <v>505</v>
      </c>
      <c r="S465" s="1" t="s">
        <v>507</v>
      </c>
    </row>
    <row r="466" spans="1:19" x14ac:dyDescent="0.25">
      <c r="A466" s="1">
        <v>1920911570000</v>
      </c>
      <c r="B466" s="1" t="s">
        <v>490</v>
      </c>
      <c r="C466" s="1" t="s">
        <v>1236</v>
      </c>
      <c r="E466" s="1" t="s">
        <v>508</v>
      </c>
      <c r="F466" s="1">
        <v>1920911570000</v>
      </c>
      <c r="G466" s="1" t="s">
        <v>509</v>
      </c>
      <c r="H466" s="1" t="s">
        <v>1651</v>
      </c>
      <c r="I466" s="1" t="s">
        <v>1182</v>
      </c>
      <c r="Q466" s="1" t="s">
        <v>490</v>
      </c>
      <c r="R466" s="1" t="s">
        <v>508</v>
      </c>
      <c r="S466" s="1" t="s">
        <v>509</v>
      </c>
    </row>
    <row r="467" spans="1:19" x14ac:dyDescent="0.25">
      <c r="A467" s="1">
        <v>1921026000000</v>
      </c>
      <c r="B467" s="1" t="s">
        <v>490</v>
      </c>
      <c r="C467" s="1" t="s">
        <v>1236</v>
      </c>
      <c r="E467" s="1" t="s">
        <v>508</v>
      </c>
      <c r="F467" s="1">
        <v>1921026000000</v>
      </c>
      <c r="G467" s="1" t="s">
        <v>510</v>
      </c>
      <c r="H467" s="1" t="s">
        <v>1652</v>
      </c>
      <c r="I467" s="1" t="s">
        <v>1204</v>
      </c>
      <c r="Q467" s="1" t="s">
        <v>490</v>
      </c>
      <c r="R467" s="1" t="s">
        <v>508</v>
      </c>
      <c r="S467" s="1" t="s">
        <v>510</v>
      </c>
    </row>
    <row r="468" spans="1:19" x14ac:dyDescent="0.25">
      <c r="A468" s="1">
        <v>1920911560000</v>
      </c>
      <c r="B468" s="1" t="s">
        <v>490</v>
      </c>
      <c r="C468" s="1" t="s">
        <v>1236</v>
      </c>
      <c r="E468" s="1" t="s">
        <v>511</v>
      </c>
      <c r="F468" s="1">
        <v>1920911560000</v>
      </c>
      <c r="G468" s="1" t="s">
        <v>512</v>
      </c>
      <c r="H468" s="1" t="s">
        <v>1653</v>
      </c>
      <c r="I468" s="1" t="s">
        <v>1182</v>
      </c>
      <c r="Q468" s="1" t="s">
        <v>490</v>
      </c>
      <c r="R468" s="1" t="s">
        <v>511</v>
      </c>
      <c r="S468" s="1" t="s">
        <v>512</v>
      </c>
    </row>
    <row r="469" spans="1:19" x14ac:dyDescent="0.25">
      <c r="A469" s="1">
        <v>1921027000000</v>
      </c>
      <c r="B469" s="1" t="s">
        <v>490</v>
      </c>
      <c r="C469" s="1" t="s">
        <v>1236</v>
      </c>
      <c r="E469" s="1" t="s">
        <v>511</v>
      </c>
      <c r="F469" s="1">
        <v>1921027000000</v>
      </c>
      <c r="G469" s="1" t="s">
        <v>513</v>
      </c>
      <c r="H469" s="1" t="s">
        <v>1654</v>
      </c>
      <c r="I469" s="1" t="s">
        <v>1204</v>
      </c>
      <c r="Q469" s="1" t="s">
        <v>490</v>
      </c>
      <c r="R469" s="1" t="s">
        <v>511</v>
      </c>
      <c r="S469" s="1" t="s">
        <v>513</v>
      </c>
    </row>
    <row r="470" spans="1:19" x14ac:dyDescent="0.25">
      <c r="A470" s="1">
        <v>1920936080000</v>
      </c>
      <c r="B470" s="1" t="s">
        <v>490</v>
      </c>
      <c r="C470" s="1" t="s">
        <v>1236</v>
      </c>
      <c r="E470" s="1" t="s">
        <v>511</v>
      </c>
      <c r="F470" s="1">
        <v>1920936080000</v>
      </c>
      <c r="G470" s="1" t="s">
        <v>514</v>
      </c>
      <c r="H470" s="1" t="s">
        <v>1655</v>
      </c>
      <c r="I470" s="1" t="s">
        <v>1182</v>
      </c>
      <c r="Q470" s="1" t="s">
        <v>490</v>
      </c>
      <c r="R470" s="1" t="s">
        <v>511</v>
      </c>
      <c r="S470" s="1" t="s">
        <v>514</v>
      </c>
    </row>
    <row r="471" spans="1:19" x14ac:dyDescent="0.25">
      <c r="A471" s="1">
        <v>1920922990000</v>
      </c>
      <c r="B471" s="1" t="s">
        <v>515</v>
      </c>
      <c r="C471" s="1" t="s">
        <v>1656</v>
      </c>
      <c r="E471" s="1" t="s">
        <v>515</v>
      </c>
      <c r="F471" s="1">
        <v>1920922990000</v>
      </c>
      <c r="G471" s="1" t="s">
        <v>516</v>
      </c>
      <c r="H471" s="1" t="s">
        <v>1657</v>
      </c>
      <c r="I471" s="1" t="s">
        <v>1182</v>
      </c>
      <c r="Q471" s="1" t="s">
        <v>515</v>
      </c>
      <c r="R471" s="1" t="s">
        <v>515</v>
      </c>
      <c r="S471" s="1" t="s">
        <v>516</v>
      </c>
    </row>
    <row r="472" spans="1:19" x14ac:dyDescent="0.25">
      <c r="A472" s="1">
        <v>1920923000000</v>
      </c>
      <c r="B472" s="1" t="s">
        <v>515</v>
      </c>
      <c r="C472" s="1" t="s">
        <v>1656</v>
      </c>
      <c r="E472" s="1" t="s">
        <v>515</v>
      </c>
      <c r="F472" s="1">
        <v>1920923000000</v>
      </c>
      <c r="G472" s="1" t="s">
        <v>517</v>
      </c>
      <c r="H472" s="1" t="s">
        <v>1658</v>
      </c>
      <c r="I472" s="1" t="s">
        <v>1182</v>
      </c>
      <c r="Q472" s="1" t="s">
        <v>515</v>
      </c>
      <c r="R472" s="1" t="s">
        <v>515</v>
      </c>
      <c r="S472" s="1" t="s">
        <v>517</v>
      </c>
    </row>
    <row r="473" spans="1:19" x14ac:dyDescent="0.25">
      <c r="A473" s="1">
        <v>1920923020000</v>
      </c>
      <c r="B473" s="1" t="s">
        <v>515</v>
      </c>
      <c r="C473" s="1" t="s">
        <v>1656</v>
      </c>
      <c r="E473" s="1" t="s">
        <v>515</v>
      </c>
      <c r="F473" s="1">
        <v>1920923020000</v>
      </c>
      <c r="G473" s="1" t="s">
        <v>518</v>
      </c>
      <c r="H473" s="1" t="s">
        <v>1659</v>
      </c>
      <c r="I473" s="1" t="s">
        <v>1182</v>
      </c>
      <c r="Q473" s="1" t="s">
        <v>515</v>
      </c>
      <c r="R473" s="1" t="s">
        <v>515</v>
      </c>
      <c r="S473" s="1" t="s">
        <v>518</v>
      </c>
    </row>
    <row r="474" spans="1:19" x14ac:dyDescent="0.25">
      <c r="A474" s="1">
        <v>1920923020001</v>
      </c>
      <c r="B474" s="1" t="s">
        <v>515</v>
      </c>
      <c r="C474" s="1" t="s">
        <v>1656</v>
      </c>
      <c r="E474" s="1" t="s">
        <v>515</v>
      </c>
      <c r="F474" s="1">
        <v>1920923020001</v>
      </c>
      <c r="G474" s="1" t="s">
        <v>519</v>
      </c>
      <c r="H474" s="1" t="s">
        <v>1660</v>
      </c>
      <c r="I474" s="1" t="s">
        <v>1182</v>
      </c>
      <c r="Q474" s="1" t="s">
        <v>515</v>
      </c>
      <c r="R474" s="1" t="s">
        <v>515</v>
      </c>
      <c r="S474" s="1" t="s">
        <v>519</v>
      </c>
    </row>
    <row r="475" spans="1:19" x14ac:dyDescent="0.25">
      <c r="A475" s="1">
        <v>1920923030000</v>
      </c>
      <c r="B475" s="1" t="s">
        <v>515</v>
      </c>
      <c r="C475" s="1" t="s">
        <v>1656</v>
      </c>
      <c r="E475" s="1" t="s">
        <v>515</v>
      </c>
      <c r="F475" s="1">
        <v>1920923030000</v>
      </c>
      <c r="G475" s="1" t="s">
        <v>520</v>
      </c>
      <c r="H475" s="1" t="s">
        <v>1661</v>
      </c>
      <c r="I475" s="1" t="s">
        <v>1182</v>
      </c>
      <c r="Q475" s="1" t="s">
        <v>515</v>
      </c>
      <c r="R475" s="1" t="s">
        <v>515</v>
      </c>
      <c r="S475" s="1" t="s">
        <v>520</v>
      </c>
    </row>
    <row r="476" spans="1:19" x14ac:dyDescent="0.25">
      <c r="A476" s="1">
        <v>1920923040000</v>
      </c>
      <c r="B476" s="1" t="s">
        <v>515</v>
      </c>
      <c r="C476" s="1" t="s">
        <v>1656</v>
      </c>
      <c r="E476" s="1" t="s">
        <v>515</v>
      </c>
      <c r="F476" s="1">
        <v>1920923040000</v>
      </c>
      <c r="G476" s="1" t="s">
        <v>521</v>
      </c>
      <c r="H476" s="1" t="s">
        <v>1662</v>
      </c>
      <c r="I476" s="1" t="s">
        <v>1182</v>
      </c>
      <c r="Q476" s="1" t="s">
        <v>515</v>
      </c>
      <c r="R476" s="1" t="s">
        <v>515</v>
      </c>
      <c r="S476" s="1" t="s">
        <v>521</v>
      </c>
    </row>
    <row r="477" spans="1:19" x14ac:dyDescent="0.25">
      <c r="A477" s="1">
        <v>1920923070000</v>
      </c>
      <c r="B477" s="1" t="s">
        <v>515</v>
      </c>
      <c r="C477" s="1" t="s">
        <v>1656</v>
      </c>
      <c r="E477" s="1" t="s">
        <v>515</v>
      </c>
      <c r="F477" s="1">
        <v>1920923070000</v>
      </c>
      <c r="G477" s="1" t="s">
        <v>522</v>
      </c>
      <c r="H477" s="1" t="s">
        <v>1663</v>
      </c>
      <c r="I477" s="1" t="s">
        <v>1182</v>
      </c>
      <c r="Q477" s="1" t="s">
        <v>515</v>
      </c>
      <c r="R477" s="1" t="s">
        <v>515</v>
      </c>
      <c r="S477" s="1" t="s">
        <v>522</v>
      </c>
    </row>
    <row r="478" spans="1:19" x14ac:dyDescent="0.25">
      <c r="A478" s="1">
        <v>1921047000000</v>
      </c>
      <c r="B478" s="1" t="s">
        <v>515</v>
      </c>
      <c r="C478" s="1" t="s">
        <v>1656</v>
      </c>
      <c r="E478" s="1" t="s">
        <v>515</v>
      </c>
      <c r="F478" s="1">
        <v>1921047000000</v>
      </c>
      <c r="G478" s="1" t="s">
        <v>523</v>
      </c>
      <c r="H478" s="1" t="s">
        <v>1664</v>
      </c>
      <c r="I478" s="1" t="s">
        <v>1204</v>
      </c>
      <c r="Q478" s="1" t="s">
        <v>515</v>
      </c>
      <c r="R478" s="1" t="s">
        <v>515</v>
      </c>
      <c r="S478" s="1" t="s">
        <v>523</v>
      </c>
    </row>
    <row r="479" spans="1:19" x14ac:dyDescent="0.25">
      <c r="A479" s="1">
        <v>1920937840000</v>
      </c>
      <c r="B479" s="1" t="s">
        <v>515</v>
      </c>
      <c r="C479" s="1" t="s">
        <v>1656</v>
      </c>
      <c r="E479" s="1" t="s">
        <v>515</v>
      </c>
      <c r="F479" s="1">
        <v>1920937840000</v>
      </c>
      <c r="G479" s="1" t="s">
        <v>524</v>
      </c>
      <c r="H479" s="1" t="s">
        <v>1665</v>
      </c>
      <c r="I479" s="1" t="s">
        <v>1182</v>
      </c>
      <c r="Q479" s="1" t="s">
        <v>515</v>
      </c>
      <c r="R479" s="1" t="s">
        <v>515</v>
      </c>
      <c r="S479" s="1" t="s">
        <v>524</v>
      </c>
    </row>
    <row r="480" spans="1:19" x14ac:dyDescent="0.25">
      <c r="A480" s="1">
        <v>1920923150000</v>
      </c>
      <c r="B480" s="1" t="s">
        <v>515</v>
      </c>
      <c r="C480" s="1" t="s">
        <v>1656</v>
      </c>
      <c r="E480" s="1" t="s">
        <v>525</v>
      </c>
      <c r="F480" s="1">
        <v>1920923150000</v>
      </c>
      <c r="G480" s="1" t="s">
        <v>526</v>
      </c>
      <c r="H480" s="1" t="s">
        <v>1666</v>
      </c>
      <c r="I480" s="1" t="s">
        <v>1182</v>
      </c>
      <c r="Q480" s="1" t="s">
        <v>515</v>
      </c>
      <c r="R480" s="1" t="s">
        <v>525</v>
      </c>
      <c r="S480" s="1" t="s">
        <v>526</v>
      </c>
    </row>
    <row r="481" spans="1:19" x14ac:dyDescent="0.25">
      <c r="A481" s="1">
        <v>1920936770000</v>
      </c>
      <c r="B481" s="1" t="s">
        <v>515</v>
      </c>
      <c r="C481" s="1" t="s">
        <v>1656</v>
      </c>
      <c r="E481" s="1" t="s">
        <v>525</v>
      </c>
      <c r="F481" s="1">
        <v>1920936770000</v>
      </c>
      <c r="G481" s="1" t="s">
        <v>527</v>
      </c>
      <c r="H481" s="1" t="s">
        <v>1667</v>
      </c>
      <c r="I481" s="1" t="s">
        <v>1182</v>
      </c>
      <c r="Q481" s="1" t="s">
        <v>515</v>
      </c>
      <c r="R481" s="1" t="s">
        <v>525</v>
      </c>
      <c r="S481" s="1" t="s">
        <v>527</v>
      </c>
    </row>
    <row r="482" spans="1:19" x14ac:dyDescent="0.25">
      <c r="A482" s="1">
        <v>1920937390000</v>
      </c>
      <c r="B482" s="1" t="s">
        <v>515</v>
      </c>
      <c r="C482" s="1" t="s">
        <v>1656</v>
      </c>
      <c r="E482" s="1" t="s">
        <v>525</v>
      </c>
      <c r="F482" s="1">
        <v>1920937390000</v>
      </c>
      <c r="G482" s="1" t="s">
        <v>528</v>
      </c>
      <c r="H482" s="1" t="s">
        <v>1668</v>
      </c>
      <c r="I482" s="1" t="s">
        <v>1182</v>
      </c>
      <c r="Q482" s="1" t="s">
        <v>515</v>
      </c>
      <c r="R482" s="1" t="s">
        <v>525</v>
      </c>
      <c r="S482" s="1" t="s">
        <v>528</v>
      </c>
    </row>
    <row r="483" spans="1:19" x14ac:dyDescent="0.25">
      <c r="A483" s="1">
        <v>1920923110000</v>
      </c>
      <c r="B483" s="1" t="s">
        <v>515</v>
      </c>
      <c r="C483" s="1" t="s">
        <v>1656</v>
      </c>
      <c r="E483" s="1" t="s">
        <v>529</v>
      </c>
      <c r="F483" s="1">
        <v>1920923110000</v>
      </c>
      <c r="G483" s="1" t="s">
        <v>530</v>
      </c>
      <c r="H483" s="1" t="s">
        <v>1669</v>
      </c>
      <c r="I483" s="1" t="s">
        <v>1182</v>
      </c>
      <c r="Q483" s="1" t="s">
        <v>515</v>
      </c>
      <c r="R483" s="1" t="s">
        <v>529</v>
      </c>
      <c r="S483" s="1" t="s">
        <v>530</v>
      </c>
    </row>
    <row r="484" spans="1:19" x14ac:dyDescent="0.25">
      <c r="A484" s="1">
        <v>1920923120000</v>
      </c>
      <c r="B484" s="1" t="s">
        <v>515</v>
      </c>
      <c r="C484" s="1" t="s">
        <v>1656</v>
      </c>
      <c r="E484" s="1" t="s">
        <v>529</v>
      </c>
      <c r="F484" s="1">
        <v>1920923120000</v>
      </c>
      <c r="G484" s="1" t="s">
        <v>531</v>
      </c>
      <c r="H484" s="1" t="s">
        <v>1670</v>
      </c>
      <c r="I484" s="1" t="s">
        <v>1182</v>
      </c>
      <c r="Q484" s="1" t="s">
        <v>515</v>
      </c>
      <c r="R484" s="1" t="s">
        <v>529</v>
      </c>
      <c r="S484" s="1" t="s">
        <v>531</v>
      </c>
    </row>
    <row r="485" spans="1:19" x14ac:dyDescent="0.25">
      <c r="A485" s="1">
        <v>1920923350000</v>
      </c>
      <c r="B485" s="1" t="s">
        <v>515</v>
      </c>
      <c r="C485" s="1" t="s">
        <v>1656</v>
      </c>
      <c r="E485" s="1" t="s">
        <v>532</v>
      </c>
      <c r="F485" s="1">
        <v>1920923350000</v>
      </c>
      <c r="G485" s="1" t="s">
        <v>533</v>
      </c>
      <c r="H485" s="1" t="s">
        <v>1671</v>
      </c>
      <c r="I485" s="1" t="s">
        <v>1182</v>
      </c>
      <c r="Q485" s="1" t="s">
        <v>515</v>
      </c>
      <c r="R485" s="1" t="s">
        <v>532</v>
      </c>
      <c r="S485" s="1" t="s">
        <v>533</v>
      </c>
    </row>
    <row r="486" spans="1:19" x14ac:dyDescent="0.25">
      <c r="A486" s="1">
        <v>1920923360000</v>
      </c>
      <c r="B486" s="1" t="s">
        <v>515</v>
      </c>
      <c r="C486" s="1" t="s">
        <v>1656</v>
      </c>
      <c r="E486" s="1" t="s">
        <v>532</v>
      </c>
      <c r="F486" s="1">
        <v>1920923360000</v>
      </c>
      <c r="G486" s="1" t="s">
        <v>534</v>
      </c>
      <c r="H486" s="1" t="s">
        <v>1672</v>
      </c>
      <c r="I486" s="1" t="s">
        <v>1182</v>
      </c>
      <c r="Q486" s="1" t="s">
        <v>515</v>
      </c>
      <c r="R486" s="1" t="s">
        <v>532</v>
      </c>
      <c r="S486" s="1" t="s">
        <v>534</v>
      </c>
    </row>
    <row r="487" spans="1:19" x14ac:dyDescent="0.25">
      <c r="A487" s="1">
        <v>1920923430000</v>
      </c>
      <c r="B487" s="1" t="s">
        <v>515</v>
      </c>
      <c r="C487" s="1" t="s">
        <v>1656</v>
      </c>
      <c r="E487" s="1" t="s">
        <v>532</v>
      </c>
      <c r="F487" s="1">
        <v>1920923430000</v>
      </c>
      <c r="G487" s="1" t="s">
        <v>535</v>
      </c>
      <c r="H487" s="1" t="s">
        <v>1673</v>
      </c>
      <c r="I487" s="1" t="s">
        <v>1182</v>
      </c>
      <c r="Q487" s="1" t="s">
        <v>515</v>
      </c>
      <c r="R487" s="1" t="s">
        <v>532</v>
      </c>
      <c r="S487" s="1" t="s">
        <v>535</v>
      </c>
    </row>
    <row r="488" spans="1:19" x14ac:dyDescent="0.25">
      <c r="A488" s="1">
        <v>1920931560000</v>
      </c>
      <c r="B488" s="1" t="s">
        <v>515</v>
      </c>
      <c r="C488" s="1" t="s">
        <v>1656</v>
      </c>
      <c r="E488" s="1" t="s">
        <v>532</v>
      </c>
      <c r="F488" s="1">
        <v>1920931560000</v>
      </c>
      <c r="G488" s="1" t="s">
        <v>536</v>
      </c>
      <c r="H488" s="1" t="s">
        <v>1674</v>
      </c>
      <c r="I488" s="1" t="s">
        <v>1182</v>
      </c>
      <c r="Q488" s="1" t="s">
        <v>515</v>
      </c>
      <c r="R488" s="1" t="s">
        <v>532</v>
      </c>
      <c r="S488" s="1" t="s">
        <v>536</v>
      </c>
    </row>
    <row r="489" spans="1:19" x14ac:dyDescent="0.25">
      <c r="A489" s="1">
        <v>1920932950000</v>
      </c>
      <c r="B489" s="1" t="s">
        <v>537</v>
      </c>
      <c r="C489" s="1" t="s">
        <v>1675</v>
      </c>
      <c r="E489" s="1" t="s">
        <v>538</v>
      </c>
      <c r="F489" s="1">
        <v>1920932950000</v>
      </c>
      <c r="G489" s="1" t="s">
        <v>539</v>
      </c>
      <c r="H489" s="1" t="s">
        <v>1676</v>
      </c>
      <c r="I489" s="1" t="s">
        <v>1182</v>
      </c>
      <c r="Q489" s="1" t="s">
        <v>537</v>
      </c>
      <c r="R489" s="1" t="s">
        <v>538</v>
      </c>
      <c r="S489" s="1" t="s">
        <v>539</v>
      </c>
    </row>
    <row r="490" spans="1:19" x14ac:dyDescent="0.25">
      <c r="A490" s="1">
        <v>1920932950002</v>
      </c>
      <c r="B490" s="1" t="s">
        <v>537</v>
      </c>
      <c r="C490" s="1" t="s">
        <v>1675</v>
      </c>
      <c r="E490" s="1" t="s">
        <v>538</v>
      </c>
      <c r="F490" s="1">
        <v>1920932950002</v>
      </c>
      <c r="G490" s="1" t="s">
        <v>540</v>
      </c>
      <c r="H490" s="1" t="s">
        <v>1677</v>
      </c>
      <c r="I490" s="1" t="s">
        <v>1182</v>
      </c>
      <c r="Q490" s="1" t="s">
        <v>537</v>
      </c>
      <c r="R490" s="1" t="s">
        <v>538</v>
      </c>
      <c r="S490" s="1" t="s">
        <v>540</v>
      </c>
    </row>
    <row r="491" spans="1:19" x14ac:dyDescent="0.25">
      <c r="A491" s="1">
        <v>1920965000000</v>
      </c>
      <c r="B491" s="1" t="s">
        <v>537</v>
      </c>
      <c r="C491" s="1" t="s">
        <v>1675</v>
      </c>
      <c r="E491" s="1" t="s">
        <v>538</v>
      </c>
      <c r="F491" s="1">
        <v>1920965000000</v>
      </c>
      <c r="G491" s="1" t="s">
        <v>541</v>
      </c>
      <c r="H491" s="1" t="s">
        <v>1678</v>
      </c>
      <c r="I491" s="1" t="s">
        <v>1204</v>
      </c>
      <c r="Q491" s="1" t="s">
        <v>537</v>
      </c>
      <c r="R491" s="1" t="s">
        <v>538</v>
      </c>
      <c r="S491" s="1" t="s">
        <v>541</v>
      </c>
    </row>
    <row r="492" spans="1:19" x14ac:dyDescent="0.25">
      <c r="A492" s="1">
        <v>1920907640000</v>
      </c>
      <c r="B492" s="1" t="s">
        <v>537</v>
      </c>
      <c r="C492" s="1" t="s">
        <v>1675</v>
      </c>
      <c r="E492" s="1" t="s">
        <v>537</v>
      </c>
      <c r="F492" s="1">
        <v>1920907640000</v>
      </c>
      <c r="G492" s="1" t="s">
        <v>542</v>
      </c>
      <c r="H492" s="1" t="s">
        <v>1679</v>
      </c>
      <c r="I492" s="1" t="s">
        <v>1182</v>
      </c>
      <c r="Q492" s="1" t="s">
        <v>537</v>
      </c>
      <c r="R492" s="1" t="s">
        <v>537</v>
      </c>
      <c r="S492" s="1" t="s">
        <v>542</v>
      </c>
    </row>
    <row r="493" spans="1:19" x14ac:dyDescent="0.25">
      <c r="A493" s="1">
        <v>1920907770000</v>
      </c>
      <c r="B493" s="1" t="s">
        <v>537</v>
      </c>
      <c r="C493" s="1" t="s">
        <v>1675</v>
      </c>
      <c r="E493" s="1" t="s">
        <v>537</v>
      </c>
      <c r="F493" s="1">
        <v>1920907770000</v>
      </c>
      <c r="G493" s="1" t="s">
        <v>543</v>
      </c>
      <c r="H493" s="1" t="s">
        <v>1680</v>
      </c>
      <c r="I493" s="1" t="s">
        <v>1182</v>
      </c>
      <c r="Q493" s="1" t="s">
        <v>537</v>
      </c>
      <c r="R493" s="1" t="s">
        <v>537</v>
      </c>
      <c r="S493" s="1" t="s">
        <v>543</v>
      </c>
    </row>
    <row r="494" spans="1:19" x14ac:dyDescent="0.25">
      <c r="A494" s="1">
        <v>1920907840000</v>
      </c>
      <c r="B494" s="1" t="s">
        <v>537</v>
      </c>
      <c r="C494" s="1" t="s">
        <v>1675</v>
      </c>
      <c r="E494" s="1" t="s">
        <v>537</v>
      </c>
      <c r="F494" s="1">
        <v>1920907840000</v>
      </c>
      <c r="G494" s="1" t="s">
        <v>544</v>
      </c>
      <c r="H494" s="1" t="s">
        <v>1681</v>
      </c>
      <c r="I494" s="1" t="s">
        <v>1182</v>
      </c>
      <c r="Q494" s="1" t="s">
        <v>537</v>
      </c>
      <c r="R494" s="1" t="s">
        <v>537</v>
      </c>
      <c r="S494" s="1" t="s">
        <v>544</v>
      </c>
    </row>
    <row r="495" spans="1:19" x14ac:dyDescent="0.25">
      <c r="A495" s="1">
        <v>1920927460000</v>
      </c>
      <c r="B495" s="1" t="s">
        <v>537</v>
      </c>
      <c r="C495" s="1" t="s">
        <v>1675</v>
      </c>
      <c r="E495" s="1" t="s">
        <v>537</v>
      </c>
      <c r="F495" s="1">
        <v>1920927460000</v>
      </c>
      <c r="G495" s="1" t="s">
        <v>545</v>
      </c>
      <c r="H495" s="1" t="s">
        <v>1682</v>
      </c>
      <c r="I495" s="1" t="s">
        <v>1182</v>
      </c>
      <c r="Q495" s="1" t="s">
        <v>537</v>
      </c>
      <c r="R495" s="1" t="s">
        <v>537</v>
      </c>
      <c r="S495" s="1" t="s">
        <v>545</v>
      </c>
    </row>
    <row r="496" spans="1:19" x14ac:dyDescent="0.25">
      <c r="A496" s="1">
        <v>1920937230000</v>
      </c>
      <c r="B496" s="1" t="s">
        <v>537</v>
      </c>
      <c r="C496" s="1" t="s">
        <v>1675</v>
      </c>
      <c r="E496" s="1" t="s">
        <v>537</v>
      </c>
      <c r="F496" s="1">
        <v>1920937230000</v>
      </c>
      <c r="G496" s="1" t="s">
        <v>546</v>
      </c>
      <c r="H496" s="1" t="s">
        <v>1683</v>
      </c>
      <c r="I496" s="1" t="s">
        <v>1182</v>
      </c>
      <c r="Q496" s="1" t="s">
        <v>537</v>
      </c>
      <c r="R496" s="1" t="s">
        <v>537</v>
      </c>
      <c r="S496" s="1" t="s">
        <v>546</v>
      </c>
    </row>
    <row r="497" spans="1:19" x14ac:dyDescent="0.25">
      <c r="A497" s="1">
        <v>1920937470000</v>
      </c>
      <c r="B497" s="1" t="s">
        <v>537</v>
      </c>
      <c r="C497" s="1" t="s">
        <v>1675</v>
      </c>
      <c r="E497" s="1" t="s">
        <v>537</v>
      </c>
      <c r="F497" s="1">
        <v>1920937470000</v>
      </c>
      <c r="G497" s="1" t="s">
        <v>547</v>
      </c>
      <c r="H497" s="1" t="s">
        <v>1684</v>
      </c>
      <c r="I497" s="1" t="s">
        <v>1182</v>
      </c>
      <c r="Q497" s="1" t="s">
        <v>537</v>
      </c>
      <c r="R497" s="1" t="s">
        <v>537</v>
      </c>
      <c r="S497" s="1" t="s">
        <v>547</v>
      </c>
    </row>
    <row r="498" spans="1:19" x14ac:dyDescent="0.25">
      <c r="A498" s="1">
        <v>1920938400000</v>
      </c>
      <c r="B498" s="1" t="s">
        <v>537</v>
      </c>
      <c r="C498" s="1" t="s">
        <v>1675</v>
      </c>
      <c r="E498" s="1" t="s">
        <v>537</v>
      </c>
      <c r="F498" s="1">
        <v>1920938400000</v>
      </c>
      <c r="G498" s="1" t="s">
        <v>548</v>
      </c>
      <c r="H498" s="1" t="s">
        <v>1685</v>
      </c>
      <c r="I498" s="1" t="s">
        <v>1182</v>
      </c>
      <c r="Q498" s="1" t="s">
        <v>537</v>
      </c>
      <c r="R498" s="1" t="s">
        <v>537</v>
      </c>
      <c r="S498" s="1" t="s">
        <v>548</v>
      </c>
    </row>
    <row r="499" spans="1:19" x14ac:dyDescent="0.25">
      <c r="A499" s="1">
        <v>1920966000000</v>
      </c>
      <c r="B499" s="1" t="s">
        <v>537</v>
      </c>
      <c r="C499" s="1" t="s">
        <v>1675</v>
      </c>
      <c r="E499" s="1" t="s">
        <v>537</v>
      </c>
      <c r="F499" s="1">
        <v>1920966000000</v>
      </c>
      <c r="G499" s="1" t="s">
        <v>549</v>
      </c>
      <c r="H499" s="1" t="s">
        <v>1686</v>
      </c>
      <c r="I499" s="1" t="s">
        <v>1204</v>
      </c>
      <c r="Q499" s="1" t="s">
        <v>537</v>
      </c>
      <c r="R499" s="1" t="s">
        <v>537</v>
      </c>
      <c r="S499" s="1" t="s">
        <v>549</v>
      </c>
    </row>
    <row r="500" spans="1:19" x14ac:dyDescent="0.25">
      <c r="A500" s="1">
        <v>1920936550000</v>
      </c>
      <c r="B500" s="1" t="s">
        <v>537</v>
      </c>
      <c r="C500" s="1" t="s">
        <v>1675</v>
      </c>
      <c r="E500" s="1" t="s">
        <v>537</v>
      </c>
      <c r="F500" s="1">
        <v>1920936550000</v>
      </c>
      <c r="G500" s="1" t="s">
        <v>550</v>
      </c>
      <c r="H500" s="1" t="s">
        <v>1687</v>
      </c>
      <c r="I500" s="1" t="s">
        <v>1182</v>
      </c>
      <c r="Q500" s="1" t="s">
        <v>537</v>
      </c>
      <c r="R500" s="1" t="s">
        <v>537</v>
      </c>
      <c r="S500" s="1" t="s">
        <v>550</v>
      </c>
    </row>
    <row r="501" spans="1:19" x14ac:dyDescent="0.25">
      <c r="A501" s="1">
        <v>1920909200000</v>
      </c>
      <c r="B501" s="1" t="s">
        <v>537</v>
      </c>
      <c r="C501" s="1" t="s">
        <v>1675</v>
      </c>
      <c r="E501" s="1" t="s">
        <v>551</v>
      </c>
      <c r="F501" s="1">
        <v>1920909200000</v>
      </c>
      <c r="G501" s="1" t="s">
        <v>552</v>
      </c>
      <c r="H501" s="1" t="s">
        <v>1688</v>
      </c>
      <c r="I501" s="1" t="s">
        <v>1182</v>
      </c>
      <c r="Q501" s="1" t="s">
        <v>537</v>
      </c>
      <c r="R501" s="1" t="s">
        <v>551</v>
      </c>
      <c r="S501" s="1" t="s">
        <v>552</v>
      </c>
    </row>
    <row r="502" spans="1:19" x14ac:dyDescent="0.25">
      <c r="A502" s="1">
        <v>1920967000000</v>
      </c>
      <c r="B502" s="1" t="s">
        <v>537</v>
      </c>
      <c r="C502" s="1" t="s">
        <v>1675</v>
      </c>
      <c r="E502" s="1" t="s">
        <v>551</v>
      </c>
      <c r="F502" s="1">
        <v>1920967000000</v>
      </c>
      <c r="G502" s="1" t="s">
        <v>553</v>
      </c>
      <c r="H502" s="1" t="s">
        <v>1689</v>
      </c>
      <c r="I502" s="1" t="s">
        <v>1204</v>
      </c>
      <c r="Q502" s="1" t="s">
        <v>537</v>
      </c>
      <c r="R502" s="1" t="s">
        <v>551</v>
      </c>
      <c r="S502" s="1" t="s">
        <v>553</v>
      </c>
    </row>
    <row r="503" spans="1:19" x14ac:dyDescent="0.25">
      <c r="A503" s="1">
        <v>1920929130000</v>
      </c>
      <c r="B503" s="1" t="s">
        <v>537</v>
      </c>
      <c r="C503" s="1" t="s">
        <v>1675</v>
      </c>
      <c r="E503" s="1" t="s">
        <v>551</v>
      </c>
      <c r="F503" s="1">
        <v>1920929130000</v>
      </c>
      <c r="G503" s="1" t="s">
        <v>554</v>
      </c>
      <c r="H503" s="1" t="s">
        <v>1690</v>
      </c>
      <c r="I503" s="1" t="s">
        <v>1182</v>
      </c>
      <c r="Q503" s="1" t="s">
        <v>537</v>
      </c>
      <c r="R503" s="1" t="s">
        <v>551</v>
      </c>
      <c r="S503" s="1" t="s">
        <v>554</v>
      </c>
    </row>
    <row r="504" spans="1:19" x14ac:dyDescent="0.25">
      <c r="A504" s="1">
        <v>1920927300000</v>
      </c>
      <c r="B504" s="1" t="s">
        <v>537</v>
      </c>
      <c r="C504" s="1" t="s">
        <v>1675</v>
      </c>
      <c r="E504" s="1" t="s">
        <v>555</v>
      </c>
      <c r="F504" s="1">
        <v>1920927300000</v>
      </c>
      <c r="G504" s="1" t="s">
        <v>556</v>
      </c>
      <c r="H504" s="1" t="s">
        <v>1691</v>
      </c>
      <c r="I504" s="1" t="s">
        <v>1182</v>
      </c>
      <c r="Q504" s="1" t="s">
        <v>537</v>
      </c>
      <c r="R504" s="1" t="s">
        <v>555</v>
      </c>
      <c r="S504" s="1" t="s">
        <v>556</v>
      </c>
    </row>
    <row r="505" spans="1:19" x14ac:dyDescent="0.25">
      <c r="A505" s="1">
        <v>1920968000000</v>
      </c>
      <c r="B505" s="1" t="s">
        <v>537</v>
      </c>
      <c r="C505" s="1" t="s">
        <v>1675</v>
      </c>
      <c r="E505" s="1" t="s">
        <v>555</v>
      </c>
      <c r="F505" s="1">
        <v>1920968000000</v>
      </c>
      <c r="G505" s="1" t="s">
        <v>557</v>
      </c>
      <c r="H505" s="1" t="s">
        <v>1692</v>
      </c>
      <c r="I505" s="1" t="s">
        <v>1204</v>
      </c>
      <c r="Q505" s="1" t="s">
        <v>537</v>
      </c>
      <c r="R505" s="1" t="s">
        <v>555</v>
      </c>
      <c r="S505" s="1" t="s">
        <v>557</v>
      </c>
    </row>
    <row r="506" spans="1:19" x14ac:dyDescent="0.25">
      <c r="A506" s="1">
        <v>1920948000000</v>
      </c>
      <c r="B506" s="1" t="s">
        <v>537</v>
      </c>
      <c r="C506" s="1" t="s">
        <v>1675</v>
      </c>
      <c r="E506" s="1" t="s">
        <v>555</v>
      </c>
      <c r="F506" s="1">
        <v>1920948000000</v>
      </c>
      <c r="G506" s="1" t="s">
        <v>558</v>
      </c>
      <c r="H506" s="1" t="s">
        <v>1693</v>
      </c>
      <c r="I506" s="1" t="s">
        <v>1182</v>
      </c>
      <c r="Q506" s="1" t="s">
        <v>537</v>
      </c>
      <c r="R506" s="1" t="s">
        <v>555</v>
      </c>
      <c r="S506" s="1" t="s">
        <v>558</v>
      </c>
    </row>
    <row r="507" spans="1:19" x14ac:dyDescent="0.25">
      <c r="A507" s="1">
        <v>1920915950000</v>
      </c>
      <c r="B507" s="1" t="s">
        <v>559</v>
      </c>
      <c r="C507" s="1" t="s">
        <v>1694</v>
      </c>
      <c r="E507" s="1" t="s">
        <v>560</v>
      </c>
      <c r="F507" s="1">
        <v>1920915950000</v>
      </c>
      <c r="G507" s="1" t="s">
        <v>561</v>
      </c>
      <c r="H507" s="1" t="s">
        <v>1695</v>
      </c>
      <c r="I507" s="1" t="s">
        <v>1182</v>
      </c>
      <c r="Q507" s="1" t="s">
        <v>559</v>
      </c>
      <c r="R507" s="1" t="s">
        <v>560</v>
      </c>
      <c r="S507" s="1" t="s">
        <v>561</v>
      </c>
    </row>
    <row r="508" spans="1:19" x14ac:dyDescent="0.25">
      <c r="A508" s="1">
        <v>1920915960000</v>
      </c>
      <c r="B508" s="1" t="s">
        <v>559</v>
      </c>
      <c r="C508" s="1" t="s">
        <v>1694</v>
      </c>
      <c r="E508" s="1" t="s">
        <v>560</v>
      </c>
      <c r="F508" s="1">
        <v>1920915960000</v>
      </c>
      <c r="G508" s="1" t="s">
        <v>562</v>
      </c>
      <c r="H508" s="1" t="s">
        <v>1696</v>
      </c>
      <c r="I508" s="1" t="s">
        <v>1182</v>
      </c>
      <c r="Q508" s="1" t="s">
        <v>559</v>
      </c>
      <c r="R508" s="1" t="s">
        <v>560</v>
      </c>
      <c r="S508" s="1" t="s">
        <v>562</v>
      </c>
    </row>
    <row r="509" spans="1:19" x14ac:dyDescent="0.25">
      <c r="A509" s="1">
        <v>1920937560000</v>
      </c>
      <c r="B509" s="1" t="s">
        <v>559</v>
      </c>
      <c r="C509" s="1" t="s">
        <v>1694</v>
      </c>
      <c r="E509" s="1" t="s">
        <v>560</v>
      </c>
      <c r="F509" s="1">
        <v>1920937560000</v>
      </c>
      <c r="G509" s="1" t="s">
        <v>563</v>
      </c>
      <c r="H509" s="1" t="s">
        <v>1697</v>
      </c>
      <c r="I509" s="1" t="s">
        <v>1182</v>
      </c>
      <c r="Q509" s="1" t="s">
        <v>559</v>
      </c>
      <c r="R509" s="1" t="s">
        <v>560</v>
      </c>
      <c r="S509" s="1" t="s">
        <v>563</v>
      </c>
    </row>
    <row r="510" spans="1:19" x14ac:dyDescent="0.25">
      <c r="A510" s="1">
        <v>1920917840000</v>
      </c>
      <c r="B510" s="1" t="s">
        <v>559</v>
      </c>
      <c r="C510" s="1" t="s">
        <v>1694</v>
      </c>
      <c r="E510" s="1" t="s">
        <v>559</v>
      </c>
      <c r="F510" s="1">
        <v>1920917840000</v>
      </c>
      <c r="G510" s="1" t="s">
        <v>564</v>
      </c>
      <c r="H510" s="1" t="s">
        <v>1698</v>
      </c>
      <c r="I510" s="1" t="s">
        <v>1182</v>
      </c>
      <c r="Q510" s="1" t="s">
        <v>559</v>
      </c>
      <c r="R510" s="1" t="s">
        <v>559</v>
      </c>
      <c r="S510" s="1" t="s">
        <v>564</v>
      </c>
    </row>
    <row r="511" spans="1:19" x14ac:dyDescent="0.25">
      <c r="A511" s="1">
        <v>1920917850000</v>
      </c>
      <c r="B511" s="1" t="s">
        <v>559</v>
      </c>
      <c r="C511" s="1" t="s">
        <v>1694</v>
      </c>
      <c r="E511" s="1" t="s">
        <v>559</v>
      </c>
      <c r="F511" s="1">
        <v>1920917850000</v>
      </c>
      <c r="G511" s="1" t="s">
        <v>565</v>
      </c>
      <c r="H511" s="1" t="s">
        <v>1699</v>
      </c>
      <c r="I511" s="1" t="s">
        <v>1182</v>
      </c>
      <c r="Q511" s="1" t="s">
        <v>559</v>
      </c>
      <c r="R511" s="1" t="s">
        <v>559</v>
      </c>
      <c r="S511" s="1" t="s">
        <v>565</v>
      </c>
    </row>
    <row r="512" spans="1:19" x14ac:dyDescent="0.25">
      <c r="A512" s="1">
        <v>1920917860000</v>
      </c>
      <c r="B512" s="1" t="s">
        <v>559</v>
      </c>
      <c r="C512" s="1" t="s">
        <v>1694</v>
      </c>
      <c r="E512" s="1" t="s">
        <v>559</v>
      </c>
      <c r="F512" s="1">
        <v>1920917860000</v>
      </c>
      <c r="G512" s="1" t="s">
        <v>566</v>
      </c>
      <c r="H512" s="1" t="s">
        <v>1700</v>
      </c>
      <c r="I512" s="1" t="s">
        <v>1182</v>
      </c>
      <c r="Q512" s="1" t="s">
        <v>559</v>
      </c>
      <c r="R512" s="1" t="s">
        <v>559</v>
      </c>
      <c r="S512" s="1" t="s">
        <v>566</v>
      </c>
    </row>
    <row r="513" spans="1:19" x14ac:dyDescent="0.25">
      <c r="A513" s="1">
        <v>1920917870000</v>
      </c>
      <c r="B513" s="1" t="s">
        <v>559</v>
      </c>
      <c r="C513" s="1" t="s">
        <v>1694</v>
      </c>
      <c r="E513" s="1" t="s">
        <v>559</v>
      </c>
      <c r="F513" s="1">
        <v>1920917870000</v>
      </c>
      <c r="G513" s="1" t="s">
        <v>567</v>
      </c>
      <c r="H513" s="1" t="s">
        <v>1701</v>
      </c>
      <c r="I513" s="1" t="s">
        <v>1182</v>
      </c>
      <c r="Q513" s="1" t="s">
        <v>559</v>
      </c>
      <c r="R513" s="1" t="s">
        <v>559</v>
      </c>
      <c r="S513" s="1" t="s">
        <v>567</v>
      </c>
    </row>
    <row r="514" spans="1:19" x14ac:dyDescent="0.25">
      <c r="A514" s="1">
        <v>1920917880000</v>
      </c>
      <c r="B514" s="1" t="s">
        <v>559</v>
      </c>
      <c r="C514" s="1" t="s">
        <v>1694</v>
      </c>
      <c r="E514" s="1" t="s">
        <v>559</v>
      </c>
      <c r="F514" s="1">
        <v>1920917880000</v>
      </c>
      <c r="G514" s="1" t="s">
        <v>568</v>
      </c>
      <c r="H514" s="1" t="s">
        <v>1702</v>
      </c>
      <c r="I514" s="1" t="s">
        <v>1182</v>
      </c>
      <c r="Q514" s="1" t="s">
        <v>559</v>
      </c>
      <c r="R514" s="1" t="s">
        <v>559</v>
      </c>
      <c r="S514" s="1" t="s">
        <v>568</v>
      </c>
    </row>
    <row r="515" spans="1:19" x14ac:dyDescent="0.25">
      <c r="A515" s="1">
        <v>1920917890000</v>
      </c>
      <c r="B515" s="1" t="s">
        <v>559</v>
      </c>
      <c r="C515" s="1" t="s">
        <v>1694</v>
      </c>
      <c r="E515" s="1" t="s">
        <v>559</v>
      </c>
      <c r="F515" s="1">
        <v>1920917890000</v>
      </c>
      <c r="G515" s="1" t="s">
        <v>569</v>
      </c>
      <c r="H515" s="1" t="s">
        <v>1703</v>
      </c>
      <c r="I515" s="1" t="s">
        <v>1182</v>
      </c>
      <c r="Q515" s="1" t="s">
        <v>559</v>
      </c>
      <c r="R515" s="1" t="s">
        <v>559</v>
      </c>
      <c r="S515" s="1" t="s">
        <v>569</v>
      </c>
    </row>
    <row r="516" spans="1:19" x14ac:dyDescent="0.25">
      <c r="A516" s="1">
        <v>1920917900000</v>
      </c>
      <c r="B516" s="1" t="s">
        <v>559</v>
      </c>
      <c r="C516" s="1" t="s">
        <v>1694</v>
      </c>
      <c r="E516" s="1" t="s">
        <v>559</v>
      </c>
      <c r="F516" s="1">
        <v>1920917900000</v>
      </c>
      <c r="G516" s="1" t="s">
        <v>570</v>
      </c>
      <c r="H516" s="1" t="s">
        <v>1704</v>
      </c>
      <c r="I516" s="1" t="s">
        <v>1182</v>
      </c>
      <c r="Q516" s="1" t="s">
        <v>559</v>
      </c>
      <c r="R516" s="1" t="s">
        <v>559</v>
      </c>
      <c r="S516" s="1" t="s">
        <v>570</v>
      </c>
    </row>
    <row r="517" spans="1:19" x14ac:dyDescent="0.25">
      <c r="A517" s="1">
        <v>1920917910000</v>
      </c>
      <c r="B517" s="1" t="s">
        <v>559</v>
      </c>
      <c r="C517" s="1" t="s">
        <v>1694</v>
      </c>
      <c r="E517" s="1" t="s">
        <v>559</v>
      </c>
      <c r="F517" s="1">
        <v>1920917910000</v>
      </c>
      <c r="G517" s="1" t="s">
        <v>571</v>
      </c>
      <c r="H517" s="1" t="s">
        <v>1705</v>
      </c>
      <c r="I517" s="1" t="s">
        <v>1182</v>
      </c>
      <c r="Q517" s="1" t="s">
        <v>559</v>
      </c>
      <c r="R517" s="1" t="s">
        <v>559</v>
      </c>
      <c r="S517" s="1" t="s">
        <v>571</v>
      </c>
    </row>
    <row r="518" spans="1:19" x14ac:dyDescent="0.25">
      <c r="A518" s="1">
        <v>1920917980000</v>
      </c>
      <c r="B518" s="1" t="s">
        <v>559</v>
      </c>
      <c r="C518" s="1" t="s">
        <v>1694</v>
      </c>
      <c r="E518" s="1" t="s">
        <v>559</v>
      </c>
      <c r="F518" s="1">
        <v>1920917980000</v>
      </c>
      <c r="G518" s="1" t="s">
        <v>572</v>
      </c>
      <c r="H518" s="1" t="s">
        <v>1706</v>
      </c>
      <c r="I518" s="1" t="s">
        <v>1182</v>
      </c>
      <c r="Q518" s="1" t="s">
        <v>559</v>
      </c>
      <c r="R518" s="1" t="s">
        <v>559</v>
      </c>
      <c r="S518" s="1" t="s">
        <v>572</v>
      </c>
    </row>
    <row r="519" spans="1:19" x14ac:dyDescent="0.25">
      <c r="A519" s="1">
        <v>1920918020000</v>
      </c>
      <c r="B519" s="1" t="s">
        <v>559</v>
      </c>
      <c r="C519" s="1" t="s">
        <v>1694</v>
      </c>
      <c r="E519" s="1" t="s">
        <v>559</v>
      </c>
      <c r="F519" s="1">
        <v>1920918020000</v>
      </c>
      <c r="G519" s="1" t="s">
        <v>573</v>
      </c>
      <c r="H519" s="1" t="s">
        <v>1707</v>
      </c>
      <c r="I519" s="1" t="s">
        <v>1182</v>
      </c>
      <c r="Q519" s="1" t="s">
        <v>559</v>
      </c>
      <c r="R519" s="1" t="s">
        <v>559</v>
      </c>
      <c r="S519" s="1" t="s">
        <v>573</v>
      </c>
    </row>
    <row r="520" spans="1:19" x14ac:dyDescent="0.25">
      <c r="A520" s="1">
        <v>1920924900000</v>
      </c>
      <c r="B520" s="1" t="s">
        <v>559</v>
      </c>
      <c r="C520" s="1" t="s">
        <v>1694</v>
      </c>
      <c r="E520" s="1" t="s">
        <v>559</v>
      </c>
      <c r="F520" s="1">
        <v>1920924900000</v>
      </c>
      <c r="G520" s="1" t="s">
        <v>574</v>
      </c>
      <c r="H520" s="1" t="s">
        <v>1708</v>
      </c>
      <c r="I520" s="1" t="s">
        <v>1182</v>
      </c>
      <c r="Q520" s="1" t="s">
        <v>559</v>
      </c>
      <c r="R520" s="1" t="s">
        <v>559</v>
      </c>
      <c r="S520" s="1" t="s">
        <v>574</v>
      </c>
    </row>
    <row r="521" spans="1:19" x14ac:dyDescent="0.25">
      <c r="A521" s="1">
        <v>1920929470000</v>
      </c>
      <c r="B521" s="1" t="s">
        <v>559</v>
      </c>
      <c r="C521" s="1" t="s">
        <v>1694</v>
      </c>
      <c r="E521" s="1" t="s">
        <v>559</v>
      </c>
      <c r="F521" s="1">
        <v>1920929470000</v>
      </c>
      <c r="G521" s="1" t="s">
        <v>575</v>
      </c>
      <c r="H521" s="1" t="s">
        <v>1709</v>
      </c>
      <c r="I521" s="1" t="s">
        <v>1182</v>
      </c>
      <c r="Q521" s="1" t="s">
        <v>559</v>
      </c>
      <c r="R521" s="1" t="s">
        <v>559</v>
      </c>
      <c r="S521" s="1" t="s">
        <v>575</v>
      </c>
    </row>
    <row r="522" spans="1:19" x14ac:dyDescent="0.25">
      <c r="A522" s="1">
        <v>1920931620000</v>
      </c>
      <c r="B522" s="1" t="s">
        <v>559</v>
      </c>
      <c r="C522" s="1" t="s">
        <v>1694</v>
      </c>
      <c r="E522" s="1" t="s">
        <v>559</v>
      </c>
      <c r="F522" s="1">
        <v>1920931620000</v>
      </c>
      <c r="G522" s="1" t="s">
        <v>258</v>
      </c>
      <c r="H522" s="1" t="s">
        <v>1710</v>
      </c>
      <c r="I522" s="1" t="s">
        <v>1182</v>
      </c>
      <c r="Q522" s="1" t="s">
        <v>559</v>
      </c>
      <c r="R522" s="1" t="s">
        <v>559</v>
      </c>
      <c r="S522" s="1" t="s">
        <v>258</v>
      </c>
    </row>
    <row r="523" spans="1:19" x14ac:dyDescent="0.25">
      <c r="A523" s="1">
        <v>1920932090000</v>
      </c>
      <c r="B523" s="1" t="s">
        <v>559</v>
      </c>
      <c r="C523" s="1" t="s">
        <v>1694</v>
      </c>
      <c r="E523" s="1" t="s">
        <v>559</v>
      </c>
      <c r="F523" s="1">
        <v>1920932090000</v>
      </c>
      <c r="G523" s="1" t="s">
        <v>576</v>
      </c>
      <c r="H523" s="1" t="s">
        <v>1711</v>
      </c>
      <c r="I523" s="1" t="s">
        <v>1182</v>
      </c>
      <c r="Q523" s="1" t="s">
        <v>559</v>
      </c>
      <c r="R523" s="1" t="s">
        <v>559</v>
      </c>
      <c r="S523" s="1" t="s">
        <v>576</v>
      </c>
    </row>
    <row r="524" spans="1:19" x14ac:dyDescent="0.25">
      <c r="A524" s="1">
        <v>1920919180000</v>
      </c>
      <c r="B524" s="1" t="s">
        <v>559</v>
      </c>
      <c r="C524" s="1" t="s">
        <v>1694</v>
      </c>
      <c r="E524" s="1" t="s">
        <v>577</v>
      </c>
      <c r="F524" s="1">
        <v>1920919180000</v>
      </c>
      <c r="G524" s="1" t="s">
        <v>578</v>
      </c>
      <c r="H524" s="1" t="s">
        <v>1712</v>
      </c>
      <c r="I524" s="1" t="s">
        <v>1182</v>
      </c>
      <c r="Q524" s="1" t="s">
        <v>559</v>
      </c>
      <c r="R524" s="1" t="s">
        <v>577</v>
      </c>
      <c r="S524" s="1" t="s">
        <v>578</v>
      </c>
    </row>
    <row r="525" spans="1:19" x14ac:dyDescent="0.25">
      <c r="A525" s="1">
        <v>1920919180001</v>
      </c>
      <c r="B525" s="1" t="s">
        <v>559</v>
      </c>
      <c r="C525" s="1" t="s">
        <v>1694</v>
      </c>
      <c r="E525" s="1" t="s">
        <v>577</v>
      </c>
      <c r="F525" s="1">
        <v>1920919180001</v>
      </c>
      <c r="G525" s="1" t="s">
        <v>579</v>
      </c>
      <c r="H525" s="1" t="s">
        <v>1713</v>
      </c>
      <c r="I525" s="1" t="s">
        <v>1182</v>
      </c>
      <c r="Q525" s="1" t="s">
        <v>559</v>
      </c>
      <c r="R525" s="1" t="s">
        <v>577</v>
      </c>
      <c r="S525" s="1" t="s">
        <v>579</v>
      </c>
    </row>
    <row r="526" spans="1:19" x14ac:dyDescent="0.25">
      <c r="A526" s="1">
        <v>1920915660000</v>
      </c>
      <c r="B526" s="1" t="s">
        <v>559</v>
      </c>
      <c r="C526" s="1" t="s">
        <v>1694</v>
      </c>
      <c r="E526" s="1" t="s">
        <v>580</v>
      </c>
      <c r="F526" s="1">
        <v>1920915660000</v>
      </c>
      <c r="G526" s="1" t="s">
        <v>581</v>
      </c>
      <c r="H526" s="1" t="s">
        <v>1714</v>
      </c>
      <c r="I526" s="1" t="s">
        <v>1182</v>
      </c>
      <c r="Q526" s="1" t="s">
        <v>559</v>
      </c>
      <c r="R526" s="1" t="s">
        <v>580</v>
      </c>
      <c r="S526" s="1" t="s">
        <v>581</v>
      </c>
    </row>
    <row r="527" spans="1:19" x14ac:dyDescent="0.25">
      <c r="A527" s="1">
        <v>1920915670000</v>
      </c>
      <c r="B527" s="1" t="s">
        <v>559</v>
      </c>
      <c r="C527" s="1" t="s">
        <v>1694</v>
      </c>
      <c r="E527" s="1" t="s">
        <v>580</v>
      </c>
      <c r="F527" s="1">
        <v>1920915670000</v>
      </c>
      <c r="G527" s="1" t="s">
        <v>582</v>
      </c>
      <c r="H527" s="1" t="s">
        <v>1715</v>
      </c>
      <c r="I527" s="1" t="s">
        <v>1182</v>
      </c>
      <c r="Q527" s="1" t="s">
        <v>559</v>
      </c>
      <c r="R527" s="1" t="s">
        <v>580</v>
      </c>
      <c r="S527" s="1" t="s">
        <v>582</v>
      </c>
    </row>
    <row r="528" spans="1:19" x14ac:dyDescent="0.25">
      <c r="A528" s="1">
        <v>1920936250000</v>
      </c>
      <c r="B528" s="1" t="s">
        <v>559</v>
      </c>
      <c r="C528" s="1" t="s">
        <v>1694</v>
      </c>
      <c r="E528" s="1" t="s">
        <v>580</v>
      </c>
      <c r="F528" s="1">
        <v>1920936250000</v>
      </c>
      <c r="G528" s="1" t="s">
        <v>583</v>
      </c>
      <c r="H528" s="1" t="s">
        <v>1716</v>
      </c>
      <c r="I528" s="1" t="s">
        <v>1182</v>
      </c>
      <c r="Q528" s="1" t="s">
        <v>559</v>
      </c>
      <c r="R528" s="1" t="s">
        <v>580</v>
      </c>
      <c r="S528" s="1" t="s">
        <v>583</v>
      </c>
    </row>
    <row r="529" spans="1:19" x14ac:dyDescent="0.25">
      <c r="A529" s="1">
        <v>1920937570000</v>
      </c>
      <c r="B529" s="1" t="s">
        <v>559</v>
      </c>
      <c r="C529" s="1" t="s">
        <v>1694</v>
      </c>
      <c r="E529" s="1" t="s">
        <v>580</v>
      </c>
      <c r="F529" s="1">
        <v>1920937570000</v>
      </c>
      <c r="G529" s="1" t="s">
        <v>584</v>
      </c>
      <c r="H529" s="1" t="s">
        <v>1717</v>
      </c>
      <c r="I529" s="1" t="s">
        <v>1182</v>
      </c>
      <c r="Q529" s="1" t="s">
        <v>559</v>
      </c>
      <c r="R529" s="1" t="s">
        <v>580</v>
      </c>
      <c r="S529" s="1" t="s">
        <v>584</v>
      </c>
    </row>
    <row r="530" spans="1:19" x14ac:dyDescent="0.25">
      <c r="A530" s="1">
        <v>1920919350000</v>
      </c>
      <c r="B530" s="1" t="s">
        <v>559</v>
      </c>
      <c r="C530" s="1" t="s">
        <v>1694</v>
      </c>
      <c r="E530" s="1" t="s">
        <v>585</v>
      </c>
      <c r="F530" s="1">
        <v>1920919350000</v>
      </c>
      <c r="G530" s="1" t="s">
        <v>586</v>
      </c>
      <c r="H530" s="1" t="s">
        <v>1718</v>
      </c>
      <c r="I530" s="1" t="s">
        <v>1182</v>
      </c>
      <c r="Q530" s="1" t="s">
        <v>559</v>
      </c>
      <c r="R530" s="1" t="s">
        <v>585</v>
      </c>
      <c r="S530" s="1" t="s">
        <v>586</v>
      </c>
    </row>
    <row r="531" spans="1:19" x14ac:dyDescent="0.25">
      <c r="A531" s="1">
        <v>1920919350001</v>
      </c>
      <c r="B531" s="1" t="s">
        <v>559</v>
      </c>
      <c r="C531" s="1" t="s">
        <v>1694</v>
      </c>
      <c r="E531" s="1" t="s">
        <v>585</v>
      </c>
      <c r="F531" s="1">
        <v>1920919350001</v>
      </c>
      <c r="G531" s="1" t="s">
        <v>587</v>
      </c>
      <c r="H531" s="1" t="s">
        <v>1719</v>
      </c>
      <c r="I531" s="1" t="s">
        <v>1182</v>
      </c>
      <c r="Q531" s="1" t="s">
        <v>559</v>
      </c>
      <c r="R531" s="1" t="s">
        <v>585</v>
      </c>
      <c r="S531" s="1" t="s">
        <v>587</v>
      </c>
    </row>
    <row r="532" spans="1:19" x14ac:dyDescent="0.25">
      <c r="A532" s="1">
        <v>1920918230000</v>
      </c>
      <c r="B532" s="1" t="s">
        <v>559</v>
      </c>
      <c r="C532" s="1" t="s">
        <v>1694</v>
      </c>
      <c r="E532" s="1" t="s">
        <v>588</v>
      </c>
      <c r="F532" s="1">
        <v>1920918230000</v>
      </c>
      <c r="G532" s="1" t="s">
        <v>589</v>
      </c>
      <c r="H532" s="1" t="s">
        <v>1720</v>
      </c>
      <c r="I532" s="1" t="s">
        <v>1182</v>
      </c>
      <c r="Q532" s="1" t="s">
        <v>559</v>
      </c>
      <c r="R532" s="1" t="s">
        <v>588</v>
      </c>
      <c r="S532" s="1" t="s">
        <v>589</v>
      </c>
    </row>
    <row r="533" spans="1:19" x14ac:dyDescent="0.25">
      <c r="A533" s="1">
        <v>1920918270000</v>
      </c>
      <c r="B533" s="1" t="s">
        <v>559</v>
      </c>
      <c r="C533" s="1" t="s">
        <v>1694</v>
      </c>
      <c r="E533" s="1" t="s">
        <v>588</v>
      </c>
      <c r="F533" s="1">
        <v>1920918270000</v>
      </c>
      <c r="G533" s="1" t="s">
        <v>590</v>
      </c>
      <c r="H533" s="1" t="s">
        <v>1721</v>
      </c>
      <c r="I533" s="1" t="s">
        <v>1182</v>
      </c>
      <c r="Q533" s="1" t="s">
        <v>559</v>
      </c>
      <c r="R533" s="1" t="s">
        <v>588</v>
      </c>
      <c r="S533" s="1" t="s">
        <v>590</v>
      </c>
    </row>
    <row r="534" spans="1:19" x14ac:dyDescent="0.25">
      <c r="A534" s="1">
        <v>1920918240000</v>
      </c>
      <c r="B534" s="1" t="s">
        <v>559</v>
      </c>
      <c r="C534" s="1" t="s">
        <v>1694</v>
      </c>
      <c r="E534" s="1" t="s">
        <v>591</v>
      </c>
      <c r="F534" s="1">
        <v>1920918240000</v>
      </c>
      <c r="G534" s="1" t="s">
        <v>592</v>
      </c>
      <c r="H534" s="1" t="s">
        <v>1722</v>
      </c>
      <c r="I534" s="1" t="s">
        <v>1182</v>
      </c>
      <c r="Q534" s="1" t="s">
        <v>559</v>
      </c>
      <c r="R534" s="1" t="s">
        <v>591</v>
      </c>
      <c r="S534" s="1" t="s">
        <v>592</v>
      </c>
    </row>
    <row r="535" spans="1:19" x14ac:dyDescent="0.25">
      <c r="A535" s="1">
        <v>1920918250000</v>
      </c>
      <c r="B535" s="1" t="s">
        <v>559</v>
      </c>
      <c r="C535" s="1" t="s">
        <v>1694</v>
      </c>
      <c r="E535" s="1" t="s">
        <v>591</v>
      </c>
      <c r="F535" s="1">
        <v>1920918250000</v>
      </c>
      <c r="G535" s="1" t="s">
        <v>593</v>
      </c>
      <c r="H535" s="1" t="s">
        <v>1723</v>
      </c>
      <c r="I535" s="1" t="s">
        <v>1182</v>
      </c>
      <c r="Q535" s="1" t="s">
        <v>559</v>
      </c>
      <c r="R535" s="1" t="s">
        <v>591</v>
      </c>
      <c r="S535" s="1" t="s">
        <v>593</v>
      </c>
    </row>
    <row r="536" spans="1:19" x14ac:dyDescent="0.25">
      <c r="A536" s="1">
        <v>1920929120000</v>
      </c>
      <c r="B536" s="1" t="s">
        <v>559</v>
      </c>
      <c r="C536" s="1" t="s">
        <v>1694</v>
      </c>
      <c r="E536" s="1" t="s">
        <v>591</v>
      </c>
      <c r="F536" s="1">
        <v>1920929120000</v>
      </c>
      <c r="G536" s="1" t="s">
        <v>594</v>
      </c>
      <c r="H536" s="1" t="s">
        <v>1724</v>
      </c>
      <c r="I536" s="1" t="s">
        <v>1182</v>
      </c>
      <c r="Q536" s="1" t="s">
        <v>559</v>
      </c>
      <c r="R536" s="1" t="s">
        <v>591</v>
      </c>
      <c r="S536" s="1" t="s">
        <v>594</v>
      </c>
    </row>
    <row r="537" spans="1:19" x14ac:dyDescent="0.25">
      <c r="A537" s="1">
        <v>1920918460000</v>
      </c>
      <c r="B537" s="1" t="s">
        <v>559</v>
      </c>
      <c r="C537" s="1" t="s">
        <v>1694</v>
      </c>
      <c r="E537" s="1" t="s">
        <v>595</v>
      </c>
      <c r="F537" s="1">
        <v>1920918460000</v>
      </c>
      <c r="G537" s="1" t="s">
        <v>596</v>
      </c>
      <c r="H537" s="1" t="s">
        <v>1725</v>
      </c>
      <c r="I537" s="1" t="s">
        <v>1182</v>
      </c>
      <c r="Q537" s="1" t="s">
        <v>559</v>
      </c>
      <c r="R537" s="1" t="s">
        <v>595</v>
      </c>
      <c r="S537" s="1" t="s">
        <v>596</v>
      </c>
    </row>
    <row r="538" spans="1:19" x14ac:dyDescent="0.25">
      <c r="A538" s="1">
        <v>1920918470000</v>
      </c>
      <c r="B538" s="1" t="s">
        <v>559</v>
      </c>
      <c r="C538" s="1" t="s">
        <v>1694</v>
      </c>
      <c r="E538" s="1" t="s">
        <v>595</v>
      </c>
      <c r="F538" s="1">
        <v>1920918470000</v>
      </c>
      <c r="G538" s="1" t="s">
        <v>256</v>
      </c>
      <c r="H538" s="1" t="s">
        <v>1726</v>
      </c>
      <c r="I538" s="1" t="s">
        <v>1182</v>
      </c>
      <c r="Q538" s="1" t="s">
        <v>559</v>
      </c>
      <c r="R538" s="1" t="s">
        <v>595</v>
      </c>
      <c r="S538" s="1" t="s">
        <v>256</v>
      </c>
    </row>
    <row r="539" spans="1:19" x14ac:dyDescent="0.25">
      <c r="A539" s="1">
        <v>1920918480000</v>
      </c>
      <c r="B539" s="1" t="s">
        <v>559</v>
      </c>
      <c r="C539" s="1" t="s">
        <v>1694</v>
      </c>
      <c r="E539" s="1" t="s">
        <v>595</v>
      </c>
      <c r="F539" s="1">
        <v>1920918480000</v>
      </c>
      <c r="G539" s="1" t="s">
        <v>597</v>
      </c>
      <c r="H539" s="1" t="s">
        <v>1727</v>
      </c>
      <c r="I539" s="1" t="s">
        <v>1182</v>
      </c>
      <c r="Q539" s="1" t="s">
        <v>559</v>
      </c>
      <c r="R539" s="1" t="s">
        <v>595</v>
      </c>
      <c r="S539" s="1" t="s">
        <v>597</v>
      </c>
    </row>
    <row r="540" spans="1:19" x14ac:dyDescent="0.25">
      <c r="A540" s="1">
        <v>1920918490000</v>
      </c>
      <c r="B540" s="1" t="s">
        <v>559</v>
      </c>
      <c r="C540" s="1" t="s">
        <v>1694</v>
      </c>
      <c r="E540" s="1" t="s">
        <v>595</v>
      </c>
      <c r="F540" s="1">
        <v>1920918490000</v>
      </c>
      <c r="G540" s="1" t="s">
        <v>598</v>
      </c>
      <c r="H540" s="1" t="s">
        <v>1728</v>
      </c>
      <c r="I540" s="1" t="s">
        <v>1182</v>
      </c>
      <c r="Q540" s="1" t="s">
        <v>559</v>
      </c>
      <c r="R540" s="1" t="s">
        <v>595</v>
      </c>
      <c r="S540" s="1" t="s">
        <v>598</v>
      </c>
    </row>
    <row r="541" spans="1:19" x14ac:dyDescent="0.25">
      <c r="A541" s="1">
        <v>1920918500000</v>
      </c>
      <c r="B541" s="1" t="s">
        <v>559</v>
      </c>
      <c r="C541" s="1" t="s">
        <v>1694</v>
      </c>
      <c r="E541" s="1" t="s">
        <v>595</v>
      </c>
      <c r="F541" s="1">
        <v>1920918500000</v>
      </c>
      <c r="G541" s="1" t="s">
        <v>599</v>
      </c>
      <c r="H541" s="1" t="s">
        <v>1729</v>
      </c>
      <c r="I541" s="1" t="s">
        <v>1182</v>
      </c>
      <c r="Q541" s="1" t="s">
        <v>559</v>
      </c>
      <c r="R541" s="1" t="s">
        <v>595</v>
      </c>
      <c r="S541" s="1" t="s">
        <v>599</v>
      </c>
    </row>
    <row r="542" spans="1:19" x14ac:dyDescent="0.25">
      <c r="A542" s="1">
        <v>1920918510000</v>
      </c>
      <c r="B542" s="1" t="s">
        <v>559</v>
      </c>
      <c r="C542" s="1" t="s">
        <v>1694</v>
      </c>
      <c r="E542" s="1" t="s">
        <v>595</v>
      </c>
      <c r="F542" s="1">
        <v>1920918510000</v>
      </c>
      <c r="G542" s="1" t="s">
        <v>600</v>
      </c>
      <c r="H542" s="1" t="s">
        <v>1730</v>
      </c>
      <c r="I542" s="1" t="s">
        <v>1182</v>
      </c>
      <c r="Q542" s="1" t="s">
        <v>559</v>
      </c>
      <c r="R542" s="1" t="s">
        <v>595</v>
      </c>
      <c r="S542" s="1" t="s">
        <v>600</v>
      </c>
    </row>
    <row r="543" spans="1:19" x14ac:dyDescent="0.25">
      <c r="A543" s="1">
        <v>1920918560000</v>
      </c>
      <c r="B543" s="1" t="s">
        <v>559</v>
      </c>
      <c r="C543" s="1" t="s">
        <v>1694</v>
      </c>
      <c r="E543" s="1" t="s">
        <v>595</v>
      </c>
      <c r="F543" s="1">
        <v>1920918560000</v>
      </c>
      <c r="G543" s="1" t="s">
        <v>601</v>
      </c>
      <c r="H543" s="1" t="s">
        <v>1731</v>
      </c>
      <c r="I543" s="1" t="s">
        <v>1182</v>
      </c>
      <c r="Q543" s="1" t="s">
        <v>559</v>
      </c>
      <c r="R543" s="1" t="s">
        <v>595</v>
      </c>
      <c r="S543" s="1" t="s">
        <v>601</v>
      </c>
    </row>
    <row r="544" spans="1:19" x14ac:dyDescent="0.25">
      <c r="A544" s="1">
        <v>1920931790000</v>
      </c>
      <c r="B544" s="1" t="s">
        <v>559</v>
      </c>
      <c r="C544" s="1" t="s">
        <v>1694</v>
      </c>
      <c r="E544" s="1" t="s">
        <v>595</v>
      </c>
      <c r="F544" s="1">
        <v>1920931790000</v>
      </c>
      <c r="G544" s="1" t="s">
        <v>602</v>
      </c>
      <c r="H544" s="1" t="s">
        <v>1732</v>
      </c>
      <c r="I544" s="1" t="s">
        <v>1182</v>
      </c>
      <c r="Q544" s="1" t="s">
        <v>559</v>
      </c>
      <c r="R544" s="1" t="s">
        <v>595</v>
      </c>
      <c r="S544" s="1" t="s">
        <v>602</v>
      </c>
    </row>
    <row r="545" spans="1:19" x14ac:dyDescent="0.25">
      <c r="A545" s="1">
        <v>1920934570000</v>
      </c>
      <c r="B545" s="1" t="s">
        <v>559</v>
      </c>
      <c r="C545" s="1" t="s">
        <v>1694</v>
      </c>
      <c r="E545" s="1" t="s">
        <v>595</v>
      </c>
      <c r="F545" s="1">
        <v>1920934570000</v>
      </c>
      <c r="G545" s="1" t="s">
        <v>603</v>
      </c>
      <c r="H545" s="1" t="s">
        <v>1733</v>
      </c>
      <c r="I545" s="1" t="s">
        <v>1182</v>
      </c>
      <c r="Q545" s="1" t="s">
        <v>559</v>
      </c>
      <c r="R545" s="1" t="s">
        <v>595</v>
      </c>
      <c r="S545" s="1" t="s">
        <v>603</v>
      </c>
    </row>
    <row r="546" spans="1:19" x14ac:dyDescent="0.25">
      <c r="A546" s="1">
        <v>1920915680000</v>
      </c>
      <c r="B546" s="1" t="s">
        <v>559</v>
      </c>
      <c r="C546" s="1" t="s">
        <v>1694</v>
      </c>
      <c r="E546" s="1" t="s">
        <v>604</v>
      </c>
      <c r="F546" s="1">
        <v>1920915680000</v>
      </c>
      <c r="G546" s="1" t="s">
        <v>605</v>
      </c>
      <c r="H546" s="1" t="s">
        <v>1734</v>
      </c>
      <c r="I546" s="1" t="s">
        <v>1182</v>
      </c>
      <c r="Q546" s="1" t="s">
        <v>559</v>
      </c>
      <c r="R546" s="1" t="s">
        <v>604</v>
      </c>
      <c r="S546" s="1" t="s">
        <v>605</v>
      </c>
    </row>
    <row r="547" spans="1:19" x14ac:dyDescent="0.25">
      <c r="A547" s="1">
        <v>1920937130000</v>
      </c>
      <c r="B547" s="1" t="s">
        <v>559</v>
      </c>
      <c r="C547" s="1" t="s">
        <v>1694</v>
      </c>
      <c r="E547" s="1" t="s">
        <v>606</v>
      </c>
      <c r="F547" s="1">
        <v>1920937130000</v>
      </c>
      <c r="G547" s="1" t="s">
        <v>607</v>
      </c>
      <c r="H547" s="1" t="s">
        <v>1735</v>
      </c>
      <c r="I547" s="1" t="s">
        <v>1182</v>
      </c>
      <c r="Q547" s="1" t="s">
        <v>559</v>
      </c>
      <c r="R547" s="1" t="s">
        <v>606</v>
      </c>
      <c r="S547" s="1" t="s">
        <v>607</v>
      </c>
    </row>
    <row r="548" spans="1:19" x14ac:dyDescent="0.25">
      <c r="A548" s="1">
        <v>1920918280000</v>
      </c>
      <c r="B548" s="1" t="s">
        <v>559</v>
      </c>
      <c r="C548" s="1" t="s">
        <v>1694</v>
      </c>
      <c r="E548" s="1" t="s">
        <v>608</v>
      </c>
      <c r="F548" s="1">
        <v>1920918280000</v>
      </c>
      <c r="G548" s="1" t="s">
        <v>609</v>
      </c>
      <c r="H548" s="1" t="s">
        <v>1736</v>
      </c>
      <c r="I548" s="1" t="s">
        <v>1182</v>
      </c>
      <c r="Q548" s="1" t="s">
        <v>559</v>
      </c>
      <c r="R548" s="1" t="s">
        <v>608</v>
      </c>
      <c r="S548" s="1" t="s">
        <v>609</v>
      </c>
    </row>
    <row r="549" spans="1:19" x14ac:dyDescent="0.25">
      <c r="A549" s="1">
        <v>1920901470000</v>
      </c>
      <c r="B549" s="1" t="s">
        <v>610</v>
      </c>
      <c r="C549" s="1" t="s">
        <v>1737</v>
      </c>
      <c r="E549" s="1" t="s">
        <v>610</v>
      </c>
      <c r="F549" s="1">
        <v>1920901470000</v>
      </c>
      <c r="G549" s="1" t="s">
        <v>611</v>
      </c>
      <c r="H549" s="1" t="s">
        <v>1738</v>
      </c>
      <c r="I549" s="1" t="s">
        <v>1182</v>
      </c>
      <c r="Q549" s="1" t="s">
        <v>610</v>
      </c>
      <c r="R549" s="1" t="s">
        <v>610</v>
      </c>
      <c r="S549" s="1" t="s">
        <v>611</v>
      </c>
    </row>
    <row r="550" spans="1:19" x14ac:dyDescent="0.25">
      <c r="A550" s="1">
        <v>1920916130000</v>
      </c>
      <c r="B550" s="1" t="s">
        <v>610</v>
      </c>
      <c r="C550" s="1" t="s">
        <v>1737</v>
      </c>
      <c r="E550" s="1" t="s">
        <v>610</v>
      </c>
      <c r="F550" s="1">
        <v>1920916130000</v>
      </c>
      <c r="G550" s="1" t="s">
        <v>612</v>
      </c>
      <c r="H550" s="1" t="s">
        <v>1739</v>
      </c>
      <c r="I550" s="1" t="s">
        <v>1182</v>
      </c>
      <c r="Q550" s="1" t="s">
        <v>610</v>
      </c>
      <c r="R550" s="1" t="s">
        <v>610</v>
      </c>
      <c r="S550" s="1" t="s">
        <v>612</v>
      </c>
    </row>
    <row r="551" spans="1:19" x14ac:dyDescent="0.25">
      <c r="A551" s="1">
        <v>1920916130003</v>
      </c>
      <c r="B551" s="1" t="s">
        <v>610</v>
      </c>
      <c r="C551" s="1" t="s">
        <v>1737</v>
      </c>
      <c r="E551" s="1" t="s">
        <v>610</v>
      </c>
      <c r="F551" s="1">
        <v>1920916130003</v>
      </c>
      <c r="G551" s="1" t="s">
        <v>613</v>
      </c>
      <c r="H551" s="1" t="s">
        <v>1740</v>
      </c>
      <c r="I551" s="1" t="s">
        <v>1182</v>
      </c>
      <c r="Q551" s="1" t="s">
        <v>610</v>
      </c>
      <c r="R551" s="1" t="s">
        <v>610</v>
      </c>
      <c r="S551" s="1" t="s">
        <v>613</v>
      </c>
    </row>
    <row r="552" spans="1:19" x14ac:dyDescent="0.25">
      <c r="A552" s="1">
        <v>1920916130006</v>
      </c>
      <c r="B552" s="1" t="s">
        <v>610</v>
      </c>
      <c r="C552" s="1" t="s">
        <v>1737</v>
      </c>
      <c r="E552" s="1" t="s">
        <v>610</v>
      </c>
      <c r="F552" s="1">
        <v>1920916130006</v>
      </c>
      <c r="G552" s="1" t="s">
        <v>614</v>
      </c>
      <c r="H552" s="1" t="s">
        <v>1741</v>
      </c>
      <c r="I552" s="1" t="s">
        <v>1182</v>
      </c>
      <c r="Q552" s="1" t="s">
        <v>610</v>
      </c>
      <c r="R552" s="1" t="s">
        <v>610</v>
      </c>
      <c r="S552" s="1" t="s">
        <v>614</v>
      </c>
    </row>
    <row r="553" spans="1:19" x14ac:dyDescent="0.25">
      <c r="A553" s="1">
        <v>1920916130007</v>
      </c>
      <c r="B553" s="1" t="s">
        <v>610</v>
      </c>
      <c r="C553" s="1" t="s">
        <v>1737</v>
      </c>
      <c r="E553" s="1" t="s">
        <v>610</v>
      </c>
      <c r="F553" s="1">
        <v>1920916130007</v>
      </c>
      <c r="G553" s="1" t="s">
        <v>615</v>
      </c>
      <c r="H553" s="1" t="s">
        <v>1742</v>
      </c>
      <c r="I553" s="1" t="s">
        <v>1182</v>
      </c>
      <c r="Q553" s="1" t="s">
        <v>610</v>
      </c>
      <c r="R553" s="1" t="s">
        <v>610</v>
      </c>
      <c r="S553" s="1" t="s">
        <v>615</v>
      </c>
    </row>
    <row r="554" spans="1:19" x14ac:dyDescent="0.25">
      <c r="A554" s="1">
        <v>1920916190000</v>
      </c>
      <c r="B554" s="1" t="s">
        <v>610</v>
      </c>
      <c r="C554" s="1" t="s">
        <v>1737</v>
      </c>
      <c r="E554" s="1" t="s">
        <v>610</v>
      </c>
      <c r="F554" s="1">
        <v>1920916190000</v>
      </c>
      <c r="G554" s="1" t="s">
        <v>616</v>
      </c>
      <c r="H554" s="1" t="s">
        <v>1743</v>
      </c>
      <c r="I554" s="1" t="s">
        <v>1182</v>
      </c>
      <c r="Q554" s="1" t="s">
        <v>610</v>
      </c>
      <c r="R554" s="1" t="s">
        <v>610</v>
      </c>
      <c r="S554" s="1" t="s">
        <v>616</v>
      </c>
    </row>
    <row r="555" spans="1:19" x14ac:dyDescent="0.25">
      <c r="A555" s="1">
        <v>1921039000000</v>
      </c>
      <c r="B555" s="1" t="s">
        <v>610</v>
      </c>
      <c r="C555" s="1" t="s">
        <v>1737</v>
      </c>
      <c r="E555" s="1" t="s">
        <v>610</v>
      </c>
      <c r="F555" s="1">
        <v>1921039000000</v>
      </c>
      <c r="G555" s="1" t="s">
        <v>617</v>
      </c>
      <c r="H555" s="1" t="s">
        <v>1744</v>
      </c>
      <c r="I555" s="1" t="s">
        <v>1204</v>
      </c>
      <c r="Q555" s="1" t="s">
        <v>610</v>
      </c>
      <c r="R555" s="1" t="s">
        <v>610</v>
      </c>
      <c r="S555" s="1" t="s">
        <v>617</v>
      </c>
    </row>
    <row r="556" spans="1:19" x14ac:dyDescent="0.25">
      <c r="A556" s="1">
        <v>1920916200000</v>
      </c>
      <c r="B556" s="1" t="s">
        <v>610</v>
      </c>
      <c r="C556" s="1" t="s">
        <v>1737</v>
      </c>
      <c r="E556" s="1" t="s">
        <v>610</v>
      </c>
      <c r="F556" s="1">
        <v>1920916200000</v>
      </c>
      <c r="G556" s="1" t="s">
        <v>618</v>
      </c>
      <c r="H556" s="1" t="s">
        <v>1745</v>
      </c>
      <c r="I556" s="1" t="s">
        <v>1182</v>
      </c>
      <c r="Q556" s="1" t="s">
        <v>610</v>
      </c>
      <c r="R556" s="1" t="s">
        <v>610</v>
      </c>
      <c r="S556" s="1" t="s">
        <v>618</v>
      </c>
    </row>
    <row r="557" spans="1:19" x14ac:dyDescent="0.25">
      <c r="A557" s="1">
        <v>1920916240000</v>
      </c>
      <c r="B557" s="1" t="s">
        <v>610</v>
      </c>
      <c r="C557" s="1" t="s">
        <v>1737</v>
      </c>
      <c r="E557" s="1" t="s">
        <v>610</v>
      </c>
      <c r="F557" s="1">
        <v>1920916240000</v>
      </c>
      <c r="G557" s="1" t="s">
        <v>619</v>
      </c>
      <c r="H557" s="1" t="s">
        <v>1746</v>
      </c>
      <c r="I557" s="1" t="s">
        <v>1182</v>
      </c>
      <c r="Q557" s="1" t="s">
        <v>610</v>
      </c>
      <c r="R557" s="1" t="s">
        <v>610</v>
      </c>
      <c r="S557" s="1" t="s">
        <v>619</v>
      </c>
    </row>
    <row r="558" spans="1:19" x14ac:dyDescent="0.25">
      <c r="A558" s="1">
        <v>1920916370000</v>
      </c>
      <c r="B558" s="1" t="s">
        <v>610</v>
      </c>
      <c r="C558" s="1" t="s">
        <v>1737</v>
      </c>
      <c r="E558" s="1" t="s">
        <v>610</v>
      </c>
      <c r="F558" s="1">
        <v>1920916370000</v>
      </c>
      <c r="G558" s="1" t="s">
        <v>620</v>
      </c>
      <c r="H558" s="1" t="s">
        <v>1747</v>
      </c>
      <c r="I558" s="1" t="s">
        <v>1182</v>
      </c>
      <c r="Q558" s="1" t="s">
        <v>610</v>
      </c>
      <c r="R558" s="1" t="s">
        <v>610</v>
      </c>
      <c r="S558" s="1" t="s">
        <v>620</v>
      </c>
    </row>
    <row r="559" spans="1:19" x14ac:dyDescent="0.25">
      <c r="A559" s="1">
        <v>1920928940000</v>
      </c>
      <c r="B559" s="1" t="s">
        <v>610</v>
      </c>
      <c r="C559" s="1" t="s">
        <v>1737</v>
      </c>
      <c r="E559" s="1" t="s">
        <v>610</v>
      </c>
      <c r="F559" s="1">
        <v>1920928940000</v>
      </c>
      <c r="G559" s="1" t="s">
        <v>621</v>
      </c>
      <c r="H559" s="1" t="s">
        <v>1748</v>
      </c>
      <c r="I559" s="1" t="s">
        <v>1182</v>
      </c>
      <c r="Q559" s="1" t="s">
        <v>610</v>
      </c>
      <c r="R559" s="1" t="s">
        <v>610</v>
      </c>
      <c r="S559" s="1" t="s">
        <v>621</v>
      </c>
    </row>
    <row r="560" spans="1:19" x14ac:dyDescent="0.25">
      <c r="A560" s="1">
        <v>1920936370000</v>
      </c>
      <c r="B560" s="1" t="s">
        <v>610</v>
      </c>
      <c r="C560" s="1" t="s">
        <v>1737</v>
      </c>
      <c r="E560" s="1" t="s">
        <v>610</v>
      </c>
      <c r="F560" s="1">
        <v>1920936370000</v>
      </c>
      <c r="G560" s="1" t="s">
        <v>622</v>
      </c>
      <c r="H560" s="1" t="s">
        <v>1749</v>
      </c>
      <c r="I560" s="1" t="s">
        <v>1182</v>
      </c>
      <c r="Q560" s="1" t="s">
        <v>610</v>
      </c>
      <c r="R560" s="1" t="s">
        <v>610</v>
      </c>
      <c r="S560" s="1" t="s">
        <v>622</v>
      </c>
    </row>
    <row r="561" spans="1:19" x14ac:dyDescent="0.25">
      <c r="A561" s="1">
        <v>1920936370001</v>
      </c>
      <c r="B561" s="1" t="s">
        <v>610</v>
      </c>
      <c r="C561" s="1" t="s">
        <v>1737</v>
      </c>
      <c r="E561" s="1" t="s">
        <v>610</v>
      </c>
      <c r="F561" s="1">
        <v>1920936370001</v>
      </c>
      <c r="G561" s="1" t="s">
        <v>623</v>
      </c>
      <c r="H561" s="1" t="s">
        <v>1750</v>
      </c>
      <c r="I561" s="1" t="s">
        <v>1182</v>
      </c>
      <c r="Q561" s="1" t="s">
        <v>610</v>
      </c>
      <c r="R561" s="1" t="s">
        <v>610</v>
      </c>
      <c r="S561" s="1" t="s">
        <v>623</v>
      </c>
    </row>
    <row r="562" spans="1:19" x14ac:dyDescent="0.25">
      <c r="A562" s="1">
        <v>1920937860000</v>
      </c>
      <c r="B562" s="1" t="s">
        <v>610</v>
      </c>
      <c r="C562" s="1" t="s">
        <v>1737</v>
      </c>
      <c r="E562" s="1" t="s">
        <v>610</v>
      </c>
      <c r="F562" s="1">
        <v>1920937860000</v>
      </c>
      <c r="G562" s="1" t="s">
        <v>624</v>
      </c>
      <c r="H562" s="1" t="s">
        <v>1751</v>
      </c>
      <c r="I562" s="1" t="s">
        <v>1182</v>
      </c>
      <c r="Q562" s="1" t="s">
        <v>610</v>
      </c>
      <c r="R562" s="1" t="s">
        <v>610</v>
      </c>
      <c r="S562" s="1" t="s">
        <v>624</v>
      </c>
    </row>
    <row r="563" spans="1:19" x14ac:dyDescent="0.25">
      <c r="A563" s="1">
        <v>1920952000000</v>
      </c>
      <c r="B563" s="1" t="s">
        <v>610</v>
      </c>
      <c r="C563" s="1" t="s">
        <v>1737</v>
      </c>
      <c r="E563" s="1" t="s">
        <v>610</v>
      </c>
      <c r="F563" s="1">
        <v>1920952000000</v>
      </c>
      <c r="G563" s="1" t="s">
        <v>625</v>
      </c>
      <c r="H563" s="1" t="s">
        <v>1752</v>
      </c>
      <c r="I563" s="1" t="s">
        <v>1182</v>
      </c>
      <c r="Q563" s="1" t="s">
        <v>610</v>
      </c>
      <c r="R563" s="1" t="s">
        <v>610</v>
      </c>
      <c r="S563" s="1" t="s">
        <v>625</v>
      </c>
    </row>
    <row r="564" spans="1:19" x14ac:dyDescent="0.25">
      <c r="A564" s="1">
        <v>1920915690000</v>
      </c>
      <c r="B564" s="1" t="s">
        <v>610</v>
      </c>
      <c r="C564" s="1" t="s">
        <v>1737</v>
      </c>
      <c r="E564" s="1" t="s">
        <v>626</v>
      </c>
      <c r="F564" s="1">
        <v>1920915690000</v>
      </c>
      <c r="G564" s="1" t="s">
        <v>627</v>
      </c>
      <c r="H564" s="1" t="s">
        <v>1753</v>
      </c>
      <c r="I564" s="1" t="s">
        <v>1182</v>
      </c>
      <c r="Q564" s="1" t="s">
        <v>610</v>
      </c>
      <c r="R564" s="1" t="s">
        <v>626</v>
      </c>
      <c r="S564" s="1" t="s">
        <v>627</v>
      </c>
    </row>
    <row r="565" spans="1:19" x14ac:dyDescent="0.25">
      <c r="A565" s="1">
        <v>1920915690001</v>
      </c>
      <c r="B565" s="1" t="s">
        <v>610</v>
      </c>
      <c r="C565" s="1" t="s">
        <v>1737</v>
      </c>
      <c r="E565" s="1" t="s">
        <v>626</v>
      </c>
      <c r="F565" s="1">
        <v>1920915690001</v>
      </c>
      <c r="G565" s="1" t="s">
        <v>628</v>
      </c>
      <c r="H565" s="1" t="s">
        <v>1754</v>
      </c>
      <c r="I565" s="1" t="s">
        <v>1182</v>
      </c>
      <c r="Q565" s="1" t="s">
        <v>610</v>
      </c>
      <c r="R565" s="1" t="s">
        <v>626</v>
      </c>
      <c r="S565" s="1" t="s">
        <v>628</v>
      </c>
    </row>
    <row r="566" spans="1:19" x14ac:dyDescent="0.25">
      <c r="A566" s="1">
        <v>1921040000000</v>
      </c>
      <c r="B566" s="1" t="s">
        <v>610</v>
      </c>
      <c r="C566" s="1" t="s">
        <v>1737</v>
      </c>
      <c r="E566" s="1" t="s">
        <v>626</v>
      </c>
      <c r="F566" s="1">
        <v>1921040000000</v>
      </c>
      <c r="G566" s="1" t="s">
        <v>629</v>
      </c>
      <c r="H566" s="1" t="s">
        <v>1755</v>
      </c>
      <c r="I566" s="1" t="s">
        <v>1204</v>
      </c>
      <c r="Q566" s="1" t="s">
        <v>610</v>
      </c>
      <c r="R566" s="1" t="s">
        <v>626</v>
      </c>
      <c r="S566" s="1" t="s">
        <v>629</v>
      </c>
    </row>
    <row r="567" spans="1:19" x14ac:dyDescent="0.25">
      <c r="A567" s="1">
        <v>1920915880000</v>
      </c>
      <c r="B567" s="1" t="s">
        <v>610</v>
      </c>
      <c r="C567" s="1" t="s">
        <v>1737</v>
      </c>
      <c r="E567" s="1" t="s">
        <v>626</v>
      </c>
      <c r="F567" s="1">
        <v>1920915880000</v>
      </c>
      <c r="G567" s="1" t="s">
        <v>630</v>
      </c>
      <c r="H567" s="1" t="s">
        <v>1756</v>
      </c>
      <c r="I567" s="1" t="s">
        <v>1182</v>
      </c>
      <c r="Q567" s="1" t="s">
        <v>610</v>
      </c>
      <c r="R567" s="1" t="s">
        <v>626</v>
      </c>
      <c r="S567" s="1" t="s">
        <v>630</v>
      </c>
    </row>
    <row r="568" spans="1:19" x14ac:dyDescent="0.25">
      <c r="A568" s="1">
        <v>1920936940000</v>
      </c>
      <c r="B568" s="1" t="s">
        <v>610</v>
      </c>
      <c r="C568" s="1" t="s">
        <v>1737</v>
      </c>
      <c r="E568" s="1" t="s">
        <v>631</v>
      </c>
      <c r="F568" s="1">
        <v>1920936940000</v>
      </c>
      <c r="G568" s="1" t="s">
        <v>632</v>
      </c>
      <c r="H568" s="1" t="s">
        <v>1757</v>
      </c>
      <c r="I568" s="1" t="s">
        <v>1182</v>
      </c>
      <c r="Q568" s="1" t="s">
        <v>610</v>
      </c>
      <c r="R568" s="1" t="s">
        <v>631</v>
      </c>
      <c r="S568" s="1" t="s">
        <v>632</v>
      </c>
    </row>
    <row r="569" spans="1:19" x14ac:dyDescent="0.25">
      <c r="A569" s="1">
        <v>1921041000000</v>
      </c>
      <c r="B569" s="1" t="s">
        <v>610</v>
      </c>
      <c r="C569" s="1" t="s">
        <v>1737</v>
      </c>
      <c r="E569" s="1" t="s">
        <v>631</v>
      </c>
      <c r="F569" s="1">
        <v>1921041000000</v>
      </c>
      <c r="G569" s="1" t="s">
        <v>633</v>
      </c>
      <c r="H569" s="1" t="s">
        <v>1758</v>
      </c>
      <c r="I569" s="1" t="s">
        <v>1204</v>
      </c>
      <c r="Q569" s="1" t="s">
        <v>610</v>
      </c>
      <c r="R569" s="1" t="s">
        <v>631</v>
      </c>
      <c r="S569" s="1" t="s">
        <v>633</v>
      </c>
    </row>
    <row r="570" spans="1:19" x14ac:dyDescent="0.25">
      <c r="A570" s="1">
        <v>1920937860002</v>
      </c>
      <c r="B570" s="1" t="s">
        <v>610</v>
      </c>
      <c r="C570" s="1" t="s">
        <v>1694</v>
      </c>
      <c r="E570" s="1" t="s">
        <v>604</v>
      </c>
      <c r="F570" s="1">
        <v>1920937860002</v>
      </c>
      <c r="G570" s="1" t="s">
        <v>634</v>
      </c>
      <c r="H570" s="1" t="s">
        <v>1759</v>
      </c>
      <c r="I570" s="1" t="s">
        <v>1182</v>
      </c>
      <c r="Q570" s="1" t="s">
        <v>610</v>
      </c>
      <c r="R570" s="1" t="s">
        <v>604</v>
      </c>
      <c r="S570" s="1" t="s">
        <v>634</v>
      </c>
    </row>
    <row r="571" spans="1:19" x14ac:dyDescent="0.25">
      <c r="A571" s="1">
        <v>1920950000000</v>
      </c>
      <c r="B571" s="1" t="s">
        <v>610</v>
      </c>
      <c r="C571" s="1" t="s">
        <v>1694</v>
      </c>
      <c r="E571" s="1" t="s">
        <v>604</v>
      </c>
      <c r="F571" s="1">
        <v>1920950000000</v>
      </c>
      <c r="G571" s="1" t="s">
        <v>635</v>
      </c>
      <c r="H571" s="1" t="s">
        <v>1760</v>
      </c>
      <c r="I571" s="1" t="s">
        <v>1182</v>
      </c>
      <c r="Q571" s="1" t="s">
        <v>610</v>
      </c>
      <c r="R571" s="1" t="s">
        <v>604</v>
      </c>
      <c r="S571" s="1" t="s">
        <v>635</v>
      </c>
    </row>
    <row r="572" spans="1:19" x14ac:dyDescent="0.25">
      <c r="A572" s="1">
        <v>1920951000000</v>
      </c>
      <c r="B572" s="1" t="s">
        <v>610</v>
      </c>
      <c r="C572" s="1" t="s">
        <v>1694</v>
      </c>
      <c r="E572" s="1" t="s">
        <v>604</v>
      </c>
      <c r="F572" s="1">
        <v>1920951000000</v>
      </c>
      <c r="G572" s="1" t="s">
        <v>636</v>
      </c>
      <c r="H572" s="1" t="s">
        <v>1761</v>
      </c>
      <c r="I572" s="1" t="s">
        <v>1182</v>
      </c>
      <c r="Q572" s="1" t="s">
        <v>610</v>
      </c>
      <c r="R572" s="1" t="s">
        <v>604</v>
      </c>
      <c r="S572" s="1" t="s">
        <v>636</v>
      </c>
    </row>
    <row r="573" spans="1:19" x14ac:dyDescent="0.25">
      <c r="A573" s="1">
        <v>1920919780000</v>
      </c>
      <c r="B573" s="1" t="s">
        <v>637</v>
      </c>
      <c r="C573" s="1" t="s">
        <v>1762</v>
      </c>
      <c r="E573" s="1" t="s">
        <v>637</v>
      </c>
      <c r="F573" s="1">
        <v>1920919780000</v>
      </c>
      <c r="G573" s="1" t="s">
        <v>638</v>
      </c>
      <c r="H573" s="1" t="s">
        <v>1763</v>
      </c>
      <c r="I573" s="1" t="s">
        <v>1182</v>
      </c>
      <c r="Q573" s="1" t="s">
        <v>637</v>
      </c>
      <c r="R573" s="1" t="s">
        <v>637</v>
      </c>
      <c r="S573" s="1" t="s">
        <v>638</v>
      </c>
    </row>
    <row r="574" spans="1:19" x14ac:dyDescent="0.25">
      <c r="A574" s="1">
        <v>1920919790000</v>
      </c>
      <c r="B574" s="1" t="s">
        <v>637</v>
      </c>
      <c r="C574" s="1" t="s">
        <v>1762</v>
      </c>
      <c r="E574" s="1" t="s">
        <v>637</v>
      </c>
      <c r="F574" s="1">
        <v>1920919790000</v>
      </c>
      <c r="G574" s="1" t="s">
        <v>639</v>
      </c>
      <c r="H574" s="1" t="s">
        <v>1764</v>
      </c>
      <c r="I574" s="1" t="s">
        <v>1182</v>
      </c>
      <c r="Q574" s="1" t="s">
        <v>637</v>
      </c>
      <c r="R574" s="1" t="s">
        <v>637</v>
      </c>
      <c r="S574" s="1" t="s">
        <v>639</v>
      </c>
    </row>
    <row r="575" spans="1:19" x14ac:dyDescent="0.25">
      <c r="A575" s="1">
        <v>1920919800000</v>
      </c>
      <c r="B575" s="1" t="s">
        <v>637</v>
      </c>
      <c r="C575" s="1" t="s">
        <v>1762</v>
      </c>
      <c r="E575" s="1" t="s">
        <v>637</v>
      </c>
      <c r="F575" s="1">
        <v>1920919800000</v>
      </c>
      <c r="G575" s="1" t="s">
        <v>640</v>
      </c>
      <c r="H575" s="1" t="s">
        <v>1765</v>
      </c>
      <c r="I575" s="1" t="s">
        <v>1182</v>
      </c>
      <c r="Q575" s="1" t="s">
        <v>637</v>
      </c>
      <c r="R575" s="1" t="s">
        <v>637</v>
      </c>
      <c r="S575" s="1" t="s">
        <v>640</v>
      </c>
    </row>
    <row r="576" spans="1:19" x14ac:dyDescent="0.25">
      <c r="A576" s="1">
        <v>1920919810000</v>
      </c>
      <c r="B576" s="1" t="s">
        <v>637</v>
      </c>
      <c r="C576" s="1" t="s">
        <v>1762</v>
      </c>
      <c r="E576" s="1" t="s">
        <v>637</v>
      </c>
      <c r="F576" s="1">
        <v>1920919810000</v>
      </c>
      <c r="G576" s="1" t="s">
        <v>641</v>
      </c>
      <c r="H576" s="1" t="s">
        <v>1766</v>
      </c>
      <c r="I576" s="1" t="s">
        <v>1182</v>
      </c>
      <c r="Q576" s="1" t="s">
        <v>637</v>
      </c>
      <c r="R576" s="1" t="s">
        <v>637</v>
      </c>
      <c r="S576" s="1" t="s">
        <v>641</v>
      </c>
    </row>
    <row r="577" spans="1:19" x14ac:dyDescent="0.25">
      <c r="A577" s="1">
        <v>1920919820000</v>
      </c>
      <c r="B577" s="1" t="s">
        <v>637</v>
      </c>
      <c r="C577" s="1" t="s">
        <v>1762</v>
      </c>
      <c r="E577" s="1" t="s">
        <v>637</v>
      </c>
      <c r="F577" s="1">
        <v>1920919820000</v>
      </c>
      <c r="G577" s="1" t="s">
        <v>642</v>
      </c>
      <c r="H577" s="1" t="s">
        <v>1767</v>
      </c>
      <c r="I577" s="1" t="s">
        <v>1182</v>
      </c>
      <c r="Q577" s="1" t="s">
        <v>637</v>
      </c>
      <c r="R577" s="1" t="s">
        <v>637</v>
      </c>
      <c r="S577" s="1" t="s">
        <v>642</v>
      </c>
    </row>
    <row r="578" spans="1:19" x14ac:dyDescent="0.25">
      <c r="A578" s="1">
        <v>1920919830000</v>
      </c>
      <c r="B578" s="1" t="s">
        <v>637</v>
      </c>
      <c r="C578" s="1" t="s">
        <v>1762</v>
      </c>
      <c r="E578" s="1" t="s">
        <v>637</v>
      </c>
      <c r="F578" s="1">
        <v>1920919830000</v>
      </c>
      <c r="G578" s="1" t="s">
        <v>643</v>
      </c>
      <c r="H578" s="1" t="s">
        <v>1768</v>
      </c>
      <c r="I578" s="1" t="s">
        <v>1182</v>
      </c>
      <c r="Q578" s="1" t="s">
        <v>637</v>
      </c>
      <c r="R578" s="1" t="s">
        <v>637</v>
      </c>
      <c r="S578" s="1" t="s">
        <v>643</v>
      </c>
    </row>
    <row r="579" spans="1:19" x14ac:dyDescent="0.25">
      <c r="A579" s="1">
        <v>1920919840000</v>
      </c>
      <c r="B579" s="1" t="s">
        <v>637</v>
      </c>
      <c r="C579" s="1" t="s">
        <v>1762</v>
      </c>
      <c r="E579" s="1" t="s">
        <v>637</v>
      </c>
      <c r="F579" s="1">
        <v>1920919840000</v>
      </c>
      <c r="G579" s="1" t="s">
        <v>644</v>
      </c>
      <c r="H579" s="1" t="s">
        <v>1769</v>
      </c>
      <c r="I579" s="1" t="s">
        <v>1182</v>
      </c>
      <c r="Q579" s="1" t="s">
        <v>637</v>
      </c>
      <c r="R579" s="1" t="s">
        <v>637</v>
      </c>
      <c r="S579" s="1" t="s">
        <v>644</v>
      </c>
    </row>
    <row r="580" spans="1:19" x14ac:dyDescent="0.25">
      <c r="A580" s="1">
        <v>1920919850000</v>
      </c>
      <c r="B580" s="1" t="s">
        <v>637</v>
      </c>
      <c r="C580" s="1" t="s">
        <v>1762</v>
      </c>
      <c r="E580" s="1" t="s">
        <v>637</v>
      </c>
      <c r="F580" s="1">
        <v>1920919850000</v>
      </c>
      <c r="G580" s="1" t="s">
        <v>645</v>
      </c>
      <c r="H580" s="1" t="s">
        <v>1770</v>
      </c>
      <c r="I580" s="1" t="s">
        <v>1182</v>
      </c>
      <c r="Q580" s="1" t="s">
        <v>637</v>
      </c>
      <c r="R580" s="1" t="s">
        <v>637</v>
      </c>
      <c r="S580" s="1" t="s">
        <v>645</v>
      </c>
    </row>
    <row r="581" spans="1:19" x14ac:dyDescent="0.25">
      <c r="A581" s="1">
        <v>1920919910000</v>
      </c>
      <c r="B581" s="1" t="s">
        <v>637</v>
      </c>
      <c r="C581" s="1" t="s">
        <v>1762</v>
      </c>
      <c r="E581" s="1" t="s">
        <v>637</v>
      </c>
      <c r="F581" s="1">
        <v>1920919910000</v>
      </c>
      <c r="G581" s="1" t="s">
        <v>646</v>
      </c>
      <c r="H581" s="1" t="s">
        <v>1771</v>
      </c>
      <c r="I581" s="1" t="s">
        <v>1182</v>
      </c>
      <c r="Q581" s="1" t="s">
        <v>637</v>
      </c>
      <c r="R581" s="1" t="s">
        <v>637</v>
      </c>
      <c r="S581" s="1" t="s">
        <v>646</v>
      </c>
    </row>
    <row r="582" spans="1:19" x14ac:dyDescent="0.25">
      <c r="A582" s="1">
        <v>1920924860000</v>
      </c>
      <c r="B582" s="1" t="s">
        <v>637</v>
      </c>
      <c r="C582" s="1" t="s">
        <v>1762</v>
      </c>
      <c r="E582" s="1" t="s">
        <v>637</v>
      </c>
      <c r="F582" s="1">
        <v>1920924860000</v>
      </c>
      <c r="G582" s="1" t="s">
        <v>647</v>
      </c>
      <c r="H582" s="1" t="s">
        <v>1772</v>
      </c>
      <c r="I582" s="1" t="s">
        <v>1182</v>
      </c>
      <c r="Q582" s="1" t="s">
        <v>637</v>
      </c>
      <c r="R582" s="1" t="s">
        <v>637</v>
      </c>
      <c r="S582" s="1" t="s">
        <v>647</v>
      </c>
    </row>
    <row r="583" spans="1:19" x14ac:dyDescent="0.25">
      <c r="A583" s="1">
        <v>1920928650000</v>
      </c>
      <c r="B583" s="1" t="s">
        <v>637</v>
      </c>
      <c r="C583" s="1" t="s">
        <v>1762</v>
      </c>
      <c r="E583" s="1" t="s">
        <v>637</v>
      </c>
      <c r="F583" s="1">
        <v>1920928650000</v>
      </c>
      <c r="G583" s="1" t="s">
        <v>648</v>
      </c>
      <c r="H583" s="1" t="s">
        <v>1773</v>
      </c>
      <c r="I583" s="1" t="s">
        <v>1182</v>
      </c>
      <c r="Q583" s="1" t="s">
        <v>637</v>
      </c>
      <c r="R583" s="1" t="s">
        <v>637</v>
      </c>
      <c r="S583" s="1" t="s">
        <v>648</v>
      </c>
    </row>
    <row r="584" spans="1:19" x14ac:dyDescent="0.25">
      <c r="A584" s="1">
        <v>1920929060000</v>
      </c>
      <c r="B584" s="1" t="s">
        <v>637</v>
      </c>
      <c r="C584" s="1" t="s">
        <v>1762</v>
      </c>
      <c r="E584" s="1" t="s">
        <v>637</v>
      </c>
      <c r="F584" s="1">
        <v>1920929060000</v>
      </c>
      <c r="G584" s="1" t="s">
        <v>649</v>
      </c>
      <c r="H584" s="1" t="s">
        <v>1774</v>
      </c>
      <c r="I584" s="1" t="s">
        <v>1182</v>
      </c>
      <c r="Q584" s="1" t="s">
        <v>637</v>
      </c>
      <c r="R584" s="1" t="s">
        <v>637</v>
      </c>
      <c r="S584" s="1" t="s">
        <v>649</v>
      </c>
    </row>
    <row r="585" spans="1:19" x14ac:dyDescent="0.25">
      <c r="A585" s="1">
        <v>1920929490000</v>
      </c>
      <c r="B585" s="1" t="s">
        <v>637</v>
      </c>
      <c r="C585" s="1" t="s">
        <v>1762</v>
      </c>
      <c r="E585" s="1" t="s">
        <v>637</v>
      </c>
      <c r="F585" s="1">
        <v>1920929490000</v>
      </c>
      <c r="G585" s="1" t="s">
        <v>650</v>
      </c>
      <c r="H585" s="1" t="s">
        <v>1775</v>
      </c>
      <c r="I585" s="1" t="s">
        <v>1182</v>
      </c>
      <c r="Q585" s="1" t="s">
        <v>637</v>
      </c>
      <c r="R585" s="1" t="s">
        <v>637</v>
      </c>
      <c r="S585" s="1" t="s">
        <v>650</v>
      </c>
    </row>
    <row r="586" spans="1:19" x14ac:dyDescent="0.25">
      <c r="A586" s="1">
        <v>1920929980000</v>
      </c>
      <c r="B586" s="1" t="s">
        <v>637</v>
      </c>
      <c r="C586" s="1" t="s">
        <v>1762</v>
      </c>
      <c r="E586" s="1" t="s">
        <v>637</v>
      </c>
      <c r="F586" s="1">
        <v>1920929980000</v>
      </c>
      <c r="G586" s="1" t="s">
        <v>651</v>
      </c>
      <c r="H586" s="1" t="s">
        <v>1776</v>
      </c>
      <c r="I586" s="1" t="s">
        <v>1182</v>
      </c>
      <c r="Q586" s="1" t="s">
        <v>637</v>
      </c>
      <c r="R586" s="1" t="s">
        <v>637</v>
      </c>
      <c r="S586" s="1" t="s">
        <v>651</v>
      </c>
    </row>
    <row r="587" spans="1:19" x14ac:dyDescent="0.25">
      <c r="A587" s="1">
        <v>1920931280000</v>
      </c>
      <c r="B587" s="1" t="s">
        <v>637</v>
      </c>
      <c r="C587" s="1" t="s">
        <v>1762</v>
      </c>
      <c r="E587" s="1" t="s">
        <v>637</v>
      </c>
      <c r="F587" s="1">
        <v>1920931280000</v>
      </c>
      <c r="G587" s="1" t="s">
        <v>652</v>
      </c>
      <c r="H587" s="1" t="s">
        <v>1777</v>
      </c>
      <c r="I587" s="1" t="s">
        <v>1182</v>
      </c>
      <c r="Q587" s="1" t="s">
        <v>637</v>
      </c>
      <c r="R587" s="1" t="s">
        <v>637</v>
      </c>
      <c r="S587" s="1" t="s">
        <v>652</v>
      </c>
    </row>
    <row r="588" spans="1:19" x14ac:dyDescent="0.25">
      <c r="A588" s="1">
        <v>1920936060000</v>
      </c>
      <c r="B588" s="1" t="s">
        <v>637</v>
      </c>
      <c r="C588" s="1" t="s">
        <v>1762</v>
      </c>
      <c r="E588" s="1" t="s">
        <v>637</v>
      </c>
      <c r="F588" s="1">
        <v>1920936060000</v>
      </c>
      <c r="G588" s="1" t="s">
        <v>653</v>
      </c>
      <c r="H588" s="1" t="s">
        <v>1778</v>
      </c>
      <c r="I588" s="1" t="s">
        <v>1182</v>
      </c>
      <c r="Q588" s="1" t="s">
        <v>637</v>
      </c>
      <c r="R588" s="1" t="s">
        <v>637</v>
      </c>
      <c r="S588" s="1" t="s">
        <v>653</v>
      </c>
    </row>
    <row r="589" spans="1:19" x14ac:dyDescent="0.25">
      <c r="A589" s="1">
        <v>1920937040000</v>
      </c>
      <c r="B589" s="1" t="s">
        <v>637</v>
      </c>
      <c r="C589" s="1" t="s">
        <v>1762</v>
      </c>
      <c r="E589" s="1" t="s">
        <v>637</v>
      </c>
      <c r="F589" s="1">
        <v>1920937040000</v>
      </c>
      <c r="G589" s="1" t="s">
        <v>654</v>
      </c>
      <c r="H589" s="1" t="s">
        <v>1779</v>
      </c>
      <c r="I589" s="1" t="s">
        <v>1182</v>
      </c>
      <c r="Q589" s="1" t="s">
        <v>637</v>
      </c>
      <c r="R589" s="1" t="s">
        <v>637</v>
      </c>
      <c r="S589" s="1" t="s">
        <v>654</v>
      </c>
    </row>
    <row r="590" spans="1:19" x14ac:dyDescent="0.25">
      <c r="A590" s="1">
        <v>1920937680000</v>
      </c>
      <c r="B590" s="1" t="s">
        <v>637</v>
      </c>
      <c r="C590" s="1" t="s">
        <v>1762</v>
      </c>
      <c r="E590" s="1" t="s">
        <v>637</v>
      </c>
      <c r="F590" s="1">
        <v>1920937680000</v>
      </c>
      <c r="G590" s="1" t="s">
        <v>655</v>
      </c>
      <c r="H590" s="1" t="s">
        <v>1780</v>
      </c>
      <c r="I590" s="1" t="s">
        <v>1182</v>
      </c>
      <c r="Q590" s="1" t="s">
        <v>637</v>
      </c>
      <c r="R590" s="1" t="s">
        <v>637</v>
      </c>
      <c r="S590" s="1" t="s">
        <v>655</v>
      </c>
    </row>
    <row r="591" spans="1:19" x14ac:dyDescent="0.25">
      <c r="A591" s="1">
        <v>1920937980000</v>
      </c>
      <c r="B591" s="1" t="s">
        <v>637</v>
      </c>
      <c r="C591" s="1" t="s">
        <v>1762</v>
      </c>
      <c r="E591" s="1" t="s">
        <v>637</v>
      </c>
      <c r="F591" s="1">
        <v>1920937980000</v>
      </c>
      <c r="G591" s="1" t="s">
        <v>656</v>
      </c>
      <c r="H591" s="1" t="s">
        <v>1781</v>
      </c>
      <c r="I591" s="1" t="s">
        <v>1182</v>
      </c>
      <c r="Q591" s="1" t="s">
        <v>637</v>
      </c>
      <c r="R591" s="1" t="s">
        <v>637</v>
      </c>
      <c r="S591" s="1" t="s">
        <v>656</v>
      </c>
    </row>
    <row r="592" spans="1:19" x14ac:dyDescent="0.25">
      <c r="A592" s="1">
        <v>1920920080000</v>
      </c>
      <c r="B592" s="1" t="s">
        <v>637</v>
      </c>
      <c r="C592" s="1" t="s">
        <v>1762</v>
      </c>
      <c r="E592" s="1" t="s">
        <v>657</v>
      </c>
      <c r="F592" s="1">
        <v>1920920080000</v>
      </c>
      <c r="G592" s="1" t="s">
        <v>658</v>
      </c>
      <c r="H592" s="1" t="s">
        <v>1782</v>
      </c>
      <c r="I592" s="1" t="s">
        <v>1182</v>
      </c>
      <c r="Q592" s="1" t="s">
        <v>637</v>
      </c>
      <c r="R592" s="1" t="s">
        <v>657</v>
      </c>
      <c r="S592" s="1" t="s">
        <v>658</v>
      </c>
    </row>
    <row r="593" spans="1:19" x14ac:dyDescent="0.25">
      <c r="A593" s="1">
        <v>1920920100000</v>
      </c>
      <c r="B593" s="1" t="s">
        <v>637</v>
      </c>
      <c r="C593" s="1" t="s">
        <v>1762</v>
      </c>
      <c r="E593" s="1" t="s">
        <v>657</v>
      </c>
      <c r="F593" s="1">
        <v>1920920100000</v>
      </c>
      <c r="G593" s="1" t="s">
        <v>659</v>
      </c>
      <c r="H593" s="1" t="s">
        <v>1783</v>
      </c>
      <c r="I593" s="1" t="s">
        <v>1182</v>
      </c>
      <c r="Q593" s="1" t="s">
        <v>637</v>
      </c>
      <c r="R593" s="1" t="s">
        <v>657</v>
      </c>
      <c r="S593" s="1" t="s">
        <v>659</v>
      </c>
    </row>
    <row r="594" spans="1:19" x14ac:dyDescent="0.25">
      <c r="A594" s="1">
        <v>1920920110000</v>
      </c>
      <c r="B594" s="1" t="s">
        <v>637</v>
      </c>
      <c r="C594" s="1" t="s">
        <v>1762</v>
      </c>
      <c r="E594" s="1" t="s">
        <v>657</v>
      </c>
      <c r="F594" s="1">
        <v>1920920110000</v>
      </c>
      <c r="G594" s="1" t="s">
        <v>660</v>
      </c>
      <c r="H594" s="1" t="s">
        <v>1784</v>
      </c>
      <c r="I594" s="1" t="s">
        <v>1182</v>
      </c>
      <c r="Q594" s="1" t="s">
        <v>637</v>
      </c>
      <c r="R594" s="1" t="s">
        <v>657</v>
      </c>
      <c r="S594" s="1" t="s">
        <v>660</v>
      </c>
    </row>
    <row r="595" spans="1:19" x14ac:dyDescent="0.25">
      <c r="A595" s="1">
        <v>1920920280000</v>
      </c>
      <c r="B595" s="1" t="s">
        <v>637</v>
      </c>
      <c r="C595" s="1" t="s">
        <v>1762</v>
      </c>
      <c r="E595" s="1" t="s">
        <v>657</v>
      </c>
      <c r="F595" s="1">
        <v>1920920280000</v>
      </c>
      <c r="G595" s="1" t="s">
        <v>661</v>
      </c>
      <c r="H595" s="1" t="s">
        <v>1785</v>
      </c>
      <c r="I595" s="1" t="s">
        <v>1182</v>
      </c>
      <c r="Q595" s="1" t="s">
        <v>637</v>
      </c>
      <c r="R595" s="1" t="s">
        <v>657</v>
      </c>
      <c r="S595" s="1" t="s">
        <v>661</v>
      </c>
    </row>
    <row r="596" spans="1:19" x14ac:dyDescent="0.25">
      <c r="A596" s="1">
        <v>1920920440000</v>
      </c>
      <c r="B596" s="1" t="s">
        <v>637</v>
      </c>
      <c r="C596" s="1" t="s">
        <v>1762</v>
      </c>
      <c r="E596" s="1" t="s">
        <v>657</v>
      </c>
      <c r="F596" s="1">
        <v>1920920440000</v>
      </c>
      <c r="G596" s="1" t="s">
        <v>662</v>
      </c>
      <c r="H596" s="1" t="s">
        <v>1786</v>
      </c>
      <c r="I596" s="1" t="s">
        <v>1182</v>
      </c>
      <c r="Q596" s="1" t="s">
        <v>637</v>
      </c>
      <c r="R596" s="1" t="s">
        <v>657</v>
      </c>
      <c r="S596" s="1" t="s">
        <v>662</v>
      </c>
    </row>
    <row r="597" spans="1:19" x14ac:dyDescent="0.25">
      <c r="A597" s="1">
        <v>1920920510000</v>
      </c>
      <c r="B597" s="1" t="s">
        <v>637</v>
      </c>
      <c r="C597" s="1" t="s">
        <v>1762</v>
      </c>
      <c r="E597" s="1" t="s">
        <v>657</v>
      </c>
      <c r="F597" s="1">
        <v>1920920510000</v>
      </c>
      <c r="G597" s="1" t="s">
        <v>663</v>
      </c>
      <c r="H597" s="1" t="s">
        <v>1787</v>
      </c>
      <c r="I597" s="1" t="s">
        <v>1182</v>
      </c>
      <c r="Q597" s="1" t="s">
        <v>637</v>
      </c>
      <c r="R597" s="1" t="s">
        <v>657</v>
      </c>
      <c r="S597" s="1" t="s">
        <v>663</v>
      </c>
    </row>
    <row r="598" spans="1:19" x14ac:dyDescent="0.25">
      <c r="A598" s="1">
        <v>1920997000000</v>
      </c>
      <c r="B598" s="1" t="s">
        <v>637</v>
      </c>
      <c r="C598" s="1" t="s">
        <v>1762</v>
      </c>
      <c r="E598" s="1" t="s">
        <v>657</v>
      </c>
      <c r="F598" s="1">
        <v>1920997000000</v>
      </c>
      <c r="G598" s="1" t="s">
        <v>664</v>
      </c>
      <c r="H598" s="1" t="s">
        <v>1788</v>
      </c>
      <c r="I598" s="1" t="s">
        <v>1204</v>
      </c>
      <c r="Q598" s="1" t="s">
        <v>637</v>
      </c>
      <c r="R598" s="1" t="s">
        <v>657</v>
      </c>
      <c r="S598" s="1" t="s">
        <v>664</v>
      </c>
    </row>
    <row r="599" spans="1:19" x14ac:dyDescent="0.25">
      <c r="A599" s="1">
        <v>1920937960000</v>
      </c>
      <c r="B599" s="1" t="s">
        <v>637</v>
      </c>
      <c r="C599" s="1" t="s">
        <v>1762</v>
      </c>
      <c r="E599" s="1" t="s">
        <v>657</v>
      </c>
      <c r="F599" s="1">
        <v>1920937960000</v>
      </c>
      <c r="G599" s="1" t="s">
        <v>665</v>
      </c>
      <c r="H599" s="1" t="s">
        <v>1789</v>
      </c>
      <c r="I599" s="1" t="s">
        <v>1182</v>
      </c>
      <c r="Q599" s="1" t="s">
        <v>637</v>
      </c>
      <c r="R599" s="1" t="s">
        <v>657</v>
      </c>
      <c r="S599" s="1" t="s">
        <v>665</v>
      </c>
    </row>
    <row r="600" spans="1:19" x14ac:dyDescent="0.25">
      <c r="A600" s="1">
        <v>1920919630000</v>
      </c>
      <c r="B600" s="1" t="s">
        <v>637</v>
      </c>
      <c r="C600" s="1" t="s">
        <v>1762</v>
      </c>
      <c r="E600" s="1" t="s">
        <v>666</v>
      </c>
      <c r="F600" s="1">
        <v>1920919630000</v>
      </c>
      <c r="G600" s="1" t="s">
        <v>667</v>
      </c>
      <c r="H600" s="1" t="s">
        <v>1790</v>
      </c>
      <c r="I600" s="1" t="s">
        <v>1182</v>
      </c>
      <c r="Q600" s="1" t="s">
        <v>637</v>
      </c>
      <c r="R600" s="1" t="s">
        <v>666</v>
      </c>
      <c r="S600" s="1" t="s">
        <v>667</v>
      </c>
    </row>
    <row r="601" spans="1:19" x14ac:dyDescent="0.25">
      <c r="A601" s="1">
        <v>1920919630001</v>
      </c>
      <c r="B601" s="1" t="s">
        <v>637</v>
      </c>
      <c r="C601" s="1" t="s">
        <v>1762</v>
      </c>
      <c r="E601" s="1" t="s">
        <v>666</v>
      </c>
      <c r="F601" s="1">
        <v>1920919630001</v>
      </c>
      <c r="G601" s="1" t="s">
        <v>668</v>
      </c>
      <c r="H601" s="1" t="s">
        <v>1791</v>
      </c>
      <c r="I601" s="1" t="s">
        <v>1182</v>
      </c>
      <c r="Q601" s="1" t="s">
        <v>637</v>
      </c>
      <c r="R601" s="1" t="s">
        <v>666</v>
      </c>
      <c r="S601" s="1" t="s">
        <v>668</v>
      </c>
    </row>
    <row r="602" spans="1:19" x14ac:dyDescent="0.25">
      <c r="A602" s="1">
        <v>1920998000000</v>
      </c>
      <c r="B602" s="1" t="s">
        <v>637</v>
      </c>
      <c r="C602" s="1" t="s">
        <v>1762</v>
      </c>
      <c r="E602" s="1" t="s">
        <v>666</v>
      </c>
      <c r="F602" s="1">
        <v>1920998000000</v>
      </c>
      <c r="G602" s="1" t="s">
        <v>669</v>
      </c>
      <c r="H602" s="1" t="s">
        <v>1792</v>
      </c>
      <c r="I602" s="1" t="s">
        <v>1204</v>
      </c>
      <c r="Q602" s="1" t="s">
        <v>637</v>
      </c>
      <c r="R602" s="1" t="s">
        <v>666</v>
      </c>
      <c r="S602" s="1" t="s">
        <v>669</v>
      </c>
    </row>
    <row r="603" spans="1:19" x14ac:dyDescent="0.25">
      <c r="A603" s="1">
        <v>1920936900000</v>
      </c>
      <c r="B603" s="1" t="s">
        <v>637</v>
      </c>
      <c r="C603" s="1" t="s">
        <v>1762</v>
      </c>
      <c r="E603" s="1" t="s">
        <v>666</v>
      </c>
      <c r="F603" s="1">
        <v>1920936900000</v>
      </c>
      <c r="G603" s="1" t="s">
        <v>670</v>
      </c>
      <c r="H603" s="1" t="s">
        <v>1793</v>
      </c>
      <c r="I603" s="1" t="s">
        <v>1182</v>
      </c>
      <c r="Q603" s="1" t="s">
        <v>637</v>
      </c>
      <c r="R603" s="1" t="s">
        <v>666</v>
      </c>
      <c r="S603" s="1" t="s">
        <v>670</v>
      </c>
    </row>
    <row r="604" spans="1:19" x14ac:dyDescent="0.25">
      <c r="A604" s="1">
        <v>1920920550000</v>
      </c>
      <c r="B604" s="1" t="s">
        <v>637</v>
      </c>
      <c r="C604" s="1" t="s">
        <v>1762</v>
      </c>
      <c r="E604" s="1" t="s">
        <v>671</v>
      </c>
      <c r="F604" s="1">
        <v>1920920550000</v>
      </c>
      <c r="G604" s="1" t="s">
        <v>672</v>
      </c>
      <c r="H604" s="1" t="s">
        <v>1794</v>
      </c>
      <c r="I604" s="1" t="s">
        <v>1182</v>
      </c>
      <c r="Q604" s="1" t="s">
        <v>637</v>
      </c>
      <c r="R604" s="1" t="s">
        <v>671</v>
      </c>
      <c r="S604" s="1" t="s">
        <v>672</v>
      </c>
    </row>
    <row r="605" spans="1:19" x14ac:dyDescent="0.25">
      <c r="A605" s="1">
        <v>1920920550001</v>
      </c>
      <c r="B605" s="1" t="s">
        <v>637</v>
      </c>
      <c r="C605" s="1" t="s">
        <v>1762</v>
      </c>
      <c r="E605" s="1" t="s">
        <v>671</v>
      </c>
      <c r="F605" s="1">
        <v>1920920550001</v>
      </c>
      <c r="G605" s="1" t="s">
        <v>673</v>
      </c>
      <c r="H605" s="1" t="s">
        <v>1795</v>
      </c>
      <c r="I605" s="1" t="s">
        <v>1182</v>
      </c>
      <c r="Q605" s="1" t="s">
        <v>637</v>
      </c>
      <c r="R605" s="1" t="s">
        <v>671</v>
      </c>
      <c r="S605" s="1" t="s">
        <v>673</v>
      </c>
    </row>
    <row r="606" spans="1:19" x14ac:dyDescent="0.25">
      <c r="A606" s="1">
        <v>1920936910000</v>
      </c>
      <c r="B606" s="1" t="s">
        <v>637</v>
      </c>
      <c r="C606" s="1" t="s">
        <v>1762</v>
      </c>
      <c r="E606" s="1" t="s">
        <v>671</v>
      </c>
      <c r="F606" s="1">
        <v>1920936910000</v>
      </c>
      <c r="G606" s="1" t="s">
        <v>674</v>
      </c>
      <c r="H606" s="1" t="s">
        <v>1796</v>
      </c>
      <c r="I606" s="1" t="s">
        <v>1182</v>
      </c>
      <c r="Q606" s="1" t="s">
        <v>637</v>
      </c>
      <c r="R606" s="1" t="s">
        <v>671</v>
      </c>
      <c r="S606" s="1" t="s">
        <v>674</v>
      </c>
    </row>
    <row r="607" spans="1:19" x14ac:dyDescent="0.25">
      <c r="A607" s="1">
        <v>1920999000000</v>
      </c>
      <c r="B607" s="1" t="s">
        <v>637</v>
      </c>
      <c r="C607" s="1" t="s">
        <v>1762</v>
      </c>
      <c r="E607" s="1" t="s">
        <v>671</v>
      </c>
      <c r="F607" s="1">
        <v>1920999000000</v>
      </c>
      <c r="G607" s="1" t="s">
        <v>675</v>
      </c>
      <c r="H607" s="1" t="s">
        <v>1797</v>
      </c>
      <c r="I607" s="1" t="s">
        <v>1204</v>
      </c>
      <c r="Q607" s="1" t="s">
        <v>637</v>
      </c>
      <c r="R607" s="1" t="s">
        <v>671</v>
      </c>
      <c r="S607" s="1" t="s">
        <v>675</v>
      </c>
    </row>
    <row r="608" spans="1:19" x14ac:dyDescent="0.25">
      <c r="A608" s="1">
        <v>1920919500000</v>
      </c>
      <c r="B608" s="1" t="s">
        <v>637</v>
      </c>
      <c r="C608" s="1" t="s">
        <v>1762</v>
      </c>
      <c r="E608" s="1" t="s">
        <v>676</v>
      </c>
      <c r="F608" s="1">
        <v>1920919500000</v>
      </c>
      <c r="G608" s="1" t="s">
        <v>677</v>
      </c>
      <c r="H608" s="1" t="s">
        <v>1798</v>
      </c>
      <c r="I608" s="1" t="s">
        <v>1182</v>
      </c>
      <c r="Q608" s="1" t="s">
        <v>637</v>
      </c>
      <c r="R608" s="1" t="s">
        <v>676</v>
      </c>
      <c r="S608" s="1" t="s">
        <v>677</v>
      </c>
    </row>
    <row r="609" spans="1:19" x14ac:dyDescent="0.25">
      <c r="A609" s="1">
        <v>1920919510000</v>
      </c>
      <c r="B609" s="1" t="s">
        <v>637</v>
      </c>
      <c r="C609" s="1" t="s">
        <v>1762</v>
      </c>
      <c r="E609" s="1" t="s">
        <v>676</v>
      </c>
      <c r="F609" s="1">
        <v>1920919510000</v>
      </c>
      <c r="G609" s="1" t="s">
        <v>678</v>
      </c>
      <c r="H609" s="1" t="s">
        <v>1799</v>
      </c>
      <c r="I609" s="1" t="s">
        <v>1182</v>
      </c>
      <c r="Q609" s="1" t="s">
        <v>637</v>
      </c>
      <c r="R609" s="1" t="s">
        <v>676</v>
      </c>
      <c r="S609" s="1" t="s">
        <v>678</v>
      </c>
    </row>
    <row r="610" spans="1:19" x14ac:dyDescent="0.25">
      <c r="A610" s="1">
        <v>1920919530000</v>
      </c>
      <c r="B610" s="1" t="s">
        <v>637</v>
      </c>
      <c r="C610" s="1" t="s">
        <v>1762</v>
      </c>
      <c r="E610" s="1" t="s">
        <v>676</v>
      </c>
      <c r="F610" s="1">
        <v>1920919530000</v>
      </c>
      <c r="G610" s="1" t="s">
        <v>679</v>
      </c>
      <c r="H610" s="1" t="s">
        <v>1800</v>
      </c>
      <c r="I610" s="1" t="s">
        <v>1182</v>
      </c>
      <c r="Q610" s="1" t="s">
        <v>637</v>
      </c>
      <c r="R610" s="1" t="s">
        <v>676</v>
      </c>
      <c r="S610" s="1" t="s">
        <v>679</v>
      </c>
    </row>
    <row r="611" spans="1:19" x14ac:dyDescent="0.25">
      <c r="A611" s="1">
        <v>1920919540000</v>
      </c>
      <c r="B611" s="1" t="s">
        <v>637</v>
      </c>
      <c r="C611" s="1" t="s">
        <v>1762</v>
      </c>
      <c r="E611" s="1" t="s">
        <v>676</v>
      </c>
      <c r="F611" s="1">
        <v>1920919540000</v>
      </c>
      <c r="G611" s="1" t="s">
        <v>680</v>
      </c>
      <c r="H611" s="1" t="s">
        <v>1801</v>
      </c>
      <c r="I611" s="1" t="s">
        <v>1182</v>
      </c>
      <c r="Q611" s="1" t="s">
        <v>637</v>
      </c>
      <c r="R611" s="1" t="s">
        <v>676</v>
      </c>
      <c r="S611" s="1" t="s">
        <v>680</v>
      </c>
    </row>
    <row r="612" spans="1:19" x14ac:dyDescent="0.25">
      <c r="A612" s="1">
        <v>1920919560000</v>
      </c>
      <c r="B612" s="1" t="s">
        <v>637</v>
      </c>
      <c r="C612" s="1" t="s">
        <v>1762</v>
      </c>
      <c r="E612" s="1" t="s">
        <v>676</v>
      </c>
      <c r="F612" s="1">
        <v>1920919560000</v>
      </c>
      <c r="G612" s="1" t="s">
        <v>681</v>
      </c>
      <c r="H612" s="1" t="s">
        <v>1802</v>
      </c>
      <c r="I612" s="1" t="s">
        <v>1182</v>
      </c>
      <c r="Q612" s="1" t="s">
        <v>637</v>
      </c>
      <c r="R612" s="1" t="s">
        <v>676</v>
      </c>
      <c r="S612" s="1" t="s">
        <v>681</v>
      </c>
    </row>
    <row r="613" spans="1:19" x14ac:dyDescent="0.25">
      <c r="A613" s="1">
        <v>1920919580000</v>
      </c>
      <c r="B613" s="1" t="s">
        <v>637</v>
      </c>
      <c r="C613" s="1" t="s">
        <v>1762</v>
      </c>
      <c r="E613" s="1" t="s">
        <v>676</v>
      </c>
      <c r="F613" s="1">
        <v>1920919580000</v>
      </c>
      <c r="G613" s="1" t="s">
        <v>682</v>
      </c>
      <c r="H613" s="1" t="s">
        <v>1803</v>
      </c>
      <c r="I613" s="1" t="s">
        <v>1182</v>
      </c>
      <c r="Q613" s="1" t="s">
        <v>637</v>
      </c>
      <c r="R613" s="1" t="s">
        <v>676</v>
      </c>
      <c r="S613" s="1" t="s">
        <v>682</v>
      </c>
    </row>
    <row r="614" spans="1:19" x14ac:dyDescent="0.25">
      <c r="A614" s="1">
        <v>1920927960000</v>
      </c>
      <c r="B614" s="1" t="s">
        <v>637</v>
      </c>
      <c r="C614" s="1" t="s">
        <v>1762</v>
      </c>
      <c r="E614" s="1" t="s">
        <v>676</v>
      </c>
      <c r="F614" s="1">
        <v>1920927960000</v>
      </c>
      <c r="G614" s="1" t="s">
        <v>683</v>
      </c>
      <c r="H614" s="1" t="s">
        <v>1804</v>
      </c>
      <c r="I614" s="1" t="s">
        <v>1182</v>
      </c>
      <c r="Q614" s="1" t="s">
        <v>637</v>
      </c>
      <c r="R614" s="1" t="s">
        <v>676</v>
      </c>
      <c r="S614" s="1" t="s">
        <v>683</v>
      </c>
    </row>
    <row r="615" spans="1:19" x14ac:dyDescent="0.25">
      <c r="A615" s="1">
        <v>1920902560000</v>
      </c>
      <c r="B615" s="1" t="s">
        <v>637</v>
      </c>
      <c r="C615" s="1" t="s">
        <v>1762</v>
      </c>
      <c r="E615" s="1" t="s">
        <v>684</v>
      </c>
      <c r="F615" s="1">
        <v>1920902560000</v>
      </c>
      <c r="G615" s="1" t="s">
        <v>685</v>
      </c>
      <c r="H615" s="1" t="s">
        <v>1805</v>
      </c>
      <c r="I615" s="1" t="s">
        <v>1182</v>
      </c>
      <c r="Q615" s="1" t="s">
        <v>637</v>
      </c>
      <c r="R615" s="1" t="s">
        <v>684</v>
      </c>
      <c r="S615" s="1" t="s">
        <v>685</v>
      </c>
    </row>
    <row r="616" spans="1:19" x14ac:dyDescent="0.25">
      <c r="A616" s="1">
        <v>1920915440000</v>
      </c>
      <c r="B616" s="1" t="s">
        <v>637</v>
      </c>
      <c r="C616" s="1" t="s">
        <v>1762</v>
      </c>
      <c r="E616" s="1" t="s">
        <v>684</v>
      </c>
      <c r="F616" s="1">
        <v>1920915440000</v>
      </c>
      <c r="G616" s="1" t="s">
        <v>686</v>
      </c>
      <c r="H616" s="1" t="s">
        <v>1806</v>
      </c>
      <c r="I616" s="1" t="s">
        <v>1182</v>
      </c>
      <c r="Q616" s="1" t="s">
        <v>637</v>
      </c>
      <c r="R616" s="1" t="s">
        <v>684</v>
      </c>
      <c r="S616" s="1" t="s">
        <v>686</v>
      </c>
    </row>
    <row r="617" spans="1:19" x14ac:dyDescent="0.25">
      <c r="A617" s="1">
        <v>1920915470000</v>
      </c>
      <c r="B617" s="1" t="s">
        <v>637</v>
      </c>
      <c r="C617" s="1" t="s">
        <v>1762</v>
      </c>
      <c r="E617" s="1" t="s">
        <v>684</v>
      </c>
      <c r="F617" s="1">
        <v>1920915470000</v>
      </c>
      <c r="G617" s="1" t="s">
        <v>687</v>
      </c>
      <c r="H617" s="1" t="s">
        <v>1807</v>
      </c>
      <c r="I617" s="1" t="s">
        <v>1182</v>
      </c>
      <c r="Q617" s="1" t="s">
        <v>637</v>
      </c>
      <c r="R617" s="1" t="s">
        <v>684</v>
      </c>
      <c r="S617" s="1" t="s">
        <v>687</v>
      </c>
    </row>
    <row r="618" spans="1:19" x14ac:dyDescent="0.25">
      <c r="A618" s="1">
        <v>1921000000000</v>
      </c>
      <c r="B618" s="1" t="s">
        <v>637</v>
      </c>
      <c r="C618" s="1" t="s">
        <v>1762</v>
      </c>
      <c r="E618" s="1" t="s">
        <v>684</v>
      </c>
      <c r="F618" s="1">
        <v>1921000000000</v>
      </c>
      <c r="G618" s="1" t="s">
        <v>688</v>
      </c>
      <c r="H618" s="1" t="s">
        <v>1808</v>
      </c>
      <c r="I618" s="1" t="s">
        <v>1204</v>
      </c>
      <c r="Q618" s="1" t="s">
        <v>637</v>
      </c>
      <c r="R618" s="1" t="s">
        <v>684</v>
      </c>
      <c r="S618" s="1" t="s">
        <v>688</v>
      </c>
    </row>
    <row r="619" spans="1:19" x14ac:dyDescent="0.25">
      <c r="A619" s="1">
        <v>1920936830000</v>
      </c>
      <c r="B619" s="1" t="s">
        <v>637</v>
      </c>
      <c r="C619" s="1" t="s">
        <v>1762</v>
      </c>
      <c r="E619" s="1" t="s">
        <v>689</v>
      </c>
      <c r="F619" s="1">
        <v>1920936830000</v>
      </c>
      <c r="G619" s="1" t="s">
        <v>690</v>
      </c>
      <c r="H619" s="1" t="s">
        <v>1809</v>
      </c>
      <c r="I619" s="1" t="s">
        <v>1182</v>
      </c>
      <c r="Q619" s="1" t="s">
        <v>637</v>
      </c>
      <c r="R619" s="1" t="s">
        <v>689</v>
      </c>
      <c r="S619" s="1" t="s">
        <v>690</v>
      </c>
    </row>
    <row r="620" spans="1:19" x14ac:dyDescent="0.25">
      <c r="A620" s="1">
        <v>1920920930000</v>
      </c>
      <c r="B620" s="1" t="s">
        <v>637</v>
      </c>
      <c r="C620" s="1" t="s">
        <v>1762</v>
      </c>
      <c r="E620" s="1" t="s">
        <v>691</v>
      </c>
      <c r="F620" s="1">
        <v>1920920930000</v>
      </c>
      <c r="G620" s="1" t="s">
        <v>692</v>
      </c>
      <c r="H620" s="1" t="s">
        <v>1810</v>
      </c>
      <c r="I620" s="1" t="s">
        <v>1182</v>
      </c>
      <c r="Q620" s="1" t="s">
        <v>637</v>
      </c>
      <c r="R620" s="1" t="s">
        <v>691</v>
      </c>
      <c r="S620" s="1" t="s">
        <v>692</v>
      </c>
    </row>
    <row r="621" spans="1:19" x14ac:dyDescent="0.25">
      <c r="A621" s="1">
        <v>1920917010000</v>
      </c>
      <c r="B621" s="1" t="s">
        <v>637</v>
      </c>
      <c r="C621" s="1" t="s">
        <v>1762</v>
      </c>
      <c r="E621" s="1" t="s">
        <v>693</v>
      </c>
      <c r="F621" s="1">
        <v>1920917010000</v>
      </c>
      <c r="G621" s="1" t="s">
        <v>694</v>
      </c>
      <c r="H621" s="1" t="s">
        <v>1811</v>
      </c>
      <c r="I621" s="1" t="s">
        <v>1182</v>
      </c>
      <c r="Q621" s="1" t="s">
        <v>637</v>
      </c>
      <c r="R621" s="1" t="s">
        <v>693</v>
      </c>
      <c r="S621" s="1" t="s">
        <v>694</v>
      </c>
    </row>
    <row r="622" spans="1:19" x14ac:dyDescent="0.25">
      <c r="A622" s="1">
        <v>1921001000000</v>
      </c>
      <c r="B622" s="1" t="s">
        <v>637</v>
      </c>
      <c r="C622" s="1" t="s">
        <v>1762</v>
      </c>
      <c r="E622" s="1" t="s">
        <v>693</v>
      </c>
      <c r="F622" s="1">
        <v>1921001000000</v>
      </c>
      <c r="G622" s="1" t="s">
        <v>695</v>
      </c>
      <c r="H622" s="1" t="s">
        <v>1812</v>
      </c>
      <c r="I622" s="1" t="s">
        <v>1204</v>
      </c>
      <c r="Q622" s="1" t="s">
        <v>637</v>
      </c>
      <c r="R622" s="1" t="s">
        <v>693</v>
      </c>
      <c r="S622" s="1" t="s">
        <v>695</v>
      </c>
    </row>
    <row r="623" spans="1:19" x14ac:dyDescent="0.25">
      <c r="A623" s="1">
        <v>1920937310000</v>
      </c>
      <c r="B623" s="1" t="s">
        <v>637</v>
      </c>
      <c r="C623" s="1" t="s">
        <v>1762</v>
      </c>
      <c r="E623" s="1" t="s">
        <v>693</v>
      </c>
      <c r="F623" s="1">
        <v>1920937310000</v>
      </c>
      <c r="G623" s="1" t="s">
        <v>696</v>
      </c>
      <c r="H623" s="1" t="s">
        <v>1813</v>
      </c>
      <c r="I623" s="1" t="s">
        <v>1182</v>
      </c>
      <c r="Q623" s="1" t="s">
        <v>637</v>
      </c>
      <c r="R623" s="1" t="s">
        <v>693</v>
      </c>
      <c r="S623" s="1" t="s">
        <v>696</v>
      </c>
    </row>
    <row r="624" spans="1:19" x14ac:dyDescent="0.25">
      <c r="A624" s="1">
        <v>1920920360000</v>
      </c>
      <c r="B624" s="1" t="s">
        <v>637</v>
      </c>
      <c r="C624" s="1" t="s">
        <v>1762</v>
      </c>
      <c r="E624" s="1" t="s">
        <v>697</v>
      </c>
      <c r="F624" s="1">
        <v>1920920360000</v>
      </c>
      <c r="G624" s="1" t="s">
        <v>698</v>
      </c>
      <c r="H624" s="1" t="s">
        <v>1814</v>
      </c>
      <c r="I624" s="1" t="s">
        <v>1182</v>
      </c>
      <c r="Q624" s="1" t="s">
        <v>637</v>
      </c>
      <c r="R624" s="1" t="s">
        <v>697</v>
      </c>
      <c r="S624" s="1" t="s">
        <v>698</v>
      </c>
    </row>
    <row r="625" spans="1:19" x14ac:dyDescent="0.25">
      <c r="A625" s="1">
        <v>1920920380000</v>
      </c>
      <c r="B625" s="1" t="s">
        <v>637</v>
      </c>
      <c r="C625" s="1" t="s">
        <v>1762</v>
      </c>
      <c r="E625" s="1" t="s">
        <v>697</v>
      </c>
      <c r="F625" s="1">
        <v>1920920380000</v>
      </c>
      <c r="G625" s="1" t="s">
        <v>699</v>
      </c>
      <c r="H625" s="1" t="s">
        <v>1815</v>
      </c>
      <c r="I625" s="1" t="s">
        <v>1182</v>
      </c>
      <c r="Q625" s="1" t="s">
        <v>637</v>
      </c>
      <c r="R625" s="1" t="s">
        <v>697</v>
      </c>
      <c r="S625" s="1" t="s">
        <v>699</v>
      </c>
    </row>
    <row r="626" spans="1:19" x14ac:dyDescent="0.25">
      <c r="A626" s="1">
        <v>1920901600000</v>
      </c>
      <c r="B626" s="1" t="s">
        <v>700</v>
      </c>
      <c r="C626" s="1" t="s">
        <v>1816</v>
      </c>
      <c r="E626" s="1" t="s">
        <v>700</v>
      </c>
      <c r="F626" s="1">
        <v>1920901600000</v>
      </c>
      <c r="G626" s="1" t="s">
        <v>701</v>
      </c>
      <c r="H626" s="1" t="s">
        <v>1817</v>
      </c>
      <c r="I626" s="1" t="s">
        <v>1182</v>
      </c>
      <c r="Q626" s="1" t="s">
        <v>700</v>
      </c>
      <c r="R626" s="1" t="s">
        <v>700</v>
      </c>
      <c r="S626" s="1" t="s">
        <v>701</v>
      </c>
    </row>
    <row r="627" spans="1:19" x14ac:dyDescent="0.25">
      <c r="A627" s="1">
        <v>1920912740000</v>
      </c>
      <c r="B627" s="1" t="s">
        <v>700</v>
      </c>
      <c r="C627" s="1" t="s">
        <v>1816</v>
      </c>
      <c r="E627" s="1" t="s">
        <v>700</v>
      </c>
      <c r="F627" s="1">
        <v>1920912740000</v>
      </c>
      <c r="G627" s="1" t="s">
        <v>702</v>
      </c>
      <c r="H627" s="1" t="s">
        <v>1818</v>
      </c>
      <c r="I627" s="1" t="s">
        <v>1182</v>
      </c>
      <c r="Q627" s="1" t="s">
        <v>700</v>
      </c>
      <c r="R627" s="1" t="s">
        <v>700</v>
      </c>
      <c r="S627" s="1" t="s">
        <v>702</v>
      </c>
    </row>
    <row r="628" spans="1:19" x14ac:dyDescent="0.25">
      <c r="A628" s="1">
        <v>1920912750000</v>
      </c>
      <c r="B628" s="1" t="s">
        <v>700</v>
      </c>
      <c r="C628" s="1" t="s">
        <v>1816</v>
      </c>
      <c r="E628" s="1" t="s">
        <v>700</v>
      </c>
      <c r="F628" s="1">
        <v>1920912750000</v>
      </c>
      <c r="G628" s="1" t="s">
        <v>703</v>
      </c>
      <c r="H628" s="1" t="s">
        <v>1819</v>
      </c>
      <c r="I628" s="1" t="s">
        <v>1182</v>
      </c>
      <c r="Q628" s="1" t="s">
        <v>700</v>
      </c>
      <c r="R628" s="1" t="s">
        <v>700</v>
      </c>
      <c r="S628" s="1" t="s">
        <v>703</v>
      </c>
    </row>
    <row r="629" spans="1:19" x14ac:dyDescent="0.25">
      <c r="A629" s="1">
        <v>1921028000000</v>
      </c>
      <c r="B629" s="1" t="s">
        <v>700</v>
      </c>
      <c r="C629" s="1" t="s">
        <v>1816</v>
      </c>
      <c r="E629" s="1" t="s">
        <v>700</v>
      </c>
      <c r="F629" s="1">
        <v>1921028000000</v>
      </c>
      <c r="G629" s="1" t="s">
        <v>704</v>
      </c>
      <c r="H629" s="1" t="s">
        <v>1820</v>
      </c>
      <c r="I629" s="1" t="s">
        <v>1204</v>
      </c>
      <c r="Q629" s="1" t="s">
        <v>700</v>
      </c>
      <c r="R629" s="1" t="s">
        <v>700</v>
      </c>
      <c r="S629" s="1" t="s">
        <v>704</v>
      </c>
    </row>
    <row r="630" spans="1:19" x14ac:dyDescent="0.25">
      <c r="A630" s="1">
        <v>1920912770000</v>
      </c>
      <c r="B630" s="1" t="s">
        <v>700</v>
      </c>
      <c r="C630" s="1" t="s">
        <v>1816</v>
      </c>
      <c r="E630" s="1" t="s">
        <v>700</v>
      </c>
      <c r="F630" s="1">
        <v>1920912770000</v>
      </c>
      <c r="G630" s="1" t="s">
        <v>705</v>
      </c>
      <c r="H630" s="1" t="s">
        <v>1821</v>
      </c>
      <c r="I630" s="1" t="s">
        <v>1182</v>
      </c>
      <c r="Q630" s="1" t="s">
        <v>700</v>
      </c>
      <c r="R630" s="1" t="s">
        <v>700</v>
      </c>
      <c r="S630" s="1" t="s">
        <v>705</v>
      </c>
    </row>
    <row r="631" spans="1:19" x14ac:dyDescent="0.25">
      <c r="A631" s="1">
        <v>1920929050000</v>
      </c>
      <c r="B631" s="1" t="s">
        <v>700</v>
      </c>
      <c r="C631" s="1" t="s">
        <v>1816</v>
      </c>
      <c r="E631" s="1" t="s">
        <v>700</v>
      </c>
      <c r="F631" s="1">
        <v>1920929050000</v>
      </c>
      <c r="G631" s="1" t="s">
        <v>706</v>
      </c>
      <c r="H631" s="1" t="s">
        <v>1822</v>
      </c>
      <c r="I631" s="1" t="s">
        <v>1182</v>
      </c>
      <c r="Q631" s="1" t="s">
        <v>700</v>
      </c>
      <c r="R631" s="1" t="s">
        <v>700</v>
      </c>
      <c r="S631" s="1" t="s">
        <v>706</v>
      </c>
    </row>
    <row r="632" spans="1:19" x14ac:dyDescent="0.25">
      <c r="A632" s="1">
        <v>1920937710000</v>
      </c>
      <c r="B632" s="1" t="s">
        <v>700</v>
      </c>
      <c r="C632" s="1" t="s">
        <v>1816</v>
      </c>
      <c r="E632" s="1" t="s">
        <v>707</v>
      </c>
      <c r="F632" s="1">
        <v>1920937710000</v>
      </c>
      <c r="G632" s="1" t="s">
        <v>708</v>
      </c>
      <c r="H632" s="1" t="s">
        <v>1823</v>
      </c>
      <c r="I632" s="1" t="s">
        <v>1182</v>
      </c>
      <c r="Q632" s="1" t="s">
        <v>700</v>
      </c>
      <c r="R632" s="1" t="s">
        <v>707</v>
      </c>
      <c r="S632" s="1" t="s">
        <v>708</v>
      </c>
    </row>
    <row r="633" spans="1:19" x14ac:dyDescent="0.25">
      <c r="A633" s="1">
        <v>1920937710001</v>
      </c>
      <c r="B633" s="1" t="s">
        <v>700</v>
      </c>
      <c r="C633" s="1" t="s">
        <v>1816</v>
      </c>
      <c r="E633" s="1" t="s">
        <v>707</v>
      </c>
      <c r="F633" s="1">
        <v>1920937710001</v>
      </c>
      <c r="G633" s="1" t="s">
        <v>709</v>
      </c>
      <c r="H633" s="1" t="s">
        <v>1824</v>
      </c>
      <c r="I633" s="1" t="s">
        <v>1182</v>
      </c>
      <c r="Q633" s="1" t="s">
        <v>700</v>
      </c>
      <c r="R633" s="1" t="s">
        <v>707</v>
      </c>
      <c r="S633" s="1" t="s">
        <v>709</v>
      </c>
    </row>
    <row r="634" spans="1:19" x14ac:dyDescent="0.25">
      <c r="A634" s="1">
        <v>1920937710002</v>
      </c>
      <c r="B634" s="1" t="s">
        <v>700</v>
      </c>
      <c r="C634" s="1" t="s">
        <v>1816</v>
      </c>
      <c r="E634" s="1" t="s">
        <v>707</v>
      </c>
      <c r="F634" s="1">
        <v>1920937710002</v>
      </c>
      <c r="G634" s="1" t="s">
        <v>710</v>
      </c>
      <c r="H634" s="1" t="s">
        <v>1825</v>
      </c>
      <c r="I634" s="1" t="s">
        <v>1182</v>
      </c>
      <c r="Q634" s="1" t="s">
        <v>700</v>
      </c>
      <c r="R634" s="1" t="s">
        <v>707</v>
      </c>
      <c r="S634" s="1" t="s">
        <v>710</v>
      </c>
    </row>
    <row r="635" spans="1:19" x14ac:dyDescent="0.25">
      <c r="A635" s="1">
        <v>1921029000000</v>
      </c>
      <c r="B635" s="1" t="s">
        <v>700</v>
      </c>
      <c r="C635" s="1" t="s">
        <v>1816</v>
      </c>
      <c r="E635" s="1" t="s">
        <v>707</v>
      </c>
      <c r="F635" s="1">
        <v>1921029000000</v>
      </c>
      <c r="G635" s="1" t="s">
        <v>711</v>
      </c>
      <c r="H635" s="1" t="s">
        <v>1826</v>
      </c>
      <c r="I635" s="1" t="s">
        <v>1204</v>
      </c>
      <c r="Q635" s="1" t="s">
        <v>700</v>
      </c>
      <c r="R635" s="1" t="s">
        <v>707</v>
      </c>
      <c r="S635" s="1" t="s">
        <v>711</v>
      </c>
    </row>
    <row r="636" spans="1:19" x14ac:dyDescent="0.25">
      <c r="A636" s="1">
        <v>1920928790000</v>
      </c>
      <c r="B636" s="1" t="s">
        <v>700</v>
      </c>
      <c r="C636" s="1" t="s">
        <v>1816</v>
      </c>
      <c r="E636" s="1" t="s">
        <v>712</v>
      </c>
      <c r="F636" s="1">
        <v>1920928790000</v>
      </c>
      <c r="G636" s="1" t="s">
        <v>713</v>
      </c>
      <c r="H636" s="1" t="s">
        <v>1827</v>
      </c>
      <c r="I636" s="1" t="s">
        <v>1182</v>
      </c>
      <c r="Q636" s="1" t="s">
        <v>700</v>
      </c>
      <c r="R636" s="1" t="s">
        <v>712</v>
      </c>
      <c r="S636" s="1" t="s">
        <v>713</v>
      </c>
    </row>
    <row r="637" spans="1:19" x14ac:dyDescent="0.25">
      <c r="A637" s="1">
        <v>1920928790005</v>
      </c>
      <c r="B637" s="1" t="s">
        <v>700</v>
      </c>
      <c r="C637" s="1" t="s">
        <v>1816</v>
      </c>
      <c r="E637" s="1" t="s">
        <v>712</v>
      </c>
      <c r="F637" s="1">
        <v>1920928790005</v>
      </c>
      <c r="G637" s="1" t="s">
        <v>714</v>
      </c>
      <c r="H637" s="1" t="s">
        <v>1828</v>
      </c>
      <c r="I637" s="1" t="s">
        <v>1182</v>
      </c>
      <c r="Q637" s="1" t="s">
        <v>700</v>
      </c>
      <c r="R637" s="1" t="s">
        <v>712</v>
      </c>
      <c r="S637" s="1" t="s">
        <v>714</v>
      </c>
    </row>
    <row r="638" spans="1:19" x14ac:dyDescent="0.25">
      <c r="A638" s="1">
        <v>1921030000000</v>
      </c>
      <c r="B638" s="1" t="s">
        <v>700</v>
      </c>
      <c r="C638" s="1" t="s">
        <v>1816</v>
      </c>
      <c r="E638" s="1" t="s">
        <v>712</v>
      </c>
      <c r="F638" s="1">
        <v>1921030000000</v>
      </c>
      <c r="G638" s="1" t="s">
        <v>715</v>
      </c>
      <c r="H638" s="1" t="s">
        <v>1829</v>
      </c>
      <c r="I638" s="1" t="s">
        <v>1204</v>
      </c>
      <c r="Q638" s="1" t="s">
        <v>700</v>
      </c>
      <c r="R638" s="1" t="s">
        <v>712</v>
      </c>
      <c r="S638" s="1" t="s">
        <v>715</v>
      </c>
    </row>
    <row r="639" spans="1:19" x14ac:dyDescent="0.25">
      <c r="A639" s="1">
        <v>1920936610000</v>
      </c>
      <c r="B639" s="1" t="s">
        <v>700</v>
      </c>
      <c r="C639" s="1" t="s">
        <v>1816</v>
      </c>
      <c r="E639" s="1" t="s">
        <v>716</v>
      </c>
      <c r="F639" s="1">
        <v>1920936610000</v>
      </c>
      <c r="G639" s="1" t="s">
        <v>717</v>
      </c>
      <c r="H639" s="1" t="s">
        <v>1830</v>
      </c>
      <c r="I639" s="1" t="s">
        <v>1182</v>
      </c>
      <c r="Q639" s="1" t="s">
        <v>700</v>
      </c>
      <c r="R639" s="1" t="s">
        <v>716</v>
      </c>
      <c r="S639" s="1" t="s">
        <v>717</v>
      </c>
    </row>
    <row r="640" spans="1:19" x14ac:dyDescent="0.25">
      <c r="A640" s="1">
        <v>1920912780000</v>
      </c>
      <c r="B640" s="1" t="s">
        <v>700</v>
      </c>
      <c r="C640" s="1" t="s">
        <v>1816</v>
      </c>
      <c r="E640" s="1" t="s">
        <v>718</v>
      </c>
      <c r="F640" s="1">
        <v>1920912780000</v>
      </c>
      <c r="G640" s="1" t="s">
        <v>719</v>
      </c>
      <c r="H640" s="1" t="s">
        <v>1831</v>
      </c>
      <c r="I640" s="1" t="s">
        <v>1182</v>
      </c>
      <c r="Q640" s="1" t="s">
        <v>700</v>
      </c>
      <c r="R640" s="1" t="s">
        <v>718</v>
      </c>
      <c r="S640" s="1" t="s">
        <v>719</v>
      </c>
    </row>
    <row r="641" spans="1:19" x14ac:dyDescent="0.25">
      <c r="A641" s="1">
        <v>1920912780006</v>
      </c>
      <c r="B641" s="1" t="s">
        <v>700</v>
      </c>
      <c r="C641" s="1" t="s">
        <v>1816</v>
      </c>
      <c r="E641" s="1" t="s">
        <v>718</v>
      </c>
      <c r="F641" s="1">
        <v>1920912780006</v>
      </c>
      <c r="G641" s="1" t="s">
        <v>720</v>
      </c>
      <c r="H641" s="1" t="s">
        <v>1832</v>
      </c>
      <c r="I641" s="1" t="s">
        <v>1182</v>
      </c>
      <c r="Q641" s="1" t="s">
        <v>700</v>
      </c>
      <c r="R641" s="1" t="s">
        <v>718</v>
      </c>
      <c r="S641" s="1" t="s">
        <v>720</v>
      </c>
    </row>
    <row r="642" spans="1:19" x14ac:dyDescent="0.25">
      <c r="A642" s="1">
        <v>1921031000000</v>
      </c>
      <c r="B642" s="1" t="s">
        <v>700</v>
      </c>
      <c r="C642" s="1" t="s">
        <v>1816</v>
      </c>
      <c r="E642" s="1" t="s">
        <v>718</v>
      </c>
      <c r="F642" s="1">
        <v>1921031000000</v>
      </c>
      <c r="G642" s="1" t="s">
        <v>721</v>
      </c>
      <c r="H642" s="1" t="s">
        <v>1833</v>
      </c>
      <c r="I642" s="1" t="s">
        <v>1204</v>
      </c>
      <c r="Q642" s="1" t="s">
        <v>700</v>
      </c>
      <c r="R642" s="1" t="s">
        <v>718</v>
      </c>
      <c r="S642" s="1" t="s">
        <v>721</v>
      </c>
    </row>
    <row r="643" spans="1:19" x14ac:dyDescent="0.25">
      <c r="A643" s="1">
        <v>1920928720000</v>
      </c>
      <c r="B643" s="1" t="s">
        <v>700</v>
      </c>
      <c r="C643" s="1" t="s">
        <v>1816</v>
      </c>
      <c r="E643" s="1" t="s">
        <v>718</v>
      </c>
      <c r="F643" s="1">
        <v>1920928720000</v>
      </c>
      <c r="G643" s="1" t="s">
        <v>722</v>
      </c>
      <c r="H643" s="1" t="s">
        <v>1834</v>
      </c>
      <c r="I643" s="1" t="s">
        <v>1182</v>
      </c>
      <c r="Q643" s="1" t="s">
        <v>700</v>
      </c>
      <c r="R643" s="1" t="s">
        <v>718</v>
      </c>
      <c r="S643" s="1" t="s">
        <v>722</v>
      </c>
    </row>
    <row r="644" spans="1:19" x14ac:dyDescent="0.25">
      <c r="A644" s="1">
        <v>1920937070000</v>
      </c>
      <c r="B644" s="1" t="s">
        <v>700</v>
      </c>
      <c r="C644" s="1" t="s">
        <v>1816</v>
      </c>
      <c r="E644" s="1" t="s">
        <v>718</v>
      </c>
      <c r="F644" s="1">
        <v>1920937070000</v>
      </c>
      <c r="G644" s="1" t="s">
        <v>723</v>
      </c>
      <c r="H644" s="1" t="s">
        <v>1835</v>
      </c>
      <c r="I644" s="1" t="s">
        <v>1182</v>
      </c>
      <c r="Q644" s="1" t="s">
        <v>700</v>
      </c>
      <c r="R644" s="1" t="s">
        <v>718</v>
      </c>
      <c r="S644" s="1" t="s">
        <v>723</v>
      </c>
    </row>
    <row r="645" spans="1:19" x14ac:dyDescent="0.25">
      <c r="A645" s="1">
        <v>1920912900000</v>
      </c>
      <c r="B645" s="1" t="s">
        <v>700</v>
      </c>
      <c r="C645" s="1" t="s">
        <v>1816</v>
      </c>
      <c r="E645" s="1" t="s">
        <v>724</v>
      </c>
      <c r="F645" s="1">
        <v>1920912900000</v>
      </c>
      <c r="G645" s="1" t="s">
        <v>725</v>
      </c>
      <c r="H645" s="1" t="s">
        <v>1836</v>
      </c>
      <c r="I645" s="1" t="s">
        <v>1182</v>
      </c>
      <c r="Q645" s="1" t="s">
        <v>700</v>
      </c>
      <c r="R645" s="1" t="s">
        <v>724</v>
      </c>
      <c r="S645" s="1" t="s">
        <v>725</v>
      </c>
    </row>
    <row r="646" spans="1:19" x14ac:dyDescent="0.25">
      <c r="A646" s="1">
        <v>1921032000000</v>
      </c>
      <c r="B646" s="1" t="s">
        <v>700</v>
      </c>
      <c r="C646" s="1" t="s">
        <v>1816</v>
      </c>
      <c r="E646" s="1" t="s">
        <v>724</v>
      </c>
      <c r="F646" s="1">
        <v>1921032000000</v>
      </c>
      <c r="G646" s="1" t="s">
        <v>726</v>
      </c>
      <c r="H646" s="1" t="s">
        <v>1837</v>
      </c>
      <c r="I646" s="1" t="s">
        <v>1204</v>
      </c>
      <c r="Q646" s="1" t="s">
        <v>700</v>
      </c>
      <c r="R646" s="1" t="s">
        <v>724</v>
      </c>
      <c r="S646" s="1" t="s">
        <v>726</v>
      </c>
    </row>
    <row r="647" spans="1:19" x14ac:dyDescent="0.25">
      <c r="A647" s="1">
        <v>1920912920000</v>
      </c>
      <c r="B647" s="1" t="s">
        <v>700</v>
      </c>
      <c r="C647" s="1" t="s">
        <v>1816</v>
      </c>
      <c r="E647" s="1" t="s">
        <v>727</v>
      </c>
      <c r="F647" s="1">
        <v>1920912920000</v>
      </c>
      <c r="G647" s="1" t="s">
        <v>728</v>
      </c>
      <c r="H647" s="1" t="s">
        <v>1838</v>
      </c>
      <c r="I647" s="1" t="s">
        <v>1182</v>
      </c>
      <c r="Q647" s="1" t="s">
        <v>700</v>
      </c>
      <c r="R647" s="1" t="s">
        <v>727</v>
      </c>
      <c r="S647" s="1" t="s">
        <v>728</v>
      </c>
    </row>
    <row r="648" spans="1:19" x14ac:dyDescent="0.25">
      <c r="A648" s="1">
        <v>1920912920002</v>
      </c>
      <c r="B648" s="1" t="s">
        <v>700</v>
      </c>
      <c r="C648" s="1" t="s">
        <v>1816</v>
      </c>
      <c r="E648" s="1" t="s">
        <v>727</v>
      </c>
      <c r="F648" s="1">
        <v>1920912920002</v>
      </c>
      <c r="G648" s="1" t="s">
        <v>729</v>
      </c>
      <c r="H648" s="1" t="s">
        <v>1839</v>
      </c>
      <c r="I648" s="1" t="s">
        <v>1182</v>
      </c>
      <c r="Q648" s="1" t="s">
        <v>700</v>
      </c>
      <c r="R648" s="1" t="s">
        <v>727</v>
      </c>
      <c r="S648" s="1" t="s">
        <v>729</v>
      </c>
    </row>
    <row r="649" spans="1:19" x14ac:dyDescent="0.25">
      <c r="A649" s="1">
        <v>1920912920004</v>
      </c>
      <c r="B649" s="1" t="s">
        <v>700</v>
      </c>
      <c r="C649" s="1" t="s">
        <v>1816</v>
      </c>
      <c r="E649" s="1" t="s">
        <v>727</v>
      </c>
      <c r="F649" s="1">
        <v>1920912920004</v>
      </c>
      <c r="G649" s="1" t="s">
        <v>730</v>
      </c>
      <c r="H649" s="1" t="s">
        <v>1840</v>
      </c>
      <c r="I649" s="1" t="s">
        <v>1182</v>
      </c>
      <c r="Q649" s="1" t="s">
        <v>700</v>
      </c>
      <c r="R649" s="1" t="s">
        <v>727</v>
      </c>
      <c r="S649" s="1" t="s">
        <v>730</v>
      </c>
    </row>
    <row r="650" spans="1:19" x14ac:dyDescent="0.25">
      <c r="A650" s="1">
        <v>1921033000000</v>
      </c>
      <c r="B650" s="1" t="s">
        <v>700</v>
      </c>
      <c r="C650" s="1" t="s">
        <v>1816</v>
      </c>
      <c r="E650" s="1" t="s">
        <v>727</v>
      </c>
      <c r="F650" s="1">
        <v>1921033000000</v>
      </c>
      <c r="G650" s="1" t="s">
        <v>731</v>
      </c>
      <c r="H650" s="1" t="s">
        <v>1841</v>
      </c>
      <c r="I650" s="1" t="s">
        <v>1204</v>
      </c>
      <c r="Q650" s="1" t="s">
        <v>700</v>
      </c>
      <c r="R650" s="1" t="s">
        <v>727</v>
      </c>
      <c r="S650" s="1" t="s">
        <v>731</v>
      </c>
    </row>
    <row r="651" spans="1:19" x14ac:dyDescent="0.25">
      <c r="A651" s="1">
        <v>1920938500000</v>
      </c>
      <c r="B651" s="1" t="s">
        <v>700</v>
      </c>
      <c r="C651" s="1" t="s">
        <v>1816</v>
      </c>
      <c r="E651" s="1" t="s">
        <v>727</v>
      </c>
      <c r="F651" s="1">
        <v>1920938500000</v>
      </c>
      <c r="G651" s="1" t="s">
        <v>732</v>
      </c>
      <c r="H651" s="1" t="s">
        <v>1842</v>
      </c>
      <c r="I651" s="1" t="s">
        <v>1182</v>
      </c>
      <c r="Q651" s="1" t="s">
        <v>700</v>
      </c>
      <c r="R651" s="1" t="s">
        <v>727</v>
      </c>
      <c r="S651" s="1" t="s">
        <v>732</v>
      </c>
    </row>
    <row r="652" spans="1:19" x14ac:dyDescent="0.25">
      <c r="A652" s="1">
        <v>1920922050000</v>
      </c>
      <c r="B652" s="1" t="s">
        <v>733</v>
      </c>
      <c r="C652" s="1" t="s">
        <v>1236</v>
      </c>
      <c r="E652" s="1" t="s">
        <v>733</v>
      </c>
      <c r="F652" s="1">
        <v>1920922050000</v>
      </c>
      <c r="G652" s="1" t="s">
        <v>734</v>
      </c>
      <c r="H652" s="1" t="s">
        <v>1843</v>
      </c>
      <c r="I652" s="1" t="s">
        <v>1182</v>
      </c>
      <c r="Q652" s="1" t="s">
        <v>733</v>
      </c>
      <c r="R652" s="1" t="s">
        <v>733</v>
      </c>
      <c r="S652" s="1" t="s">
        <v>734</v>
      </c>
    </row>
    <row r="653" spans="1:19" x14ac:dyDescent="0.25">
      <c r="A653" s="1">
        <v>1921024000000</v>
      </c>
      <c r="B653" s="1" t="s">
        <v>733</v>
      </c>
      <c r="C653" s="1" t="s">
        <v>1236</v>
      </c>
      <c r="E653" s="1" t="s">
        <v>733</v>
      </c>
      <c r="F653" s="1">
        <v>1921024000000</v>
      </c>
      <c r="G653" s="1" t="s">
        <v>735</v>
      </c>
      <c r="H653" s="1" t="s">
        <v>1844</v>
      </c>
      <c r="I653" s="1" t="s">
        <v>1204</v>
      </c>
      <c r="Q653" s="1" t="s">
        <v>733</v>
      </c>
      <c r="R653" s="1" t="s">
        <v>733</v>
      </c>
      <c r="S653" s="1" t="s">
        <v>735</v>
      </c>
    </row>
    <row r="654" spans="1:19" x14ac:dyDescent="0.25">
      <c r="A654" s="1">
        <v>1920937550000</v>
      </c>
      <c r="B654" s="1" t="s">
        <v>733</v>
      </c>
      <c r="C654" s="1" t="s">
        <v>1236</v>
      </c>
      <c r="E654" s="1" t="s">
        <v>733</v>
      </c>
      <c r="F654" s="1">
        <v>1920937550000</v>
      </c>
      <c r="G654" s="1" t="s">
        <v>736</v>
      </c>
      <c r="H654" s="1" t="s">
        <v>1845</v>
      </c>
      <c r="I654" s="1" t="s">
        <v>1182</v>
      </c>
      <c r="Q654" s="1" t="s">
        <v>733</v>
      </c>
      <c r="R654" s="1" t="s">
        <v>733</v>
      </c>
      <c r="S654" s="1" t="s">
        <v>736</v>
      </c>
    </row>
    <row r="655" spans="1:19" x14ac:dyDescent="0.25">
      <c r="A655" s="1">
        <v>1920936070000</v>
      </c>
      <c r="B655" s="1" t="s">
        <v>733</v>
      </c>
      <c r="C655" s="1" t="s">
        <v>1656</v>
      </c>
      <c r="E655" s="1" t="s">
        <v>737</v>
      </c>
      <c r="F655" s="1">
        <v>1920936070000</v>
      </c>
      <c r="G655" s="1" t="s">
        <v>738</v>
      </c>
      <c r="H655" s="1" t="s">
        <v>1846</v>
      </c>
      <c r="I655" s="1" t="s">
        <v>1182</v>
      </c>
      <c r="Q655" s="1" t="s">
        <v>733</v>
      </c>
      <c r="R655" s="1" t="s">
        <v>737</v>
      </c>
      <c r="S655" s="1" t="s">
        <v>738</v>
      </c>
    </row>
    <row r="656" spans="1:19" x14ac:dyDescent="0.25">
      <c r="A656" s="1">
        <v>1921048000000</v>
      </c>
      <c r="B656" s="1" t="s">
        <v>733</v>
      </c>
      <c r="C656" s="1" t="s">
        <v>1656</v>
      </c>
      <c r="E656" s="1" t="s">
        <v>737</v>
      </c>
      <c r="F656" s="1">
        <v>1921048000000</v>
      </c>
      <c r="G656" s="1" t="s">
        <v>739</v>
      </c>
      <c r="H656" s="1" t="s">
        <v>1847</v>
      </c>
      <c r="I656" s="1" t="s">
        <v>1204</v>
      </c>
      <c r="Q656" s="1" t="s">
        <v>733</v>
      </c>
      <c r="R656" s="1" t="s">
        <v>737</v>
      </c>
      <c r="S656" s="1" t="s">
        <v>739</v>
      </c>
    </row>
    <row r="657" spans="1:19" x14ac:dyDescent="0.25">
      <c r="A657" s="1">
        <v>1920929880000</v>
      </c>
      <c r="B657" s="1" t="s">
        <v>733</v>
      </c>
      <c r="C657" s="1" t="s">
        <v>1675</v>
      </c>
      <c r="E657" s="1" t="s">
        <v>740</v>
      </c>
      <c r="F657" s="1">
        <v>1920929880000</v>
      </c>
      <c r="G657" s="1" t="s">
        <v>741</v>
      </c>
      <c r="H657" s="1" t="s">
        <v>1848</v>
      </c>
      <c r="I657" s="1" t="s">
        <v>1182</v>
      </c>
      <c r="Q657" s="1" t="s">
        <v>733</v>
      </c>
      <c r="R657" s="1" t="s">
        <v>740</v>
      </c>
      <c r="S657" s="1" t="s">
        <v>741</v>
      </c>
    </row>
    <row r="658" spans="1:19" x14ac:dyDescent="0.25">
      <c r="A658" s="1">
        <v>1920969000000</v>
      </c>
      <c r="B658" s="1" t="s">
        <v>733</v>
      </c>
      <c r="C658" s="1" t="s">
        <v>1675</v>
      </c>
      <c r="E658" s="1" t="s">
        <v>740</v>
      </c>
      <c r="F658" s="1">
        <v>1920969000000</v>
      </c>
      <c r="G658" s="1" t="s">
        <v>742</v>
      </c>
      <c r="H658" s="1" t="s">
        <v>1849</v>
      </c>
      <c r="I658" s="1" t="s">
        <v>1204</v>
      </c>
      <c r="Q658" s="1" t="s">
        <v>733</v>
      </c>
      <c r="R658" s="1" t="s">
        <v>740</v>
      </c>
      <c r="S658" s="1" t="s">
        <v>742</v>
      </c>
    </row>
    <row r="659" spans="1:19" x14ac:dyDescent="0.25">
      <c r="A659" s="1">
        <v>1920922850000</v>
      </c>
      <c r="B659" s="1" t="s">
        <v>733</v>
      </c>
      <c r="C659" s="1" t="s">
        <v>1656</v>
      </c>
      <c r="E659" s="1" t="s">
        <v>743</v>
      </c>
      <c r="F659" s="1">
        <v>1920922850000</v>
      </c>
      <c r="G659" s="1" t="s">
        <v>744</v>
      </c>
      <c r="H659" s="1" t="s">
        <v>1850</v>
      </c>
      <c r="I659" s="1" t="s">
        <v>1182</v>
      </c>
      <c r="Q659" s="1" t="s">
        <v>733</v>
      </c>
      <c r="R659" s="1" t="s">
        <v>743</v>
      </c>
      <c r="S659" s="1" t="s">
        <v>744</v>
      </c>
    </row>
    <row r="660" spans="1:19" x14ac:dyDescent="0.25">
      <c r="A660" s="1">
        <v>1921049000000</v>
      </c>
      <c r="B660" s="1" t="s">
        <v>733</v>
      </c>
      <c r="C660" s="1" t="s">
        <v>1656</v>
      </c>
      <c r="E660" s="1" t="s">
        <v>743</v>
      </c>
      <c r="F660" s="1">
        <v>1921049000000</v>
      </c>
      <c r="G660" s="1" t="s">
        <v>745</v>
      </c>
      <c r="H660" s="1" t="s">
        <v>1851</v>
      </c>
      <c r="I660" s="1" t="s">
        <v>1204</v>
      </c>
      <c r="Q660" s="1" t="s">
        <v>733</v>
      </c>
      <c r="R660" s="1" t="s">
        <v>743</v>
      </c>
      <c r="S660" s="1" t="s">
        <v>745</v>
      </c>
    </row>
    <row r="661" spans="1:19" x14ac:dyDescent="0.25">
      <c r="A661" s="1">
        <v>1920922860000</v>
      </c>
      <c r="B661" s="1" t="s">
        <v>733</v>
      </c>
      <c r="C661" s="1" t="s">
        <v>1656</v>
      </c>
      <c r="E661" s="1" t="s">
        <v>743</v>
      </c>
      <c r="F661" s="1">
        <v>1920922860000</v>
      </c>
      <c r="G661" s="1" t="s">
        <v>746</v>
      </c>
      <c r="H661" s="1" t="s">
        <v>1852</v>
      </c>
      <c r="I661" s="1" t="s">
        <v>1182</v>
      </c>
      <c r="Q661" s="1" t="s">
        <v>733</v>
      </c>
      <c r="R661" s="1" t="s">
        <v>743</v>
      </c>
      <c r="S661" s="1" t="s">
        <v>746</v>
      </c>
    </row>
    <row r="662" spans="1:19" x14ac:dyDescent="0.25">
      <c r="A662" s="1">
        <v>1920922930000</v>
      </c>
      <c r="B662" s="1" t="s">
        <v>733</v>
      </c>
      <c r="C662" s="1" t="s">
        <v>1656</v>
      </c>
      <c r="E662" s="1" t="s">
        <v>743</v>
      </c>
      <c r="F662" s="1">
        <v>1920922930000</v>
      </c>
      <c r="G662" s="1" t="s">
        <v>747</v>
      </c>
      <c r="H662" s="1" t="s">
        <v>1853</v>
      </c>
      <c r="I662" s="1" t="s">
        <v>1182</v>
      </c>
      <c r="Q662" s="1" t="s">
        <v>733</v>
      </c>
      <c r="R662" s="1" t="s">
        <v>743</v>
      </c>
      <c r="S662" s="1" t="s">
        <v>747</v>
      </c>
    </row>
    <row r="663" spans="1:19" x14ac:dyDescent="0.25">
      <c r="A663" s="1">
        <v>1920937020000</v>
      </c>
      <c r="B663" s="1" t="s">
        <v>733</v>
      </c>
      <c r="C663" s="1" t="s">
        <v>1656</v>
      </c>
      <c r="E663" s="1" t="s">
        <v>743</v>
      </c>
      <c r="F663" s="1">
        <v>1920937020000</v>
      </c>
      <c r="G663" s="1" t="s">
        <v>748</v>
      </c>
      <c r="H663" s="1" t="s">
        <v>1854</v>
      </c>
      <c r="I663" s="1" t="s">
        <v>1182</v>
      </c>
      <c r="Q663" s="1" t="s">
        <v>733</v>
      </c>
      <c r="R663" s="1" t="s">
        <v>743</v>
      </c>
      <c r="S663" s="1" t="s">
        <v>748</v>
      </c>
    </row>
    <row r="664" spans="1:19" x14ac:dyDescent="0.25">
      <c r="A664" s="1">
        <v>1920922190000</v>
      </c>
      <c r="B664" s="1" t="s">
        <v>733</v>
      </c>
      <c r="C664" s="1" t="s">
        <v>1656</v>
      </c>
      <c r="E664" s="1" t="s">
        <v>749</v>
      </c>
      <c r="F664" s="1">
        <v>1920922190000</v>
      </c>
      <c r="G664" s="1" t="s">
        <v>750</v>
      </c>
      <c r="H664" s="1" t="s">
        <v>1855</v>
      </c>
      <c r="I664" s="1" t="s">
        <v>1182</v>
      </c>
      <c r="Q664" s="1" t="s">
        <v>733</v>
      </c>
      <c r="R664" s="1" t="s">
        <v>749</v>
      </c>
      <c r="S664" s="1" t="s">
        <v>750</v>
      </c>
    </row>
    <row r="665" spans="1:19" x14ac:dyDescent="0.25">
      <c r="A665" s="1">
        <v>1921050000000</v>
      </c>
      <c r="B665" s="1" t="s">
        <v>733</v>
      </c>
      <c r="C665" s="1" t="s">
        <v>1656</v>
      </c>
      <c r="E665" s="1" t="s">
        <v>749</v>
      </c>
      <c r="F665" s="1">
        <v>1921050000000</v>
      </c>
      <c r="G665" s="1" t="s">
        <v>751</v>
      </c>
      <c r="H665" s="1" t="s">
        <v>1856</v>
      </c>
      <c r="I665" s="1" t="s">
        <v>1204</v>
      </c>
      <c r="Q665" s="1" t="s">
        <v>733</v>
      </c>
      <c r="R665" s="1" t="s">
        <v>749</v>
      </c>
      <c r="S665" s="1" t="s">
        <v>751</v>
      </c>
    </row>
    <row r="666" spans="1:19" x14ac:dyDescent="0.25">
      <c r="A666" s="1">
        <v>1920903780000</v>
      </c>
      <c r="B666" s="1" t="s">
        <v>752</v>
      </c>
      <c r="C666" s="1" t="s">
        <v>1857</v>
      </c>
      <c r="E666" s="1" t="s">
        <v>753</v>
      </c>
      <c r="F666" s="1">
        <v>1920903780000</v>
      </c>
      <c r="G666" s="1" t="s">
        <v>754</v>
      </c>
      <c r="H666" s="1" t="s">
        <v>1858</v>
      </c>
      <c r="I666" s="1" t="s">
        <v>1182</v>
      </c>
      <c r="Q666" s="1" t="s">
        <v>752</v>
      </c>
      <c r="R666" s="1" t="s">
        <v>753</v>
      </c>
      <c r="S666" s="1" t="s">
        <v>754</v>
      </c>
    </row>
    <row r="667" spans="1:19" x14ac:dyDescent="0.25">
      <c r="A667" s="1">
        <v>1920984000000</v>
      </c>
      <c r="B667" s="1" t="s">
        <v>752</v>
      </c>
      <c r="C667" s="1" t="s">
        <v>1857</v>
      </c>
      <c r="E667" s="1" t="s">
        <v>753</v>
      </c>
      <c r="F667" s="1">
        <v>1920984000000</v>
      </c>
      <c r="G667" s="1" t="s">
        <v>755</v>
      </c>
      <c r="H667" s="1" t="s">
        <v>1859</v>
      </c>
      <c r="I667" s="1" t="s">
        <v>1204</v>
      </c>
      <c r="Q667" s="1" t="s">
        <v>752</v>
      </c>
      <c r="R667" s="1" t="s">
        <v>753</v>
      </c>
      <c r="S667" s="1" t="s">
        <v>755</v>
      </c>
    </row>
    <row r="668" spans="1:19" x14ac:dyDescent="0.25">
      <c r="A668" s="1">
        <v>1920904150000</v>
      </c>
      <c r="B668" s="1" t="s">
        <v>752</v>
      </c>
      <c r="C668" s="1" t="s">
        <v>1857</v>
      </c>
      <c r="E668" s="1" t="s">
        <v>752</v>
      </c>
      <c r="F668" s="1">
        <v>1920904150000</v>
      </c>
      <c r="G668" s="1" t="s">
        <v>756</v>
      </c>
      <c r="H668" s="1" t="s">
        <v>1860</v>
      </c>
      <c r="I668" s="1" t="s">
        <v>1182</v>
      </c>
      <c r="Q668" s="1" t="s">
        <v>752</v>
      </c>
      <c r="R668" s="1" t="s">
        <v>752</v>
      </c>
      <c r="S668" s="1" t="s">
        <v>756</v>
      </c>
    </row>
    <row r="669" spans="1:19" x14ac:dyDescent="0.25">
      <c r="A669" s="1">
        <v>1920904150002</v>
      </c>
      <c r="B669" s="1" t="s">
        <v>752</v>
      </c>
      <c r="C669" s="1" t="s">
        <v>1857</v>
      </c>
      <c r="E669" s="1" t="s">
        <v>752</v>
      </c>
      <c r="F669" s="1">
        <v>1920904150002</v>
      </c>
      <c r="G669" s="1" t="s">
        <v>757</v>
      </c>
      <c r="H669" s="1" t="s">
        <v>1861</v>
      </c>
      <c r="I669" s="1" t="s">
        <v>1182</v>
      </c>
      <c r="Q669" s="1" t="s">
        <v>752</v>
      </c>
      <c r="R669" s="1" t="s">
        <v>752</v>
      </c>
      <c r="S669" s="1" t="s">
        <v>757</v>
      </c>
    </row>
    <row r="670" spans="1:19" x14ac:dyDescent="0.25">
      <c r="A670" s="1">
        <v>1921014000000</v>
      </c>
      <c r="B670" s="1" t="s">
        <v>752</v>
      </c>
      <c r="C670" s="1" t="s">
        <v>1857</v>
      </c>
      <c r="E670" s="1" t="s">
        <v>752</v>
      </c>
      <c r="F670" s="1">
        <v>1921014000000</v>
      </c>
      <c r="G670" s="1" t="s">
        <v>758</v>
      </c>
      <c r="H670" s="1" t="s">
        <v>1862</v>
      </c>
      <c r="I670" s="1" t="s">
        <v>1204</v>
      </c>
      <c r="Q670" s="1" t="s">
        <v>752</v>
      </c>
      <c r="R670" s="1" t="s">
        <v>752</v>
      </c>
      <c r="S670" s="1" t="s">
        <v>758</v>
      </c>
    </row>
    <row r="671" spans="1:19" x14ac:dyDescent="0.25">
      <c r="A671" s="1">
        <v>1920928820000</v>
      </c>
      <c r="B671" s="1" t="s">
        <v>752</v>
      </c>
      <c r="C671" s="1" t="s">
        <v>1857</v>
      </c>
      <c r="E671" s="1" t="s">
        <v>752</v>
      </c>
      <c r="F671" s="1">
        <v>1920928820000</v>
      </c>
      <c r="G671" s="1" t="s">
        <v>759</v>
      </c>
      <c r="H671" s="1" t="s">
        <v>1863</v>
      </c>
      <c r="I671" s="1" t="s">
        <v>1182</v>
      </c>
      <c r="Q671" s="1" t="s">
        <v>752</v>
      </c>
      <c r="R671" s="1" t="s">
        <v>752</v>
      </c>
      <c r="S671" s="1" t="s">
        <v>759</v>
      </c>
    </row>
    <row r="672" spans="1:19" x14ac:dyDescent="0.25">
      <c r="A672" s="1">
        <v>1920928820001</v>
      </c>
      <c r="B672" s="1" t="s">
        <v>752</v>
      </c>
      <c r="C672" s="1" t="s">
        <v>1857</v>
      </c>
      <c r="E672" s="1" t="s">
        <v>752</v>
      </c>
      <c r="F672" s="1">
        <v>1920928820001</v>
      </c>
      <c r="G672" s="1" t="s">
        <v>760</v>
      </c>
      <c r="H672" s="1" t="s">
        <v>1864</v>
      </c>
      <c r="I672" s="1" t="s">
        <v>1182</v>
      </c>
      <c r="Q672" s="1" t="s">
        <v>752</v>
      </c>
      <c r="R672" s="1" t="s">
        <v>752</v>
      </c>
      <c r="S672" s="1" t="s">
        <v>760</v>
      </c>
    </row>
    <row r="673" spans="1:19" x14ac:dyDescent="0.25">
      <c r="A673" s="1">
        <v>1920928820002</v>
      </c>
      <c r="B673" s="1" t="s">
        <v>752</v>
      </c>
      <c r="C673" s="1" t="s">
        <v>1857</v>
      </c>
      <c r="E673" s="1" t="s">
        <v>752</v>
      </c>
      <c r="F673" s="1">
        <v>1920928820002</v>
      </c>
      <c r="G673" s="1" t="s">
        <v>761</v>
      </c>
      <c r="H673" s="1" t="s">
        <v>1865</v>
      </c>
      <c r="I673" s="1" t="s">
        <v>1182</v>
      </c>
      <c r="Q673" s="1" t="s">
        <v>752</v>
      </c>
      <c r="R673" s="1" t="s">
        <v>752</v>
      </c>
      <c r="S673" s="1" t="s">
        <v>761</v>
      </c>
    </row>
    <row r="674" spans="1:19" x14ac:dyDescent="0.25">
      <c r="A674" s="1">
        <v>1920932080000</v>
      </c>
      <c r="B674" s="1" t="s">
        <v>752</v>
      </c>
      <c r="C674" s="1" t="s">
        <v>1857</v>
      </c>
      <c r="E674" s="1" t="s">
        <v>752</v>
      </c>
      <c r="F674" s="1">
        <v>1920932080000</v>
      </c>
      <c r="G674" s="1" t="s">
        <v>762</v>
      </c>
      <c r="H674" s="1" t="s">
        <v>1866</v>
      </c>
      <c r="I674" s="1" t="s">
        <v>1182</v>
      </c>
      <c r="Q674" s="1" t="s">
        <v>752</v>
      </c>
      <c r="R674" s="1" t="s">
        <v>752</v>
      </c>
      <c r="S674" s="1" t="s">
        <v>762</v>
      </c>
    </row>
    <row r="675" spans="1:19" x14ac:dyDescent="0.25">
      <c r="A675" s="1">
        <v>1920932150000</v>
      </c>
      <c r="B675" s="1" t="s">
        <v>752</v>
      </c>
      <c r="C675" s="1" t="s">
        <v>1857</v>
      </c>
      <c r="E675" s="1" t="s">
        <v>752</v>
      </c>
      <c r="F675" s="1">
        <v>1920932150000</v>
      </c>
      <c r="G675" s="1" t="s">
        <v>763</v>
      </c>
      <c r="H675" s="1" t="s">
        <v>1867</v>
      </c>
      <c r="I675" s="1" t="s">
        <v>1182</v>
      </c>
      <c r="Q675" s="1" t="s">
        <v>752</v>
      </c>
      <c r="R675" s="1" t="s">
        <v>752</v>
      </c>
      <c r="S675" s="1" t="s">
        <v>763</v>
      </c>
    </row>
    <row r="676" spans="1:19" x14ac:dyDescent="0.25">
      <c r="A676" s="1">
        <v>1920933810000</v>
      </c>
      <c r="B676" s="1" t="s">
        <v>752</v>
      </c>
      <c r="C676" s="1" t="s">
        <v>1857</v>
      </c>
      <c r="E676" s="1" t="s">
        <v>752</v>
      </c>
      <c r="F676" s="1">
        <v>1920933810000</v>
      </c>
      <c r="G676" s="1" t="s">
        <v>764</v>
      </c>
      <c r="H676" s="1" t="s">
        <v>1868</v>
      </c>
      <c r="I676" s="1" t="s">
        <v>1182</v>
      </c>
      <c r="Q676" s="1" t="s">
        <v>752</v>
      </c>
      <c r="R676" s="1" t="s">
        <v>752</v>
      </c>
      <c r="S676" s="1" t="s">
        <v>764</v>
      </c>
    </row>
    <row r="677" spans="1:19" x14ac:dyDescent="0.25">
      <c r="A677" s="1">
        <v>1920936730000</v>
      </c>
      <c r="B677" s="1" t="s">
        <v>752</v>
      </c>
      <c r="C677" s="1" t="s">
        <v>1857</v>
      </c>
      <c r="E677" s="1" t="s">
        <v>752</v>
      </c>
      <c r="F677" s="1">
        <v>1920936730000</v>
      </c>
      <c r="G677" s="1" t="s">
        <v>765</v>
      </c>
      <c r="H677" s="1" t="s">
        <v>1869</v>
      </c>
      <c r="I677" s="1" t="s">
        <v>1182</v>
      </c>
      <c r="Q677" s="1" t="s">
        <v>752</v>
      </c>
      <c r="R677" s="1" t="s">
        <v>752</v>
      </c>
      <c r="S677" s="1" t="s">
        <v>765</v>
      </c>
    </row>
    <row r="678" spans="1:19" x14ac:dyDescent="0.25">
      <c r="A678" s="1">
        <v>1920949000000</v>
      </c>
      <c r="B678" s="1" t="s">
        <v>752</v>
      </c>
      <c r="C678" s="1" t="s">
        <v>1857</v>
      </c>
      <c r="E678" s="1" t="s">
        <v>752</v>
      </c>
      <c r="F678" s="1">
        <v>1920949000000</v>
      </c>
      <c r="G678" s="1" t="s">
        <v>766</v>
      </c>
      <c r="H678" s="1" t="s">
        <v>1870</v>
      </c>
      <c r="I678" s="1" t="s">
        <v>1182</v>
      </c>
      <c r="Q678" s="1" t="s">
        <v>752</v>
      </c>
      <c r="R678" s="1" t="s">
        <v>752</v>
      </c>
      <c r="S678" s="1" t="s">
        <v>766</v>
      </c>
    </row>
    <row r="679" spans="1:19" x14ac:dyDescent="0.25">
      <c r="A679" s="1">
        <v>1920937380000</v>
      </c>
      <c r="B679" s="1" t="s">
        <v>752</v>
      </c>
      <c r="C679" s="1" t="s">
        <v>1857</v>
      </c>
      <c r="E679" s="1" t="s">
        <v>752</v>
      </c>
      <c r="F679" s="1">
        <v>1920937380000</v>
      </c>
      <c r="G679" s="1" t="s">
        <v>767</v>
      </c>
      <c r="H679" s="1" t="s">
        <v>1871</v>
      </c>
      <c r="I679" s="1" t="s">
        <v>1182</v>
      </c>
      <c r="Q679" s="1" t="s">
        <v>752</v>
      </c>
      <c r="R679" s="1" t="s">
        <v>752</v>
      </c>
      <c r="S679" s="1" t="s">
        <v>767</v>
      </c>
    </row>
    <row r="680" spans="1:19" x14ac:dyDescent="0.25">
      <c r="A680" s="1">
        <v>1920936690000</v>
      </c>
      <c r="B680" s="1" t="s">
        <v>752</v>
      </c>
      <c r="C680" s="1" t="s">
        <v>1857</v>
      </c>
      <c r="E680" s="1" t="s">
        <v>768</v>
      </c>
      <c r="F680" s="1">
        <v>1920936690000</v>
      </c>
      <c r="G680" s="1" t="s">
        <v>769</v>
      </c>
      <c r="H680" s="1" t="s">
        <v>1872</v>
      </c>
      <c r="I680" s="1" t="s">
        <v>1182</v>
      </c>
      <c r="Q680" s="1" t="s">
        <v>752</v>
      </c>
      <c r="R680" s="1" t="s">
        <v>768</v>
      </c>
      <c r="S680" s="1" t="s">
        <v>769</v>
      </c>
    </row>
    <row r="681" spans="1:19" x14ac:dyDescent="0.25">
      <c r="A681" s="1">
        <v>1921015000000</v>
      </c>
      <c r="B681" s="1" t="s">
        <v>752</v>
      </c>
      <c r="C681" s="1" t="s">
        <v>1857</v>
      </c>
      <c r="E681" s="1" t="s">
        <v>768</v>
      </c>
      <c r="F681" s="1">
        <v>1921015000000</v>
      </c>
      <c r="G681" s="1" t="s">
        <v>770</v>
      </c>
      <c r="H681" s="1" t="s">
        <v>1873</v>
      </c>
      <c r="I681" s="1" t="s">
        <v>1204</v>
      </c>
      <c r="Q681" s="1" t="s">
        <v>752</v>
      </c>
      <c r="R681" s="1" t="s">
        <v>768</v>
      </c>
      <c r="S681" s="1" t="s">
        <v>770</v>
      </c>
    </row>
    <row r="682" spans="1:19" x14ac:dyDescent="0.25">
      <c r="A682" s="1">
        <v>1920936800000</v>
      </c>
      <c r="B682" s="1" t="s">
        <v>752</v>
      </c>
      <c r="C682" s="1" t="s">
        <v>1857</v>
      </c>
      <c r="E682" s="1" t="s">
        <v>771</v>
      </c>
      <c r="F682" s="1">
        <v>1920936800000</v>
      </c>
      <c r="G682" s="1" t="s">
        <v>772</v>
      </c>
      <c r="H682" s="1" t="s">
        <v>1874</v>
      </c>
      <c r="I682" s="1" t="s">
        <v>1182</v>
      </c>
      <c r="Q682" s="1" t="s">
        <v>752</v>
      </c>
      <c r="R682" s="1" t="s">
        <v>771</v>
      </c>
      <c r="S682" s="1" t="s">
        <v>772</v>
      </c>
    </row>
    <row r="683" spans="1:19" x14ac:dyDescent="0.25">
      <c r="A683" s="1">
        <v>1921016000000</v>
      </c>
      <c r="B683" s="1" t="s">
        <v>752</v>
      </c>
      <c r="C683" s="1" t="s">
        <v>1857</v>
      </c>
      <c r="E683" s="1" t="s">
        <v>771</v>
      </c>
      <c r="F683" s="1">
        <v>1921016000000</v>
      </c>
      <c r="G683" s="1" t="s">
        <v>773</v>
      </c>
      <c r="H683" s="1" t="s">
        <v>1875</v>
      </c>
      <c r="I683" s="1" t="s">
        <v>1204</v>
      </c>
      <c r="Q683" s="1" t="s">
        <v>752</v>
      </c>
      <c r="R683" s="1" t="s">
        <v>771</v>
      </c>
      <c r="S683" s="1" t="s">
        <v>773</v>
      </c>
    </row>
    <row r="684" spans="1:19" x14ac:dyDescent="0.25">
      <c r="A684" s="1">
        <v>1920936950000</v>
      </c>
      <c r="B684" s="1" t="s">
        <v>752</v>
      </c>
      <c r="C684" s="1" t="s">
        <v>1857</v>
      </c>
      <c r="E684" s="1" t="s">
        <v>774</v>
      </c>
      <c r="F684" s="1">
        <v>1920936950000</v>
      </c>
      <c r="G684" s="1" t="s">
        <v>775</v>
      </c>
      <c r="H684" s="1" t="s">
        <v>1876</v>
      </c>
      <c r="I684" s="1" t="s">
        <v>1182</v>
      </c>
      <c r="Q684" s="1" t="s">
        <v>752</v>
      </c>
      <c r="R684" s="1" t="s">
        <v>774</v>
      </c>
      <c r="S684" s="1" t="s">
        <v>775</v>
      </c>
    </row>
    <row r="685" spans="1:19" x14ac:dyDescent="0.25">
      <c r="A685" s="1">
        <v>1921017000000</v>
      </c>
      <c r="B685" s="1" t="s">
        <v>752</v>
      </c>
      <c r="C685" s="1" t="s">
        <v>1857</v>
      </c>
      <c r="E685" s="1" t="s">
        <v>774</v>
      </c>
      <c r="F685" s="1">
        <v>1921017000000</v>
      </c>
      <c r="G685" s="1" t="s">
        <v>776</v>
      </c>
      <c r="H685" s="1" t="s">
        <v>1877</v>
      </c>
      <c r="I685" s="1" t="s">
        <v>1204</v>
      </c>
      <c r="Q685" s="1" t="s">
        <v>752</v>
      </c>
      <c r="R685" s="1" t="s">
        <v>774</v>
      </c>
      <c r="S685" s="1" t="s">
        <v>776</v>
      </c>
    </row>
    <row r="686" spans="1:19" x14ac:dyDescent="0.25">
      <c r="A686" s="1">
        <v>1920902970000</v>
      </c>
      <c r="B686" s="1" t="s">
        <v>752</v>
      </c>
      <c r="C686" s="1" t="s">
        <v>1857</v>
      </c>
      <c r="E686" s="1" t="s">
        <v>777</v>
      </c>
      <c r="F686" s="1">
        <v>1920902970000</v>
      </c>
      <c r="G686" s="1" t="s">
        <v>778</v>
      </c>
      <c r="H686" s="1" t="s">
        <v>1878</v>
      </c>
      <c r="I686" s="1" t="s">
        <v>1182</v>
      </c>
      <c r="Q686" s="1" t="s">
        <v>752</v>
      </c>
      <c r="R686" s="1" t="s">
        <v>777</v>
      </c>
      <c r="S686" s="1" t="s">
        <v>778</v>
      </c>
    </row>
    <row r="687" spans="1:19" x14ac:dyDescent="0.25">
      <c r="A687" s="1">
        <v>1920902970001</v>
      </c>
      <c r="B687" s="1" t="s">
        <v>752</v>
      </c>
      <c r="C687" s="1" t="s">
        <v>1857</v>
      </c>
      <c r="E687" s="1" t="s">
        <v>777</v>
      </c>
      <c r="F687" s="1">
        <v>1920902970001</v>
      </c>
      <c r="G687" s="1" t="s">
        <v>779</v>
      </c>
      <c r="H687" s="1" t="s">
        <v>1879</v>
      </c>
      <c r="I687" s="1" t="s">
        <v>1182</v>
      </c>
      <c r="Q687" s="1" t="s">
        <v>752</v>
      </c>
      <c r="R687" s="1" t="s">
        <v>777</v>
      </c>
      <c r="S687" s="1" t="s">
        <v>779</v>
      </c>
    </row>
    <row r="688" spans="1:19" x14ac:dyDescent="0.25">
      <c r="A688" s="1">
        <v>1920936840000</v>
      </c>
      <c r="B688" s="1" t="s">
        <v>752</v>
      </c>
      <c r="C688" s="1" t="s">
        <v>1857</v>
      </c>
      <c r="E688" s="1" t="s">
        <v>780</v>
      </c>
      <c r="F688" s="1">
        <v>1920936840000</v>
      </c>
      <c r="G688" s="1" t="s">
        <v>781</v>
      </c>
      <c r="H688" s="1" t="s">
        <v>1880</v>
      </c>
      <c r="I688" s="1" t="s">
        <v>1182</v>
      </c>
      <c r="Q688" s="1" t="s">
        <v>752</v>
      </c>
      <c r="R688" s="1" t="s">
        <v>780</v>
      </c>
      <c r="S688" s="1" t="s">
        <v>781</v>
      </c>
    </row>
    <row r="689" spans="1:19" x14ac:dyDescent="0.25">
      <c r="A689" s="1">
        <v>1920936840001</v>
      </c>
      <c r="B689" s="1" t="s">
        <v>752</v>
      </c>
      <c r="C689" s="1" t="s">
        <v>1857</v>
      </c>
      <c r="E689" s="1" t="s">
        <v>780</v>
      </c>
      <c r="F689" s="1">
        <v>1920936840001</v>
      </c>
      <c r="G689" s="1" t="s">
        <v>782</v>
      </c>
      <c r="H689" s="1" t="s">
        <v>1881</v>
      </c>
      <c r="I689" s="1" t="s">
        <v>1182</v>
      </c>
      <c r="Q689" s="1" t="s">
        <v>752</v>
      </c>
      <c r="R689" s="1" t="s">
        <v>780</v>
      </c>
      <c r="S689" s="1" t="s">
        <v>782</v>
      </c>
    </row>
    <row r="690" spans="1:19" x14ac:dyDescent="0.25">
      <c r="A690" s="1">
        <v>1921018000000</v>
      </c>
      <c r="B690" s="1" t="s">
        <v>752</v>
      </c>
      <c r="C690" s="1" t="s">
        <v>1857</v>
      </c>
      <c r="E690" s="1" t="s">
        <v>780</v>
      </c>
      <c r="F690" s="1">
        <v>1921018000000</v>
      </c>
      <c r="G690" s="1" t="s">
        <v>783</v>
      </c>
      <c r="H690" s="1" t="s">
        <v>1882</v>
      </c>
      <c r="I690" s="1" t="s">
        <v>1204</v>
      </c>
      <c r="Q690" s="1" t="s">
        <v>752</v>
      </c>
      <c r="R690" s="1" t="s">
        <v>780</v>
      </c>
      <c r="S690" s="1" t="s">
        <v>783</v>
      </c>
    </row>
    <row r="691" spans="1:19" x14ac:dyDescent="0.25">
      <c r="A691" s="1">
        <v>1920915480000</v>
      </c>
      <c r="B691" s="1" t="s">
        <v>784</v>
      </c>
      <c r="C691" s="1" t="s">
        <v>1883</v>
      </c>
      <c r="E691" s="1" t="s">
        <v>785</v>
      </c>
      <c r="F691" s="1">
        <v>1920915480000</v>
      </c>
      <c r="G691" s="1" t="s">
        <v>786</v>
      </c>
      <c r="H691" s="1" t="s">
        <v>1884</v>
      </c>
      <c r="I691" s="1" t="s">
        <v>1182</v>
      </c>
      <c r="Q691" s="1" t="s">
        <v>784</v>
      </c>
      <c r="R691" s="1" t="s">
        <v>785</v>
      </c>
      <c r="S691" s="1" t="s">
        <v>786</v>
      </c>
    </row>
    <row r="692" spans="1:19" x14ac:dyDescent="0.25">
      <c r="A692" s="1">
        <v>1920916480000</v>
      </c>
      <c r="B692" s="1" t="s">
        <v>784</v>
      </c>
      <c r="C692" s="1" t="s">
        <v>1883</v>
      </c>
      <c r="E692" s="1" t="s">
        <v>785</v>
      </c>
      <c r="F692" s="1">
        <v>1920916480000</v>
      </c>
      <c r="G692" s="1" t="s">
        <v>787</v>
      </c>
      <c r="H692" s="1" t="s">
        <v>1885</v>
      </c>
      <c r="I692" s="1" t="s">
        <v>1182</v>
      </c>
      <c r="Q692" s="1" t="s">
        <v>784</v>
      </c>
      <c r="R692" s="1" t="s">
        <v>785</v>
      </c>
      <c r="S692" s="1" t="s">
        <v>787</v>
      </c>
    </row>
    <row r="693" spans="1:19" x14ac:dyDescent="0.25">
      <c r="A693" s="1">
        <v>1920916530000</v>
      </c>
      <c r="B693" s="1" t="s">
        <v>784</v>
      </c>
      <c r="C693" s="1" t="s">
        <v>1883</v>
      </c>
      <c r="E693" s="1" t="s">
        <v>785</v>
      </c>
      <c r="F693" s="1">
        <v>1920916530000</v>
      </c>
      <c r="G693" s="1" t="s">
        <v>788</v>
      </c>
      <c r="H693" s="1" t="s">
        <v>1886</v>
      </c>
      <c r="I693" s="1" t="s">
        <v>1182</v>
      </c>
      <c r="Q693" s="1" t="s">
        <v>784</v>
      </c>
      <c r="R693" s="1" t="s">
        <v>785</v>
      </c>
      <c r="S693" s="1" t="s">
        <v>788</v>
      </c>
    </row>
    <row r="694" spans="1:19" x14ac:dyDescent="0.25">
      <c r="A694" s="1">
        <v>1921042000000</v>
      </c>
      <c r="B694" s="1" t="s">
        <v>784</v>
      </c>
      <c r="C694" s="1" t="s">
        <v>1883</v>
      </c>
      <c r="E694" s="1" t="s">
        <v>785</v>
      </c>
      <c r="F694" s="1">
        <v>1921042000000</v>
      </c>
      <c r="G694" s="1" t="s">
        <v>789</v>
      </c>
      <c r="H694" s="1" t="s">
        <v>1887</v>
      </c>
      <c r="I694" s="1" t="s">
        <v>1204</v>
      </c>
      <c r="Q694" s="1" t="s">
        <v>784</v>
      </c>
      <c r="R694" s="1" t="s">
        <v>785</v>
      </c>
      <c r="S694" s="1" t="s">
        <v>789</v>
      </c>
    </row>
    <row r="695" spans="1:19" x14ac:dyDescent="0.25">
      <c r="A695" s="1">
        <v>1920901630000</v>
      </c>
      <c r="B695" s="1" t="s">
        <v>784</v>
      </c>
      <c r="C695" s="1" t="s">
        <v>1883</v>
      </c>
      <c r="E695" s="1" t="s">
        <v>790</v>
      </c>
      <c r="F695" s="1">
        <v>1920901630000</v>
      </c>
      <c r="G695" s="1" t="s">
        <v>791</v>
      </c>
      <c r="H695" s="1" t="s">
        <v>1888</v>
      </c>
      <c r="I695" s="1" t="s">
        <v>1182</v>
      </c>
      <c r="Q695" s="1" t="s">
        <v>784</v>
      </c>
      <c r="R695" s="1" t="s">
        <v>790</v>
      </c>
      <c r="S695" s="1" t="s">
        <v>791</v>
      </c>
    </row>
    <row r="696" spans="1:19" x14ac:dyDescent="0.25">
      <c r="A696" s="1">
        <v>1920901630002</v>
      </c>
      <c r="B696" s="1" t="s">
        <v>784</v>
      </c>
      <c r="C696" s="1" t="s">
        <v>1883</v>
      </c>
      <c r="E696" s="1" t="s">
        <v>790</v>
      </c>
      <c r="F696" s="1">
        <v>1920901630002</v>
      </c>
      <c r="G696" s="1" t="s">
        <v>792</v>
      </c>
      <c r="H696" s="1" t="s">
        <v>1889</v>
      </c>
      <c r="I696" s="1" t="s">
        <v>1182</v>
      </c>
      <c r="Q696" s="1" t="s">
        <v>784</v>
      </c>
      <c r="R696" s="1" t="s">
        <v>790</v>
      </c>
      <c r="S696" s="1" t="s">
        <v>792</v>
      </c>
    </row>
    <row r="697" spans="1:19" x14ac:dyDescent="0.25">
      <c r="A697" s="1">
        <v>1921043000000</v>
      </c>
      <c r="B697" s="1" t="s">
        <v>784</v>
      </c>
      <c r="C697" s="1" t="s">
        <v>1883</v>
      </c>
      <c r="E697" s="1" t="s">
        <v>790</v>
      </c>
      <c r="F697" s="1">
        <v>1921043000000</v>
      </c>
      <c r="G697" s="1" t="s">
        <v>793</v>
      </c>
      <c r="H697" s="1" t="s">
        <v>1890</v>
      </c>
      <c r="I697" s="1" t="s">
        <v>1204</v>
      </c>
      <c r="Q697" s="1" t="s">
        <v>784</v>
      </c>
      <c r="R697" s="1" t="s">
        <v>790</v>
      </c>
      <c r="S697" s="1" t="s">
        <v>793</v>
      </c>
    </row>
    <row r="698" spans="1:19" x14ac:dyDescent="0.25">
      <c r="A698" s="1">
        <v>1920937640000</v>
      </c>
      <c r="B698" s="1" t="s">
        <v>784</v>
      </c>
      <c r="C698" s="1" t="s">
        <v>1883</v>
      </c>
      <c r="E698" s="1" t="s">
        <v>790</v>
      </c>
      <c r="F698" s="1">
        <v>1920937640000</v>
      </c>
      <c r="G698" s="1" t="s">
        <v>794</v>
      </c>
      <c r="H698" s="1" t="s">
        <v>1891</v>
      </c>
      <c r="I698" s="1" t="s">
        <v>1182</v>
      </c>
      <c r="Q698" s="1" t="s">
        <v>784</v>
      </c>
      <c r="R698" s="1" t="s">
        <v>790</v>
      </c>
      <c r="S698" s="1" t="s">
        <v>794</v>
      </c>
    </row>
    <row r="699" spans="1:19" x14ac:dyDescent="0.25">
      <c r="A699" s="1">
        <v>1920915450000</v>
      </c>
      <c r="B699" s="1" t="s">
        <v>784</v>
      </c>
      <c r="C699" s="1" t="s">
        <v>1883</v>
      </c>
      <c r="E699" s="1" t="s">
        <v>795</v>
      </c>
      <c r="F699" s="1">
        <v>1920915450000</v>
      </c>
      <c r="G699" s="1" t="s">
        <v>796</v>
      </c>
      <c r="H699" s="1" t="s">
        <v>1892</v>
      </c>
      <c r="I699" s="1" t="s">
        <v>1182</v>
      </c>
      <c r="Q699" s="1" t="s">
        <v>784</v>
      </c>
      <c r="R699" s="1" t="s">
        <v>795</v>
      </c>
      <c r="S699" s="1" t="s">
        <v>796</v>
      </c>
    </row>
    <row r="700" spans="1:19" x14ac:dyDescent="0.25">
      <c r="A700" s="1">
        <v>1920915450001</v>
      </c>
      <c r="B700" s="1" t="s">
        <v>784</v>
      </c>
      <c r="C700" s="1" t="s">
        <v>1883</v>
      </c>
      <c r="E700" s="1" t="s">
        <v>795</v>
      </c>
      <c r="F700" s="1">
        <v>1920915450001</v>
      </c>
      <c r="G700" s="1" t="s">
        <v>797</v>
      </c>
      <c r="H700" s="1" t="s">
        <v>1893</v>
      </c>
      <c r="I700" s="1" t="s">
        <v>1182</v>
      </c>
      <c r="Q700" s="1" t="s">
        <v>784</v>
      </c>
      <c r="R700" s="1" t="s">
        <v>795</v>
      </c>
      <c r="S700" s="1" t="s">
        <v>797</v>
      </c>
    </row>
    <row r="701" spans="1:19" x14ac:dyDescent="0.25">
      <c r="A701" s="1">
        <v>1920916430000</v>
      </c>
      <c r="B701" s="1" t="s">
        <v>784</v>
      </c>
      <c r="C701" s="1" t="s">
        <v>1883</v>
      </c>
      <c r="E701" s="1" t="s">
        <v>798</v>
      </c>
      <c r="F701" s="1">
        <v>1920916430000</v>
      </c>
      <c r="G701" s="1" t="s">
        <v>799</v>
      </c>
      <c r="H701" s="1" t="s">
        <v>1894</v>
      </c>
      <c r="I701" s="1" t="s">
        <v>1182</v>
      </c>
      <c r="Q701" s="1" t="s">
        <v>784</v>
      </c>
      <c r="R701" s="1" t="s">
        <v>798</v>
      </c>
      <c r="S701" s="1" t="s">
        <v>799</v>
      </c>
    </row>
    <row r="702" spans="1:19" x14ac:dyDescent="0.25">
      <c r="A702" s="1">
        <v>1920916490000</v>
      </c>
      <c r="B702" s="1" t="s">
        <v>784</v>
      </c>
      <c r="C702" s="1" t="s">
        <v>1883</v>
      </c>
      <c r="E702" s="1" t="s">
        <v>798</v>
      </c>
      <c r="F702" s="1">
        <v>1920916490000</v>
      </c>
      <c r="G702" s="1" t="s">
        <v>800</v>
      </c>
      <c r="H702" s="1" t="s">
        <v>1895</v>
      </c>
      <c r="I702" s="1" t="s">
        <v>1182</v>
      </c>
      <c r="Q702" s="1" t="s">
        <v>784</v>
      </c>
      <c r="R702" s="1" t="s">
        <v>798</v>
      </c>
      <c r="S702" s="1" t="s">
        <v>800</v>
      </c>
    </row>
    <row r="703" spans="1:19" x14ac:dyDescent="0.25">
      <c r="A703" s="1">
        <v>1920916710000</v>
      </c>
      <c r="B703" s="1" t="s">
        <v>784</v>
      </c>
      <c r="C703" s="1" t="s">
        <v>1883</v>
      </c>
      <c r="E703" s="1" t="s">
        <v>798</v>
      </c>
      <c r="F703" s="1">
        <v>1920916710000</v>
      </c>
      <c r="G703" s="1" t="s">
        <v>801</v>
      </c>
      <c r="H703" s="1" t="s">
        <v>1896</v>
      </c>
      <c r="I703" s="1" t="s">
        <v>1182</v>
      </c>
      <c r="Q703" s="1" t="s">
        <v>784</v>
      </c>
      <c r="R703" s="1" t="s">
        <v>798</v>
      </c>
      <c r="S703" s="1" t="s">
        <v>801</v>
      </c>
    </row>
    <row r="704" spans="1:19" x14ac:dyDescent="0.25">
      <c r="A704" s="1">
        <v>1920916720000</v>
      </c>
      <c r="B704" s="1" t="s">
        <v>784</v>
      </c>
      <c r="C704" s="1" t="s">
        <v>1883</v>
      </c>
      <c r="E704" s="1" t="s">
        <v>798</v>
      </c>
      <c r="F704" s="1">
        <v>1920916720000</v>
      </c>
      <c r="G704" s="1" t="s">
        <v>802</v>
      </c>
      <c r="H704" s="1" t="s">
        <v>1897</v>
      </c>
      <c r="I704" s="1" t="s">
        <v>1182</v>
      </c>
      <c r="Q704" s="1" t="s">
        <v>784</v>
      </c>
      <c r="R704" s="1" t="s">
        <v>798</v>
      </c>
      <c r="S704" s="1" t="s">
        <v>802</v>
      </c>
    </row>
    <row r="705" spans="1:19" x14ac:dyDescent="0.25">
      <c r="A705" s="1">
        <v>1920916860000</v>
      </c>
      <c r="B705" s="1" t="s">
        <v>784</v>
      </c>
      <c r="C705" s="1" t="s">
        <v>1883</v>
      </c>
      <c r="E705" s="1" t="s">
        <v>798</v>
      </c>
      <c r="F705" s="1">
        <v>1920916860000</v>
      </c>
      <c r="G705" s="1" t="s">
        <v>803</v>
      </c>
      <c r="H705" s="1" t="s">
        <v>1898</v>
      </c>
      <c r="I705" s="1" t="s">
        <v>1182</v>
      </c>
      <c r="Q705" s="1" t="s">
        <v>784</v>
      </c>
      <c r="R705" s="1" t="s">
        <v>798</v>
      </c>
      <c r="S705" s="1" t="s">
        <v>803</v>
      </c>
    </row>
    <row r="706" spans="1:19" x14ac:dyDescent="0.25">
      <c r="A706" s="1">
        <v>1920925000000</v>
      </c>
      <c r="B706" s="1" t="s">
        <v>784</v>
      </c>
      <c r="C706" s="1" t="s">
        <v>1883</v>
      </c>
      <c r="E706" s="1" t="s">
        <v>798</v>
      </c>
      <c r="F706" s="1">
        <v>1920925000000</v>
      </c>
      <c r="G706" s="1" t="s">
        <v>804</v>
      </c>
      <c r="H706" s="1" t="s">
        <v>1899</v>
      </c>
      <c r="I706" s="1" t="s">
        <v>1182</v>
      </c>
      <c r="Q706" s="1" t="s">
        <v>784</v>
      </c>
      <c r="R706" s="1" t="s">
        <v>798</v>
      </c>
      <c r="S706" s="1" t="s">
        <v>804</v>
      </c>
    </row>
    <row r="707" spans="1:19" x14ac:dyDescent="0.25">
      <c r="A707" s="1">
        <v>1920927660000</v>
      </c>
      <c r="B707" s="1" t="s">
        <v>784</v>
      </c>
      <c r="C707" s="1" t="s">
        <v>1883</v>
      </c>
      <c r="E707" s="1" t="s">
        <v>798</v>
      </c>
      <c r="F707" s="1">
        <v>1920927660000</v>
      </c>
      <c r="G707" s="1" t="s">
        <v>805</v>
      </c>
      <c r="H707" s="1" t="s">
        <v>1900</v>
      </c>
      <c r="I707" s="1" t="s">
        <v>1182</v>
      </c>
      <c r="Q707" s="1" t="s">
        <v>784</v>
      </c>
      <c r="R707" s="1" t="s">
        <v>798</v>
      </c>
      <c r="S707" s="1" t="s">
        <v>805</v>
      </c>
    </row>
    <row r="708" spans="1:19" x14ac:dyDescent="0.25">
      <c r="A708" s="1">
        <v>1920927660005</v>
      </c>
      <c r="B708" s="1" t="s">
        <v>784</v>
      </c>
      <c r="C708" s="1" t="s">
        <v>1883</v>
      </c>
      <c r="E708" s="1" t="s">
        <v>798</v>
      </c>
      <c r="F708" s="1">
        <v>1920927660005</v>
      </c>
      <c r="G708" s="1" t="s">
        <v>806</v>
      </c>
      <c r="H708" s="1" t="s">
        <v>1901</v>
      </c>
      <c r="I708" s="1" t="s">
        <v>1182</v>
      </c>
      <c r="Q708" s="1" t="s">
        <v>784</v>
      </c>
      <c r="R708" s="1" t="s">
        <v>798</v>
      </c>
      <c r="S708" s="1" t="s">
        <v>806</v>
      </c>
    </row>
    <row r="709" spans="1:19" x14ac:dyDescent="0.25">
      <c r="A709" s="1">
        <v>1920927660007</v>
      </c>
      <c r="B709" s="1" t="s">
        <v>784</v>
      </c>
      <c r="C709" s="1" t="s">
        <v>1883</v>
      </c>
      <c r="E709" s="1" t="s">
        <v>798</v>
      </c>
      <c r="F709" s="1">
        <v>1920927660007</v>
      </c>
      <c r="G709" s="1" t="s">
        <v>807</v>
      </c>
      <c r="H709" s="1" t="s">
        <v>1902</v>
      </c>
      <c r="I709" s="1" t="s">
        <v>1182</v>
      </c>
      <c r="Q709" s="1" t="s">
        <v>784</v>
      </c>
      <c r="R709" s="1" t="s">
        <v>798</v>
      </c>
      <c r="S709" s="1" t="s">
        <v>807</v>
      </c>
    </row>
    <row r="710" spans="1:19" x14ac:dyDescent="0.25">
      <c r="A710" s="1">
        <v>1920927660017</v>
      </c>
      <c r="B710" s="1" t="s">
        <v>784</v>
      </c>
      <c r="C710" s="1" t="s">
        <v>1883</v>
      </c>
      <c r="E710" s="1" t="s">
        <v>798</v>
      </c>
      <c r="F710" s="1">
        <v>1920927660017</v>
      </c>
      <c r="G710" s="1" t="s">
        <v>808</v>
      </c>
      <c r="H710" s="1" t="s">
        <v>1903</v>
      </c>
      <c r="I710" s="1" t="s">
        <v>1182</v>
      </c>
      <c r="Q710" s="1" t="s">
        <v>784</v>
      </c>
      <c r="R710" s="1" t="s">
        <v>798</v>
      </c>
      <c r="S710" s="1" t="s">
        <v>808</v>
      </c>
    </row>
    <row r="711" spans="1:19" x14ac:dyDescent="0.25">
      <c r="A711" s="1">
        <v>1920927180000</v>
      </c>
      <c r="B711" s="1" t="s">
        <v>784</v>
      </c>
      <c r="C711" s="1" t="s">
        <v>1883</v>
      </c>
      <c r="E711" s="1" t="s">
        <v>784</v>
      </c>
      <c r="F711" s="1">
        <v>1920927180000</v>
      </c>
      <c r="G711" s="1" t="s">
        <v>809</v>
      </c>
      <c r="H711" s="1" t="s">
        <v>1904</v>
      </c>
      <c r="I711" s="1" t="s">
        <v>1182</v>
      </c>
      <c r="Q711" s="1" t="s">
        <v>784</v>
      </c>
      <c r="R711" s="1" t="s">
        <v>784</v>
      </c>
      <c r="S711" s="1" t="s">
        <v>809</v>
      </c>
    </row>
    <row r="712" spans="1:19" x14ac:dyDescent="0.25">
      <c r="A712" s="1">
        <v>1921044000000</v>
      </c>
      <c r="B712" s="1" t="s">
        <v>784</v>
      </c>
      <c r="C712" s="1" t="s">
        <v>1883</v>
      </c>
      <c r="E712" s="1" t="s">
        <v>784</v>
      </c>
      <c r="F712" s="1">
        <v>1921044000000</v>
      </c>
      <c r="G712" s="1" t="s">
        <v>810</v>
      </c>
      <c r="H712" s="1" t="s">
        <v>1905</v>
      </c>
      <c r="I712" s="1" t="s">
        <v>1204</v>
      </c>
      <c r="Q712" s="1" t="s">
        <v>784</v>
      </c>
      <c r="R712" s="1" t="s">
        <v>784</v>
      </c>
      <c r="S712" s="1" t="s">
        <v>810</v>
      </c>
    </row>
    <row r="713" spans="1:19" x14ac:dyDescent="0.25">
      <c r="A713" s="1">
        <v>1920937540000</v>
      </c>
      <c r="B713" s="1" t="s">
        <v>784</v>
      </c>
      <c r="C713" s="1" t="s">
        <v>1883</v>
      </c>
      <c r="E713" s="1" t="s">
        <v>784</v>
      </c>
      <c r="F713" s="1">
        <v>1920937540000</v>
      </c>
      <c r="G713" s="1" t="s">
        <v>811</v>
      </c>
      <c r="H713" s="1" t="s">
        <v>1906</v>
      </c>
      <c r="I713" s="1" t="s">
        <v>1182</v>
      </c>
      <c r="Q713" s="1" t="s">
        <v>784</v>
      </c>
      <c r="R713" s="1" t="s">
        <v>784</v>
      </c>
      <c r="S713" s="1" t="s">
        <v>811</v>
      </c>
    </row>
    <row r="714" spans="1:19" x14ac:dyDescent="0.25">
      <c r="A714" s="1">
        <v>1920915400000</v>
      </c>
      <c r="B714" s="1" t="s">
        <v>784</v>
      </c>
      <c r="C714" s="1" t="s">
        <v>1883</v>
      </c>
      <c r="E714" s="1" t="s">
        <v>812</v>
      </c>
      <c r="F714" s="1">
        <v>1920915400000</v>
      </c>
      <c r="G714" s="1" t="s">
        <v>813</v>
      </c>
      <c r="H714" s="1" t="s">
        <v>1907</v>
      </c>
      <c r="I714" s="1" t="s">
        <v>1182</v>
      </c>
      <c r="Q714" s="1" t="s">
        <v>784</v>
      </c>
      <c r="R714" s="1" t="s">
        <v>812</v>
      </c>
      <c r="S714" s="1" t="s">
        <v>813</v>
      </c>
    </row>
    <row r="715" spans="1:19" x14ac:dyDescent="0.25">
      <c r="A715" s="1">
        <v>1920915400003</v>
      </c>
      <c r="B715" s="1" t="s">
        <v>784</v>
      </c>
      <c r="C715" s="1" t="s">
        <v>1883</v>
      </c>
      <c r="E715" s="1" t="s">
        <v>812</v>
      </c>
      <c r="F715" s="1">
        <v>1920915400003</v>
      </c>
      <c r="G715" s="1" t="s">
        <v>814</v>
      </c>
      <c r="H715" s="1" t="s">
        <v>1908</v>
      </c>
      <c r="I715" s="1" t="s">
        <v>1182</v>
      </c>
      <c r="Q715" s="1" t="s">
        <v>784</v>
      </c>
      <c r="R715" s="1" t="s">
        <v>812</v>
      </c>
      <c r="S715" s="1" t="s">
        <v>814</v>
      </c>
    </row>
    <row r="716" spans="1:19" x14ac:dyDescent="0.25">
      <c r="A716" s="1">
        <v>1921045000000</v>
      </c>
      <c r="B716" s="1" t="s">
        <v>784</v>
      </c>
      <c r="C716" s="1" t="s">
        <v>1883</v>
      </c>
      <c r="E716" s="1" t="s">
        <v>812</v>
      </c>
      <c r="F716" s="1">
        <v>1921045000000</v>
      </c>
      <c r="G716" s="1" t="s">
        <v>815</v>
      </c>
      <c r="H716" s="1" t="s">
        <v>1909</v>
      </c>
      <c r="I716" s="1" t="s">
        <v>1204</v>
      </c>
      <c r="Q716" s="1" t="s">
        <v>784</v>
      </c>
      <c r="R716" s="1" t="s">
        <v>812</v>
      </c>
      <c r="S716" s="1" t="s">
        <v>815</v>
      </c>
    </row>
    <row r="717" spans="1:19" x14ac:dyDescent="0.25">
      <c r="A717" s="1">
        <v>1920936810000</v>
      </c>
      <c r="B717" s="1" t="s">
        <v>784</v>
      </c>
      <c r="C717" s="1" t="s">
        <v>1883</v>
      </c>
      <c r="E717" s="1" t="s">
        <v>812</v>
      </c>
      <c r="F717" s="1">
        <v>1920936810000</v>
      </c>
      <c r="G717" s="1" t="s">
        <v>816</v>
      </c>
      <c r="H717" s="1" t="s">
        <v>1910</v>
      </c>
      <c r="I717" s="1" t="s">
        <v>1182</v>
      </c>
      <c r="Q717" s="1" t="s">
        <v>784</v>
      </c>
      <c r="R717" s="1" t="s">
        <v>812</v>
      </c>
      <c r="S717" s="1" t="s">
        <v>816</v>
      </c>
    </row>
    <row r="718" spans="1:19" x14ac:dyDescent="0.25">
      <c r="A718" s="1">
        <v>1920937270000</v>
      </c>
      <c r="B718" s="1" t="s">
        <v>784</v>
      </c>
      <c r="C718" s="1" t="s">
        <v>1883</v>
      </c>
      <c r="E718" s="1" t="s">
        <v>812</v>
      </c>
      <c r="F718" s="1">
        <v>1920937270000</v>
      </c>
      <c r="G718" s="1" t="s">
        <v>817</v>
      </c>
      <c r="H718" s="1" t="s">
        <v>1911</v>
      </c>
      <c r="I718" s="1" t="s">
        <v>1182</v>
      </c>
      <c r="Q718" s="1" t="s">
        <v>784</v>
      </c>
      <c r="R718" s="1" t="s">
        <v>812</v>
      </c>
      <c r="S718" s="1" t="s">
        <v>817</v>
      </c>
    </row>
    <row r="719" spans="1:19" x14ac:dyDescent="0.25">
      <c r="A719" s="1">
        <v>1920937370000</v>
      </c>
      <c r="B719" s="1" t="s">
        <v>784</v>
      </c>
      <c r="C719" s="1" t="s">
        <v>1883</v>
      </c>
      <c r="E719" s="1" t="s">
        <v>812</v>
      </c>
      <c r="F719" s="1">
        <v>1920937370000</v>
      </c>
      <c r="G719" s="1" t="s">
        <v>818</v>
      </c>
      <c r="H719" s="1" t="s">
        <v>1912</v>
      </c>
      <c r="I719" s="1" t="s">
        <v>1182</v>
      </c>
      <c r="Q719" s="1" t="s">
        <v>784</v>
      </c>
      <c r="R719" s="1" t="s">
        <v>812</v>
      </c>
      <c r="S719" s="1" t="s">
        <v>818</v>
      </c>
    </row>
    <row r="720" spans="1:19" x14ac:dyDescent="0.25">
      <c r="A720" s="1">
        <v>1920936600000</v>
      </c>
      <c r="B720" s="1" t="s">
        <v>784</v>
      </c>
      <c r="C720" s="1" t="s">
        <v>1883</v>
      </c>
      <c r="E720" s="1" t="s">
        <v>819</v>
      </c>
      <c r="F720" s="1">
        <v>1920936600000</v>
      </c>
      <c r="G720" s="1" t="s">
        <v>820</v>
      </c>
      <c r="H720" s="1" t="s">
        <v>1913</v>
      </c>
      <c r="I720" s="1" t="s">
        <v>1182</v>
      </c>
      <c r="Q720" s="1" t="s">
        <v>784</v>
      </c>
      <c r="R720" s="1" t="s">
        <v>819</v>
      </c>
      <c r="S720" s="1" t="s">
        <v>820</v>
      </c>
    </row>
    <row r="721" spans="1:19" x14ac:dyDescent="0.25">
      <c r="A721" s="1">
        <v>1921046000000</v>
      </c>
      <c r="B721" s="1" t="s">
        <v>784</v>
      </c>
      <c r="C721" s="1" t="s">
        <v>1883</v>
      </c>
      <c r="E721" s="1" t="s">
        <v>819</v>
      </c>
      <c r="F721" s="1">
        <v>1921046000000</v>
      </c>
      <c r="G721" s="1" t="s">
        <v>821</v>
      </c>
      <c r="H721" s="1" t="s">
        <v>1914</v>
      </c>
      <c r="I721" s="1" t="s">
        <v>1204</v>
      </c>
      <c r="Q721" s="1" t="s">
        <v>784</v>
      </c>
      <c r="R721" s="1" t="s">
        <v>819</v>
      </c>
      <c r="S721" s="1" t="s">
        <v>821</v>
      </c>
    </row>
    <row r="722" spans="1:19" x14ac:dyDescent="0.25">
      <c r="A722" s="1">
        <v>1920936710000</v>
      </c>
      <c r="B722" s="1" t="s">
        <v>822</v>
      </c>
      <c r="C722" s="1" t="s">
        <v>1915</v>
      </c>
      <c r="E722" s="1" t="s">
        <v>823</v>
      </c>
      <c r="F722" s="1">
        <v>1920936710000</v>
      </c>
      <c r="G722" s="1" t="s">
        <v>824</v>
      </c>
      <c r="H722" s="1" t="s">
        <v>1916</v>
      </c>
      <c r="I722" s="1" t="s">
        <v>1182</v>
      </c>
      <c r="Q722" s="1" t="s">
        <v>822</v>
      </c>
      <c r="R722" s="1" t="s">
        <v>823</v>
      </c>
      <c r="S722" s="1" t="s">
        <v>824</v>
      </c>
    </row>
    <row r="723" spans="1:19" x14ac:dyDescent="0.25">
      <c r="A723" s="1">
        <v>1920912890000</v>
      </c>
      <c r="B723" s="1" t="s">
        <v>822</v>
      </c>
      <c r="C723" s="1" t="s">
        <v>1915</v>
      </c>
      <c r="E723" s="1" t="s">
        <v>825</v>
      </c>
      <c r="F723" s="1">
        <v>1920912890000</v>
      </c>
      <c r="G723" s="1" t="s">
        <v>826</v>
      </c>
      <c r="H723" s="1" t="s">
        <v>1917</v>
      </c>
      <c r="I723" s="1" t="s">
        <v>1182</v>
      </c>
      <c r="Q723" s="1" t="s">
        <v>822</v>
      </c>
      <c r="R723" s="1" t="s">
        <v>825</v>
      </c>
      <c r="S723" s="1" t="s">
        <v>826</v>
      </c>
    </row>
    <row r="724" spans="1:19" x14ac:dyDescent="0.25">
      <c r="A724" s="1">
        <v>1920929670000</v>
      </c>
      <c r="B724" s="1" t="s">
        <v>822</v>
      </c>
      <c r="C724" s="1" t="s">
        <v>1915</v>
      </c>
      <c r="E724" s="1" t="s">
        <v>825</v>
      </c>
      <c r="F724" s="1">
        <v>1920929670000</v>
      </c>
      <c r="G724" s="1" t="s">
        <v>827</v>
      </c>
      <c r="H724" s="1" t="s">
        <v>1918</v>
      </c>
      <c r="I724" s="1" t="s">
        <v>1182</v>
      </c>
      <c r="Q724" s="1" t="s">
        <v>822</v>
      </c>
      <c r="R724" s="1" t="s">
        <v>825</v>
      </c>
      <c r="S724" s="1" t="s">
        <v>827</v>
      </c>
    </row>
    <row r="725" spans="1:19" x14ac:dyDescent="0.25">
      <c r="A725" s="1">
        <v>1920937340000</v>
      </c>
      <c r="B725" s="1" t="s">
        <v>822</v>
      </c>
      <c r="C725" s="1" t="s">
        <v>1915</v>
      </c>
      <c r="E725" s="1" t="s">
        <v>825</v>
      </c>
      <c r="F725" s="1">
        <v>1920937340000</v>
      </c>
      <c r="G725" s="1" t="s">
        <v>828</v>
      </c>
      <c r="H725" s="1" t="s">
        <v>1919</v>
      </c>
      <c r="I725" s="1" t="s">
        <v>1182</v>
      </c>
      <c r="Q725" s="1" t="s">
        <v>822</v>
      </c>
      <c r="R725" s="1" t="s">
        <v>825</v>
      </c>
      <c r="S725" s="1" t="s">
        <v>828</v>
      </c>
    </row>
    <row r="726" spans="1:19" x14ac:dyDescent="0.25">
      <c r="A726" s="1">
        <v>1920937740000</v>
      </c>
      <c r="B726" s="1" t="s">
        <v>822</v>
      </c>
      <c r="C726" s="1" t="s">
        <v>1915</v>
      </c>
      <c r="E726" s="1" t="s">
        <v>825</v>
      </c>
      <c r="F726" s="1">
        <v>1920937740000</v>
      </c>
      <c r="G726" s="1" t="s">
        <v>829</v>
      </c>
      <c r="H726" s="1" t="s">
        <v>1920</v>
      </c>
      <c r="I726" s="1" t="s">
        <v>1182</v>
      </c>
      <c r="Q726" s="1" t="s">
        <v>822</v>
      </c>
      <c r="R726" s="1" t="s">
        <v>825</v>
      </c>
      <c r="S726" s="1" t="s">
        <v>829</v>
      </c>
    </row>
    <row r="727" spans="1:19" x14ac:dyDescent="0.25">
      <c r="A727" s="1">
        <v>1920938000000</v>
      </c>
      <c r="B727" s="1" t="s">
        <v>822</v>
      </c>
      <c r="C727" s="1" t="s">
        <v>1915</v>
      </c>
      <c r="E727" s="1" t="s">
        <v>825</v>
      </c>
      <c r="F727" s="1">
        <v>1920938000000</v>
      </c>
      <c r="G727" s="1" t="s">
        <v>830</v>
      </c>
      <c r="H727" s="1" t="s">
        <v>1921</v>
      </c>
      <c r="I727" s="1" t="s">
        <v>1182</v>
      </c>
      <c r="Q727" s="1" t="s">
        <v>822</v>
      </c>
      <c r="R727" s="1" t="s">
        <v>825</v>
      </c>
      <c r="S727" s="1" t="s">
        <v>830</v>
      </c>
    </row>
    <row r="728" spans="1:19" x14ac:dyDescent="0.25">
      <c r="A728" s="1">
        <v>1920938300000</v>
      </c>
      <c r="B728" s="1" t="s">
        <v>822</v>
      </c>
      <c r="C728" s="1" t="s">
        <v>1915</v>
      </c>
      <c r="E728" s="1" t="s">
        <v>825</v>
      </c>
      <c r="F728" s="1">
        <v>1920938300000</v>
      </c>
      <c r="G728" s="1" t="s">
        <v>831</v>
      </c>
      <c r="H728" s="1" t="s">
        <v>1922</v>
      </c>
      <c r="I728" s="1" t="s">
        <v>1182</v>
      </c>
      <c r="Q728" s="1" t="s">
        <v>822</v>
      </c>
      <c r="R728" s="1" t="s">
        <v>825</v>
      </c>
      <c r="S728" s="1" t="s">
        <v>831</v>
      </c>
    </row>
    <row r="729" spans="1:19" x14ac:dyDescent="0.25">
      <c r="A729" s="1">
        <v>1920938800000</v>
      </c>
      <c r="B729" s="1" t="s">
        <v>822</v>
      </c>
      <c r="C729" s="1" t="s">
        <v>1915</v>
      </c>
      <c r="E729" s="1" t="s">
        <v>825</v>
      </c>
      <c r="F729" s="1">
        <v>1920938800000</v>
      </c>
      <c r="G729" s="1" t="s">
        <v>832</v>
      </c>
      <c r="H729" s="1" t="s">
        <v>1923</v>
      </c>
      <c r="I729" s="1" t="s">
        <v>1182</v>
      </c>
      <c r="Q729" s="1" t="s">
        <v>822</v>
      </c>
      <c r="R729" s="1" t="s">
        <v>825</v>
      </c>
      <c r="S729" s="1" t="s">
        <v>832</v>
      </c>
    </row>
    <row r="730" spans="1:19" x14ac:dyDescent="0.25">
      <c r="A730" s="1">
        <v>1920940000000</v>
      </c>
      <c r="B730" s="1" t="s">
        <v>822</v>
      </c>
      <c r="C730" s="1" t="s">
        <v>1915</v>
      </c>
      <c r="E730" s="1" t="s">
        <v>825</v>
      </c>
      <c r="F730" s="1">
        <v>1920940000000</v>
      </c>
      <c r="G730" s="1" t="s">
        <v>833</v>
      </c>
      <c r="H730" s="1" t="s">
        <v>1924</v>
      </c>
      <c r="I730" s="1" t="s">
        <v>1182</v>
      </c>
      <c r="Q730" s="1" t="s">
        <v>822</v>
      </c>
      <c r="R730" s="1" t="s">
        <v>825</v>
      </c>
      <c r="S730" s="1" t="s">
        <v>833</v>
      </c>
    </row>
    <row r="731" spans="1:19" x14ac:dyDescent="0.25">
      <c r="A731" s="1">
        <v>1920941000000</v>
      </c>
      <c r="B731" s="1" t="s">
        <v>822</v>
      </c>
      <c r="C731" s="1" t="s">
        <v>1915</v>
      </c>
      <c r="E731" s="1" t="s">
        <v>825</v>
      </c>
      <c r="F731" s="1">
        <v>1920941000000</v>
      </c>
      <c r="G731" s="1" t="s">
        <v>834</v>
      </c>
      <c r="H731" s="1" t="s">
        <v>1925</v>
      </c>
      <c r="I731" s="1" t="s">
        <v>1182</v>
      </c>
      <c r="Q731" s="1" t="s">
        <v>822</v>
      </c>
      <c r="R731" s="1" t="s">
        <v>825</v>
      </c>
      <c r="S731" s="1" t="s">
        <v>834</v>
      </c>
    </row>
    <row r="732" spans="1:19" x14ac:dyDescent="0.25">
      <c r="A732" s="1">
        <v>1920944000000</v>
      </c>
      <c r="B732" s="1" t="s">
        <v>822</v>
      </c>
      <c r="C732" s="1" t="s">
        <v>1915</v>
      </c>
      <c r="E732" s="1" t="s">
        <v>825</v>
      </c>
      <c r="F732" s="1">
        <v>1920944000000</v>
      </c>
      <c r="G732" s="1" t="s">
        <v>835</v>
      </c>
      <c r="H732" s="1" t="s">
        <v>1926</v>
      </c>
      <c r="I732" s="1" t="s">
        <v>1182</v>
      </c>
      <c r="Q732" s="1" t="s">
        <v>822</v>
      </c>
      <c r="R732" s="1" t="s">
        <v>825</v>
      </c>
      <c r="S732" s="1" t="s">
        <v>835</v>
      </c>
    </row>
    <row r="733" spans="1:19" x14ac:dyDescent="0.25">
      <c r="A733" s="1">
        <v>1920945000000</v>
      </c>
      <c r="B733" s="1" t="s">
        <v>822</v>
      </c>
      <c r="C733" s="1" t="s">
        <v>1915</v>
      </c>
      <c r="E733" s="1" t="s">
        <v>825</v>
      </c>
      <c r="F733" s="1">
        <v>1920945000000</v>
      </c>
      <c r="G733" s="1" t="s">
        <v>836</v>
      </c>
      <c r="H733" s="1" t="s">
        <v>1927</v>
      </c>
      <c r="I733" s="1" t="s">
        <v>1182</v>
      </c>
      <c r="Q733" s="1" t="s">
        <v>822</v>
      </c>
      <c r="R733" s="1" t="s">
        <v>825</v>
      </c>
      <c r="S733" s="1" t="s">
        <v>836</v>
      </c>
    </row>
    <row r="734" spans="1:19" x14ac:dyDescent="0.25">
      <c r="A734" s="1">
        <v>1920957000000</v>
      </c>
      <c r="B734" s="1" t="s">
        <v>822</v>
      </c>
      <c r="C734" s="1" t="s">
        <v>1915</v>
      </c>
      <c r="E734" s="1" t="s">
        <v>825</v>
      </c>
      <c r="F734" s="1">
        <v>1920957000000</v>
      </c>
      <c r="G734" s="1" t="s">
        <v>837</v>
      </c>
      <c r="H734" s="1" t="s">
        <v>1928</v>
      </c>
      <c r="I734" s="1" t="s">
        <v>1182</v>
      </c>
      <c r="Q734" s="1" t="s">
        <v>822</v>
      </c>
      <c r="R734" s="1" t="s">
        <v>825</v>
      </c>
      <c r="S734" s="1" t="s">
        <v>837</v>
      </c>
    </row>
    <row r="735" spans="1:19" x14ac:dyDescent="0.25">
      <c r="A735" s="1">
        <v>1920959000000</v>
      </c>
      <c r="B735" s="1" t="s">
        <v>822</v>
      </c>
      <c r="C735" s="1" t="s">
        <v>1915</v>
      </c>
      <c r="E735" s="1" t="s">
        <v>825</v>
      </c>
      <c r="F735" s="1">
        <v>1920959000000</v>
      </c>
      <c r="G735" s="1" t="s">
        <v>838</v>
      </c>
      <c r="H735" s="1" t="s">
        <v>1929</v>
      </c>
      <c r="I735" s="1" t="s">
        <v>1182</v>
      </c>
      <c r="Q735" s="1" t="s">
        <v>822</v>
      </c>
      <c r="R735" s="1" t="s">
        <v>825</v>
      </c>
      <c r="S735" s="1" t="s">
        <v>838</v>
      </c>
    </row>
    <row r="736" spans="1:19" x14ac:dyDescent="0.25">
      <c r="A736" s="1">
        <v>1920960000000</v>
      </c>
      <c r="B736" s="1" t="s">
        <v>822</v>
      </c>
      <c r="C736" s="1" t="s">
        <v>1915</v>
      </c>
      <c r="E736" s="1" t="s">
        <v>825</v>
      </c>
      <c r="F736" s="1">
        <v>1920960000000</v>
      </c>
      <c r="G736" s="1" t="s">
        <v>839</v>
      </c>
      <c r="H736" s="1" t="s">
        <v>1930</v>
      </c>
      <c r="I736" s="1" t="s">
        <v>1182</v>
      </c>
      <c r="Q736" s="1" t="s">
        <v>822</v>
      </c>
      <c r="R736" s="1" t="s">
        <v>825</v>
      </c>
      <c r="S736" s="1" t="s">
        <v>839</v>
      </c>
    </row>
    <row r="737" spans="1:19" x14ac:dyDescent="0.25">
      <c r="A737" s="1">
        <v>1920936680000</v>
      </c>
      <c r="B737" s="1" t="s">
        <v>822</v>
      </c>
      <c r="C737" s="1" t="s">
        <v>1915</v>
      </c>
      <c r="E737" s="1" t="s">
        <v>840</v>
      </c>
      <c r="F737" s="1">
        <v>1920936680000</v>
      </c>
      <c r="G737" s="1" t="s">
        <v>841</v>
      </c>
      <c r="H737" s="1" t="s">
        <v>1931</v>
      </c>
      <c r="I737" s="1" t="s">
        <v>1182</v>
      </c>
      <c r="Q737" s="1" t="s">
        <v>822</v>
      </c>
      <c r="R737" s="1" t="s">
        <v>840</v>
      </c>
      <c r="S737" s="1" t="s">
        <v>841</v>
      </c>
    </row>
    <row r="738" spans="1:19" x14ac:dyDescent="0.25">
      <c r="A738" s="1">
        <v>1920974000000</v>
      </c>
      <c r="B738" s="1" t="s">
        <v>822</v>
      </c>
      <c r="C738" s="1" t="s">
        <v>1915</v>
      </c>
      <c r="E738" s="1" t="s">
        <v>840</v>
      </c>
      <c r="F738" s="1">
        <v>1920974000000</v>
      </c>
      <c r="G738" s="1" t="s">
        <v>842</v>
      </c>
      <c r="H738" s="1" t="s">
        <v>1932</v>
      </c>
      <c r="I738" s="1" t="s">
        <v>1204</v>
      </c>
      <c r="Q738" s="1" t="s">
        <v>822</v>
      </c>
      <c r="R738" s="1" t="s">
        <v>840</v>
      </c>
      <c r="S738" s="1" t="s">
        <v>842</v>
      </c>
    </row>
    <row r="739" spans="1:19" x14ac:dyDescent="0.25">
      <c r="A739" s="1">
        <v>1920912930000</v>
      </c>
      <c r="B739" s="1" t="s">
        <v>822</v>
      </c>
      <c r="C739" s="1" t="s">
        <v>1915</v>
      </c>
      <c r="E739" s="1" t="s">
        <v>843</v>
      </c>
      <c r="F739" s="1">
        <v>1920912930000</v>
      </c>
      <c r="G739" s="1" t="s">
        <v>844</v>
      </c>
      <c r="H739" s="1" t="s">
        <v>1933</v>
      </c>
      <c r="I739" s="1" t="s">
        <v>1182</v>
      </c>
      <c r="Q739" s="1" t="s">
        <v>822</v>
      </c>
      <c r="R739" s="1" t="s">
        <v>843</v>
      </c>
      <c r="S739" s="1" t="s">
        <v>844</v>
      </c>
    </row>
    <row r="740" spans="1:19" x14ac:dyDescent="0.25">
      <c r="A740" s="1">
        <v>1920913070000</v>
      </c>
      <c r="B740" s="1" t="s">
        <v>822</v>
      </c>
      <c r="C740" s="1" t="s">
        <v>1915</v>
      </c>
      <c r="E740" s="1" t="s">
        <v>843</v>
      </c>
      <c r="F740" s="1">
        <v>1920913070000</v>
      </c>
      <c r="G740" s="1" t="s">
        <v>845</v>
      </c>
      <c r="H740" s="1" t="s">
        <v>1934</v>
      </c>
      <c r="I740" s="1" t="s">
        <v>1182</v>
      </c>
      <c r="Q740" s="1" t="s">
        <v>822</v>
      </c>
      <c r="R740" s="1" t="s">
        <v>843</v>
      </c>
      <c r="S740" s="1" t="s">
        <v>845</v>
      </c>
    </row>
    <row r="741" spans="1:19" x14ac:dyDescent="0.25">
      <c r="A741" s="1">
        <v>1920926800000</v>
      </c>
      <c r="B741" s="1" t="s">
        <v>822</v>
      </c>
      <c r="C741" s="1" t="s">
        <v>1915</v>
      </c>
      <c r="E741" s="1" t="s">
        <v>843</v>
      </c>
      <c r="F741" s="1">
        <v>1920926800000</v>
      </c>
      <c r="G741" s="1" t="s">
        <v>846</v>
      </c>
      <c r="H741" s="1" t="s">
        <v>1935</v>
      </c>
      <c r="I741" s="1" t="s">
        <v>1182</v>
      </c>
      <c r="Q741" s="1" t="s">
        <v>822</v>
      </c>
      <c r="R741" s="1" t="s">
        <v>843</v>
      </c>
      <c r="S741" s="1" t="s">
        <v>846</v>
      </c>
    </row>
    <row r="742" spans="1:19" x14ac:dyDescent="0.25">
      <c r="A742" s="1">
        <v>1920937160000</v>
      </c>
      <c r="B742" s="1" t="s">
        <v>822</v>
      </c>
      <c r="C742" s="1" t="s">
        <v>1915</v>
      </c>
      <c r="E742" s="1" t="s">
        <v>843</v>
      </c>
      <c r="F742" s="1">
        <v>1920937160000</v>
      </c>
      <c r="G742" s="1" t="s">
        <v>847</v>
      </c>
      <c r="H742" s="1" t="s">
        <v>1936</v>
      </c>
      <c r="I742" s="1" t="s">
        <v>1182</v>
      </c>
      <c r="Q742" s="1" t="s">
        <v>822</v>
      </c>
      <c r="R742" s="1" t="s">
        <v>843</v>
      </c>
      <c r="S742" s="1" t="s">
        <v>847</v>
      </c>
    </row>
    <row r="743" spans="1:19" x14ac:dyDescent="0.25">
      <c r="A743" s="1">
        <v>1920975000000</v>
      </c>
      <c r="B743" s="1" t="s">
        <v>822</v>
      </c>
      <c r="C743" s="1" t="s">
        <v>1915</v>
      </c>
      <c r="E743" s="1" t="s">
        <v>843</v>
      </c>
      <c r="F743" s="1">
        <v>1920975000000</v>
      </c>
      <c r="G743" s="1" t="s">
        <v>848</v>
      </c>
      <c r="H743" s="1" t="s">
        <v>1937</v>
      </c>
      <c r="I743" s="1" t="s">
        <v>1204</v>
      </c>
      <c r="Q743" s="1" t="s">
        <v>822</v>
      </c>
      <c r="R743" s="1" t="s">
        <v>843</v>
      </c>
      <c r="S743" s="1" t="s">
        <v>848</v>
      </c>
    </row>
    <row r="744" spans="1:19" x14ac:dyDescent="0.25">
      <c r="A744" s="1">
        <v>1920927700000</v>
      </c>
      <c r="B744" s="1" t="s">
        <v>822</v>
      </c>
      <c r="C744" s="1" t="s">
        <v>1915</v>
      </c>
      <c r="E744" s="1" t="s">
        <v>849</v>
      </c>
      <c r="F744" s="1">
        <v>1920927700000</v>
      </c>
      <c r="G744" s="1" t="s">
        <v>850</v>
      </c>
      <c r="H744" s="1" t="s">
        <v>1938</v>
      </c>
      <c r="I744" s="1" t="s">
        <v>1182</v>
      </c>
      <c r="Q744" s="1" t="s">
        <v>822</v>
      </c>
      <c r="R744" s="1" t="s">
        <v>849</v>
      </c>
      <c r="S744" s="1" t="s">
        <v>850</v>
      </c>
    </row>
    <row r="745" spans="1:19" x14ac:dyDescent="0.25">
      <c r="A745" s="1">
        <v>1920976000000</v>
      </c>
      <c r="B745" s="1" t="s">
        <v>822</v>
      </c>
      <c r="C745" s="1" t="s">
        <v>1915</v>
      </c>
      <c r="E745" s="1" t="s">
        <v>849</v>
      </c>
      <c r="F745" s="1">
        <v>1920976000000</v>
      </c>
      <c r="G745" s="1" t="s">
        <v>851</v>
      </c>
      <c r="H745" s="1" t="s">
        <v>1939</v>
      </c>
      <c r="I745" s="1" t="s">
        <v>1204</v>
      </c>
      <c r="Q745" s="1" t="s">
        <v>822</v>
      </c>
      <c r="R745" s="1" t="s">
        <v>849</v>
      </c>
      <c r="S745" s="1" t="s">
        <v>851</v>
      </c>
    </row>
    <row r="746" spans="1:19" x14ac:dyDescent="0.25">
      <c r="A746" s="1">
        <v>1920937420000</v>
      </c>
      <c r="B746" s="1" t="s">
        <v>822</v>
      </c>
      <c r="C746" s="1" t="s">
        <v>1915</v>
      </c>
      <c r="E746" s="1" t="s">
        <v>849</v>
      </c>
      <c r="F746" s="1">
        <v>1920937420000</v>
      </c>
      <c r="G746" s="1" t="s">
        <v>852</v>
      </c>
      <c r="H746" s="1" t="s">
        <v>1940</v>
      </c>
      <c r="I746" s="1" t="s">
        <v>1182</v>
      </c>
      <c r="Q746" s="1" t="s">
        <v>822</v>
      </c>
      <c r="R746" s="1" t="s">
        <v>849</v>
      </c>
      <c r="S746" s="1" t="s">
        <v>852</v>
      </c>
    </row>
    <row r="747" spans="1:19" x14ac:dyDescent="0.25">
      <c r="A747" s="1">
        <v>1920911590000</v>
      </c>
      <c r="B747" s="1" t="s">
        <v>822</v>
      </c>
      <c r="C747" s="1" t="s">
        <v>1915</v>
      </c>
      <c r="E747" s="1" t="s">
        <v>822</v>
      </c>
      <c r="F747" s="1">
        <v>1920911590000</v>
      </c>
      <c r="G747" s="1" t="s">
        <v>853</v>
      </c>
      <c r="H747" s="1" t="s">
        <v>1941</v>
      </c>
      <c r="I747" s="1" t="s">
        <v>1182</v>
      </c>
      <c r="Q747" s="1" t="s">
        <v>822</v>
      </c>
      <c r="R747" s="1" t="s">
        <v>822</v>
      </c>
      <c r="S747" s="1" t="s">
        <v>853</v>
      </c>
    </row>
    <row r="748" spans="1:19" x14ac:dyDescent="0.25">
      <c r="A748" s="1">
        <v>1920911620000</v>
      </c>
      <c r="B748" s="1" t="s">
        <v>822</v>
      </c>
      <c r="C748" s="1" t="s">
        <v>1915</v>
      </c>
      <c r="E748" s="1" t="s">
        <v>822</v>
      </c>
      <c r="F748" s="1">
        <v>1920911620000</v>
      </c>
      <c r="G748" s="1" t="s">
        <v>854</v>
      </c>
      <c r="H748" s="1" t="s">
        <v>1942</v>
      </c>
      <c r="I748" s="1" t="s">
        <v>1182</v>
      </c>
      <c r="Q748" s="1" t="s">
        <v>822</v>
      </c>
      <c r="R748" s="1" t="s">
        <v>822</v>
      </c>
      <c r="S748" s="1" t="s">
        <v>854</v>
      </c>
    </row>
    <row r="749" spans="1:19" x14ac:dyDescent="0.25">
      <c r="A749" s="1">
        <v>1920911690000</v>
      </c>
      <c r="B749" s="1" t="s">
        <v>822</v>
      </c>
      <c r="C749" s="1" t="s">
        <v>1915</v>
      </c>
      <c r="E749" s="1" t="s">
        <v>822</v>
      </c>
      <c r="F749" s="1">
        <v>1920911690000</v>
      </c>
      <c r="G749" s="1" t="s">
        <v>855</v>
      </c>
      <c r="H749" s="1" t="s">
        <v>1943</v>
      </c>
      <c r="I749" s="1" t="s">
        <v>1182</v>
      </c>
      <c r="Q749" s="1" t="s">
        <v>822</v>
      </c>
      <c r="R749" s="1" t="s">
        <v>822</v>
      </c>
      <c r="S749" s="1" t="s">
        <v>855</v>
      </c>
    </row>
    <row r="750" spans="1:19" x14ac:dyDescent="0.25">
      <c r="A750" s="1">
        <v>1920911750000</v>
      </c>
      <c r="B750" s="1" t="s">
        <v>822</v>
      </c>
      <c r="C750" s="1" t="s">
        <v>1915</v>
      </c>
      <c r="E750" s="1" t="s">
        <v>822</v>
      </c>
      <c r="F750" s="1">
        <v>1920911750000</v>
      </c>
      <c r="G750" s="1" t="s">
        <v>856</v>
      </c>
      <c r="H750" s="1" t="s">
        <v>1944</v>
      </c>
      <c r="I750" s="1" t="s">
        <v>1182</v>
      </c>
      <c r="Q750" s="1" t="s">
        <v>822</v>
      </c>
      <c r="R750" s="1" t="s">
        <v>822</v>
      </c>
      <c r="S750" s="1" t="s">
        <v>856</v>
      </c>
    </row>
    <row r="751" spans="1:19" x14ac:dyDescent="0.25">
      <c r="A751" s="1">
        <v>1920911800000</v>
      </c>
      <c r="B751" s="1" t="s">
        <v>822</v>
      </c>
      <c r="C751" s="1" t="s">
        <v>1915</v>
      </c>
      <c r="E751" s="1" t="s">
        <v>822</v>
      </c>
      <c r="F751" s="1">
        <v>1920911800000</v>
      </c>
      <c r="G751" s="1" t="s">
        <v>857</v>
      </c>
      <c r="H751" s="1" t="s">
        <v>1945</v>
      </c>
      <c r="I751" s="1" t="s">
        <v>1182</v>
      </c>
      <c r="Q751" s="1" t="s">
        <v>822</v>
      </c>
      <c r="R751" s="1" t="s">
        <v>822</v>
      </c>
      <c r="S751" s="1" t="s">
        <v>857</v>
      </c>
    </row>
    <row r="752" spans="1:19" x14ac:dyDescent="0.25">
      <c r="A752" s="1">
        <v>1920911800002</v>
      </c>
      <c r="B752" s="1" t="s">
        <v>822</v>
      </c>
      <c r="C752" s="1" t="s">
        <v>1915</v>
      </c>
      <c r="E752" s="1" t="s">
        <v>822</v>
      </c>
      <c r="F752" s="1">
        <v>1920911800002</v>
      </c>
      <c r="G752" s="1" t="s">
        <v>858</v>
      </c>
      <c r="H752" s="1" t="s">
        <v>1946</v>
      </c>
      <c r="I752" s="1" t="s">
        <v>1182</v>
      </c>
      <c r="Q752" s="1" t="s">
        <v>822</v>
      </c>
      <c r="R752" s="1" t="s">
        <v>822</v>
      </c>
      <c r="S752" s="1" t="s">
        <v>858</v>
      </c>
    </row>
    <row r="753" spans="1:19" x14ac:dyDescent="0.25">
      <c r="A753" s="1">
        <v>1920977000000</v>
      </c>
      <c r="B753" s="1" t="s">
        <v>822</v>
      </c>
      <c r="C753" s="1" t="s">
        <v>1915</v>
      </c>
      <c r="E753" s="1" t="s">
        <v>822</v>
      </c>
      <c r="F753" s="1">
        <v>1920977000000</v>
      </c>
      <c r="G753" s="1" t="s">
        <v>859</v>
      </c>
      <c r="H753" s="1" t="s">
        <v>1947</v>
      </c>
      <c r="I753" s="1" t="s">
        <v>1204</v>
      </c>
      <c r="Q753" s="1" t="s">
        <v>822</v>
      </c>
      <c r="R753" s="1" t="s">
        <v>822</v>
      </c>
      <c r="S753" s="1" t="s">
        <v>859</v>
      </c>
    </row>
    <row r="754" spans="1:19" x14ac:dyDescent="0.25">
      <c r="A754" s="1">
        <v>1920911840000</v>
      </c>
      <c r="B754" s="1" t="s">
        <v>822</v>
      </c>
      <c r="C754" s="1" t="s">
        <v>1915</v>
      </c>
      <c r="E754" s="1" t="s">
        <v>822</v>
      </c>
      <c r="F754" s="1">
        <v>1920911840000</v>
      </c>
      <c r="G754" s="1" t="s">
        <v>860</v>
      </c>
      <c r="H754" s="1" t="s">
        <v>1948</v>
      </c>
      <c r="I754" s="1" t="s">
        <v>1182</v>
      </c>
      <c r="Q754" s="1" t="s">
        <v>822</v>
      </c>
      <c r="R754" s="1" t="s">
        <v>822</v>
      </c>
      <c r="S754" s="1" t="s">
        <v>860</v>
      </c>
    </row>
    <row r="755" spans="1:19" x14ac:dyDescent="0.25">
      <c r="A755" s="1">
        <v>1920911850000</v>
      </c>
      <c r="B755" s="1" t="s">
        <v>822</v>
      </c>
      <c r="C755" s="1" t="s">
        <v>1915</v>
      </c>
      <c r="E755" s="1" t="s">
        <v>822</v>
      </c>
      <c r="F755" s="1">
        <v>1920911850000</v>
      </c>
      <c r="G755" s="1" t="s">
        <v>861</v>
      </c>
      <c r="H755" s="1" t="s">
        <v>1949</v>
      </c>
      <c r="I755" s="1" t="s">
        <v>1182</v>
      </c>
      <c r="Q755" s="1" t="s">
        <v>822</v>
      </c>
      <c r="R755" s="1" t="s">
        <v>822</v>
      </c>
      <c r="S755" s="1" t="s">
        <v>861</v>
      </c>
    </row>
    <row r="756" spans="1:19" x14ac:dyDescent="0.25">
      <c r="A756" s="1">
        <v>1920912040000</v>
      </c>
      <c r="B756" s="1" t="s">
        <v>822</v>
      </c>
      <c r="C756" s="1" t="s">
        <v>1915</v>
      </c>
      <c r="E756" s="1" t="s">
        <v>822</v>
      </c>
      <c r="F756" s="1">
        <v>1920912040000</v>
      </c>
      <c r="G756" s="1" t="s">
        <v>862</v>
      </c>
      <c r="H756" s="1" t="s">
        <v>1950</v>
      </c>
      <c r="I756" s="1" t="s">
        <v>1182</v>
      </c>
      <c r="Q756" s="1" t="s">
        <v>822</v>
      </c>
      <c r="R756" s="1" t="s">
        <v>822</v>
      </c>
      <c r="S756" s="1" t="s">
        <v>862</v>
      </c>
    </row>
    <row r="757" spans="1:19" x14ac:dyDescent="0.25">
      <c r="A757" s="1">
        <v>1920912040001</v>
      </c>
      <c r="B757" s="1" t="s">
        <v>822</v>
      </c>
      <c r="C757" s="1" t="s">
        <v>1915</v>
      </c>
      <c r="E757" s="1" t="s">
        <v>822</v>
      </c>
      <c r="F757" s="1">
        <v>1920912040001</v>
      </c>
      <c r="G757" s="1" t="s">
        <v>863</v>
      </c>
      <c r="H757" s="1" t="s">
        <v>1951</v>
      </c>
      <c r="I757" s="1" t="s">
        <v>1182</v>
      </c>
      <c r="Q757" s="1" t="s">
        <v>822</v>
      </c>
      <c r="R757" s="1" t="s">
        <v>822</v>
      </c>
      <c r="S757" s="1" t="s">
        <v>863</v>
      </c>
    </row>
    <row r="758" spans="1:19" x14ac:dyDescent="0.25">
      <c r="A758" s="1">
        <v>1920912050000</v>
      </c>
      <c r="B758" s="1" t="s">
        <v>822</v>
      </c>
      <c r="C758" s="1" t="s">
        <v>1915</v>
      </c>
      <c r="E758" s="1" t="s">
        <v>822</v>
      </c>
      <c r="F758" s="1">
        <v>1920912050000</v>
      </c>
      <c r="G758" s="1" t="s">
        <v>864</v>
      </c>
      <c r="H758" s="1" t="s">
        <v>1952</v>
      </c>
      <c r="I758" s="1" t="s">
        <v>1182</v>
      </c>
      <c r="Q758" s="1" t="s">
        <v>822</v>
      </c>
      <c r="R758" s="1" t="s">
        <v>822</v>
      </c>
      <c r="S758" s="1" t="s">
        <v>864</v>
      </c>
    </row>
    <row r="759" spans="1:19" x14ac:dyDescent="0.25">
      <c r="A759" s="1">
        <v>1920912170000</v>
      </c>
      <c r="B759" s="1" t="s">
        <v>822</v>
      </c>
      <c r="C759" s="1" t="s">
        <v>1915</v>
      </c>
      <c r="E759" s="1" t="s">
        <v>822</v>
      </c>
      <c r="F759" s="1">
        <v>1920912170000</v>
      </c>
      <c r="G759" s="1" t="s">
        <v>865</v>
      </c>
      <c r="H759" s="1" t="s">
        <v>1953</v>
      </c>
      <c r="I759" s="1" t="s">
        <v>1182</v>
      </c>
      <c r="Q759" s="1" t="s">
        <v>822</v>
      </c>
      <c r="R759" s="1" t="s">
        <v>822</v>
      </c>
      <c r="S759" s="1" t="s">
        <v>865</v>
      </c>
    </row>
    <row r="760" spans="1:19" x14ac:dyDescent="0.25">
      <c r="A760" s="1">
        <v>1920912170001</v>
      </c>
      <c r="B760" s="1" t="s">
        <v>822</v>
      </c>
      <c r="C760" s="1" t="s">
        <v>1915</v>
      </c>
      <c r="E760" s="1" t="s">
        <v>822</v>
      </c>
      <c r="F760" s="1">
        <v>1920912170001</v>
      </c>
      <c r="G760" s="1" t="s">
        <v>866</v>
      </c>
      <c r="H760" s="1" t="s">
        <v>1954</v>
      </c>
      <c r="I760" s="1" t="s">
        <v>1182</v>
      </c>
      <c r="Q760" s="1" t="s">
        <v>822</v>
      </c>
      <c r="R760" s="1" t="s">
        <v>822</v>
      </c>
      <c r="S760" s="1" t="s">
        <v>866</v>
      </c>
    </row>
    <row r="761" spans="1:19" x14ac:dyDescent="0.25">
      <c r="A761" s="1">
        <v>1920912290000</v>
      </c>
      <c r="B761" s="1" t="s">
        <v>822</v>
      </c>
      <c r="C761" s="1" t="s">
        <v>1915</v>
      </c>
      <c r="E761" s="1" t="s">
        <v>822</v>
      </c>
      <c r="F761" s="1">
        <v>1920912290000</v>
      </c>
      <c r="G761" s="1" t="s">
        <v>867</v>
      </c>
      <c r="H761" s="1" t="s">
        <v>1955</v>
      </c>
      <c r="I761" s="1" t="s">
        <v>1182</v>
      </c>
      <c r="Q761" s="1" t="s">
        <v>822</v>
      </c>
      <c r="R761" s="1" t="s">
        <v>822</v>
      </c>
      <c r="S761" s="1" t="s">
        <v>867</v>
      </c>
    </row>
    <row r="762" spans="1:19" x14ac:dyDescent="0.25">
      <c r="A762" s="1">
        <v>1920927890000</v>
      </c>
      <c r="B762" s="1" t="s">
        <v>822</v>
      </c>
      <c r="C762" s="1" t="s">
        <v>1915</v>
      </c>
      <c r="E762" s="1" t="s">
        <v>822</v>
      </c>
      <c r="F762" s="1">
        <v>1920927890000</v>
      </c>
      <c r="G762" s="1" t="s">
        <v>868</v>
      </c>
      <c r="H762" s="1" t="s">
        <v>1956</v>
      </c>
      <c r="I762" s="1" t="s">
        <v>1182</v>
      </c>
      <c r="Q762" s="1" t="s">
        <v>822</v>
      </c>
      <c r="R762" s="1" t="s">
        <v>822</v>
      </c>
      <c r="S762" s="1" t="s">
        <v>868</v>
      </c>
    </row>
    <row r="763" spans="1:19" x14ac:dyDescent="0.25">
      <c r="A763" s="1">
        <v>1920928170000</v>
      </c>
      <c r="B763" s="1" t="s">
        <v>822</v>
      </c>
      <c r="C763" s="1" t="s">
        <v>1915</v>
      </c>
      <c r="E763" s="1" t="s">
        <v>822</v>
      </c>
      <c r="F763" s="1">
        <v>1920928170000</v>
      </c>
      <c r="G763" s="1" t="s">
        <v>869</v>
      </c>
      <c r="H763" s="1" t="s">
        <v>1957</v>
      </c>
      <c r="I763" s="1" t="s">
        <v>1182</v>
      </c>
      <c r="Q763" s="1" t="s">
        <v>822</v>
      </c>
      <c r="R763" s="1" t="s">
        <v>822</v>
      </c>
      <c r="S763" s="1" t="s">
        <v>869</v>
      </c>
    </row>
    <row r="764" spans="1:19" x14ac:dyDescent="0.25">
      <c r="A764" s="1">
        <v>1920928920000</v>
      </c>
      <c r="B764" s="1" t="s">
        <v>822</v>
      </c>
      <c r="C764" s="1" t="s">
        <v>1915</v>
      </c>
      <c r="E764" s="1" t="s">
        <v>822</v>
      </c>
      <c r="F764" s="1">
        <v>1920928920000</v>
      </c>
      <c r="G764" s="1" t="s">
        <v>870</v>
      </c>
      <c r="H764" s="1" t="s">
        <v>1958</v>
      </c>
      <c r="I764" s="1" t="s">
        <v>1182</v>
      </c>
      <c r="Q764" s="1" t="s">
        <v>822</v>
      </c>
      <c r="R764" s="1" t="s">
        <v>822</v>
      </c>
      <c r="S764" s="1" t="s">
        <v>870</v>
      </c>
    </row>
    <row r="765" spans="1:19" x14ac:dyDescent="0.25">
      <c r="A765" s="1">
        <v>1920929480000</v>
      </c>
      <c r="B765" s="1" t="s">
        <v>822</v>
      </c>
      <c r="C765" s="1" t="s">
        <v>1915</v>
      </c>
      <c r="E765" s="1" t="s">
        <v>822</v>
      </c>
      <c r="F765" s="1">
        <v>1920929480000</v>
      </c>
      <c r="G765" s="1" t="s">
        <v>871</v>
      </c>
      <c r="H765" s="1" t="s">
        <v>1959</v>
      </c>
      <c r="I765" s="1" t="s">
        <v>1182</v>
      </c>
      <c r="Q765" s="1" t="s">
        <v>822</v>
      </c>
      <c r="R765" s="1" t="s">
        <v>822</v>
      </c>
      <c r="S765" s="1" t="s">
        <v>871</v>
      </c>
    </row>
    <row r="766" spans="1:19" x14ac:dyDescent="0.25">
      <c r="A766" s="1">
        <v>1920929750000</v>
      </c>
      <c r="B766" s="1" t="s">
        <v>822</v>
      </c>
      <c r="C766" s="1" t="s">
        <v>1915</v>
      </c>
      <c r="E766" s="1" t="s">
        <v>822</v>
      </c>
      <c r="F766" s="1">
        <v>1920929750000</v>
      </c>
      <c r="G766" s="1" t="s">
        <v>872</v>
      </c>
      <c r="H766" s="1" t="s">
        <v>1960</v>
      </c>
      <c r="I766" s="1" t="s">
        <v>1182</v>
      </c>
      <c r="Q766" s="1" t="s">
        <v>822</v>
      </c>
      <c r="R766" s="1" t="s">
        <v>822</v>
      </c>
      <c r="S766" s="1" t="s">
        <v>872</v>
      </c>
    </row>
    <row r="767" spans="1:19" x14ac:dyDescent="0.25">
      <c r="A767" s="1">
        <v>1920932010000</v>
      </c>
      <c r="B767" s="1" t="s">
        <v>822</v>
      </c>
      <c r="C767" s="1" t="s">
        <v>1915</v>
      </c>
      <c r="E767" s="1" t="s">
        <v>822</v>
      </c>
      <c r="F767" s="1">
        <v>1920932010000</v>
      </c>
      <c r="G767" s="1" t="s">
        <v>873</v>
      </c>
      <c r="H767" s="1" t="s">
        <v>1961</v>
      </c>
      <c r="I767" s="1" t="s">
        <v>1182</v>
      </c>
      <c r="Q767" s="1" t="s">
        <v>822</v>
      </c>
      <c r="R767" s="1" t="s">
        <v>822</v>
      </c>
      <c r="S767" s="1" t="s">
        <v>873</v>
      </c>
    </row>
    <row r="768" spans="1:19" x14ac:dyDescent="0.25">
      <c r="A768" s="1">
        <v>1920936090000</v>
      </c>
      <c r="B768" s="1" t="s">
        <v>822</v>
      </c>
      <c r="C768" s="1" t="s">
        <v>1915</v>
      </c>
      <c r="E768" s="1" t="s">
        <v>822</v>
      </c>
      <c r="F768" s="1">
        <v>1920936090000</v>
      </c>
      <c r="G768" s="1" t="s">
        <v>874</v>
      </c>
      <c r="H768" s="1" t="s">
        <v>1962</v>
      </c>
      <c r="I768" s="1" t="s">
        <v>1182</v>
      </c>
      <c r="Q768" s="1" t="s">
        <v>822</v>
      </c>
      <c r="R768" s="1" t="s">
        <v>822</v>
      </c>
      <c r="S768" s="1" t="s">
        <v>874</v>
      </c>
    </row>
    <row r="769" spans="1:19" x14ac:dyDescent="0.25">
      <c r="A769" s="1">
        <v>1920937630000</v>
      </c>
      <c r="B769" s="1" t="s">
        <v>822</v>
      </c>
      <c r="C769" s="1" t="s">
        <v>1915</v>
      </c>
      <c r="E769" s="1" t="s">
        <v>822</v>
      </c>
      <c r="F769" s="1">
        <v>1920937630000</v>
      </c>
      <c r="G769" s="1" t="s">
        <v>875</v>
      </c>
      <c r="H769" s="1" t="s">
        <v>1963</v>
      </c>
      <c r="I769" s="1" t="s">
        <v>1182</v>
      </c>
      <c r="Q769" s="1" t="s">
        <v>822</v>
      </c>
      <c r="R769" s="1" t="s">
        <v>822</v>
      </c>
      <c r="S769" s="1" t="s">
        <v>875</v>
      </c>
    </row>
    <row r="770" spans="1:19" x14ac:dyDescent="0.25">
      <c r="A770" s="1">
        <v>1920937700000</v>
      </c>
      <c r="B770" s="1" t="s">
        <v>822</v>
      </c>
      <c r="C770" s="1" t="s">
        <v>1915</v>
      </c>
      <c r="E770" s="1" t="s">
        <v>822</v>
      </c>
      <c r="F770" s="1">
        <v>1920937700000</v>
      </c>
      <c r="G770" s="1" t="s">
        <v>876</v>
      </c>
      <c r="H770" s="1" t="s">
        <v>1964</v>
      </c>
      <c r="I770" s="1" t="s">
        <v>1182</v>
      </c>
      <c r="Q770" s="1" t="s">
        <v>822</v>
      </c>
      <c r="R770" s="1" t="s">
        <v>822</v>
      </c>
      <c r="S770" s="1" t="s">
        <v>876</v>
      </c>
    </row>
    <row r="771" spans="1:19" x14ac:dyDescent="0.25">
      <c r="A771" s="1">
        <v>1920942000000</v>
      </c>
      <c r="B771" s="1" t="s">
        <v>822</v>
      </c>
      <c r="C771" s="1" t="s">
        <v>1915</v>
      </c>
      <c r="E771" s="1" t="s">
        <v>822</v>
      </c>
      <c r="F771" s="1">
        <v>1920942000000</v>
      </c>
      <c r="G771" s="1" t="s">
        <v>877</v>
      </c>
      <c r="H771" s="1" t="s">
        <v>1965</v>
      </c>
      <c r="I771" s="1" t="s">
        <v>1182</v>
      </c>
      <c r="Q771" s="1" t="s">
        <v>822</v>
      </c>
      <c r="R771" s="1" t="s">
        <v>822</v>
      </c>
      <c r="S771" s="1" t="s">
        <v>877</v>
      </c>
    </row>
    <row r="772" spans="1:19" x14ac:dyDescent="0.25">
      <c r="A772" s="1">
        <v>1920927560000</v>
      </c>
      <c r="B772" s="1" t="s">
        <v>822</v>
      </c>
      <c r="C772" s="1" t="s">
        <v>1915</v>
      </c>
      <c r="E772" s="1" t="s">
        <v>822</v>
      </c>
      <c r="F772" s="1">
        <v>1920927560000</v>
      </c>
      <c r="G772" s="1" t="s">
        <v>878</v>
      </c>
      <c r="H772" s="1" t="s">
        <v>1966</v>
      </c>
      <c r="I772" s="1" t="s">
        <v>1182</v>
      </c>
      <c r="Q772" s="1" t="s">
        <v>822</v>
      </c>
      <c r="R772" s="1" t="s">
        <v>822</v>
      </c>
      <c r="S772" s="1" t="s">
        <v>878</v>
      </c>
    </row>
    <row r="773" spans="1:19" x14ac:dyDescent="0.25">
      <c r="A773" s="1">
        <v>1920913060000</v>
      </c>
      <c r="B773" s="1" t="s">
        <v>822</v>
      </c>
      <c r="C773" s="1" t="s">
        <v>1915</v>
      </c>
      <c r="E773" s="1" t="s">
        <v>879</v>
      </c>
      <c r="F773" s="1">
        <v>1920913060000</v>
      </c>
      <c r="G773" s="1" t="s">
        <v>880</v>
      </c>
      <c r="H773" s="1" t="s">
        <v>1967</v>
      </c>
      <c r="I773" s="1" t="s">
        <v>1182</v>
      </c>
      <c r="Q773" s="1" t="s">
        <v>822</v>
      </c>
      <c r="R773" s="1" t="s">
        <v>879</v>
      </c>
      <c r="S773" s="1" t="s">
        <v>880</v>
      </c>
    </row>
    <row r="774" spans="1:19" x14ac:dyDescent="0.25">
      <c r="A774" s="1">
        <v>1920978000000</v>
      </c>
      <c r="B774" s="1" t="s">
        <v>822</v>
      </c>
      <c r="C774" s="1" t="s">
        <v>1915</v>
      </c>
      <c r="E774" s="1" t="s">
        <v>879</v>
      </c>
      <c r="F774" s="1">
        <v>1920978000000</v>
      </c>
      <c r="G774" s="1" t="s">
        <v>881</v>
      </c>
      <c r="H774" s="1" t="s">
        <v>1968</v>
      </c>
      <c r="I774" s="1" t="s">
        <v>1204</v>
      </c>
      <c r="Q774" s="1" t="s">
        <v>822</v>
      </c>
      <c r="R774" s="1" t="s">
        <v>879</v>
      </c>
      <c r="S774" s="1" t="s">
        <v>881</v>
      </c>
    </row>
    <row r="775" spans="1:19" x14ac:dyDescent="0.25">
      <c r="A775" s="1">
        <v>1920936700000</v>
      </c>
      <c r="B775" s="1" t="s">
        <v>822</v>
      </c>
      <c r="C775" s="1" t="s">
        <v>1915</v>
      </c>
      <c r="E775" s="1" t="s">
        <v>882</v>
      </c>
      <c r="F775" s="1">
        <v>1920936700000</v>
      </c>
      <c r="G775" s="1" t="s">
        <v>883</v>
      </c>
      <c r="H775" s="1" t="s">
        <v>1969</v>
      </c>
      <c r="I775" s="1" t="s">
        <v>1182</v>
      </c>
      <c r="Q775" s="1" t="s">
        <v>822</v>
      </c>
      <c r="R775" s="1" t="s">
        <v>882</v>
      </c>
      <c r="S775" s="1" t="s">
        <v>883</v>
      </c>
    </row>
    <row r="776" spans="1:19" x14ac:dyDescent="0.25">
      <c r="A776" s="1">
        <v>1920979000000</v>
      </c>
      <c r="B776" s="1" t="s">
        <v>822</v>
      </c>
      <c r="C776" s="1" t="s">
        <v>1915</v>
      </c>
      <c r="E776" s="1" t="s">
        <v>882</v>
      </c>
      <c r="F776" s="1">
        <v>1920979000000</v>
      </c>
      <c r="G776" s="1" t="s">
        <v>884</v>
      </c>
      <c r="H776" s="1" t="s">
        <v>1970</v>
      </c>
      <c r="I776" s="1" t="s">
        <v>1204</v>
      </c>
      <c r="Q776" s="1" t="s">
        <v>822</v>
      </c>
      <c r="R776" s="1" t="s">
        <v>882</v>
      </c>
      <c r="S776" s="1" t="s">
        <v>884</v>
      </c>
    </row>
    <row r="777" spans="1:19" x14ac:dyDescent="0.25">
      <c r="A777" s="1">
        <v>1920927970000</v>
      </c>
      <c r="B777" s="1" t="s">
        <v>822</v>
      </c>
      <c r="C777" s="1" t="s">
        <v>1915</v>
      </c>
      <c r="E777" s="1" t="s">
        <v>885</v>
      </c>
      <c r="F777" s="1">
        <v>1920927970000</v>
      </c>
      <c r="G777" s="1" t="s">
        <v>886</v>
      </c>
      <c r="H777" s="1" t="s">
        <v>1971</v>
      </c>
      <c r="I777" s="1" t="s">
        <v>1182</v>
      </c>
      <c r="Q777" s="1" t="s">
        <v>822</v>
      </c>
      <c r="R777" s="1" t="s">
        <v>885</v>
      </c>
      <c r="S777" s="1" t="s">
        <v>886</v>
      </c>
    </row>
    <row r="778" spans="1:19" x14ac:dyDescent="0.25">
      <c r="A778" s="1">
        <v>1920980000000</v>
      </c>
      <c r="B778" s="1" t="s">
        <v>822</v>
      </c>
      <c r="C778" s="1" t="s">
        <v>1915</v>
      </c>
      <c r="E778" s="1" t="s">
        <v>885</v>
      </c>
      <c r="F778" s="1">
        <v>1920980000000</v>
      </c>
      <c r="G778" s="1" t="s">
        <v>887</v>
      </c>
      <c r="H778" s="1" t="s">
        <v>1972</v>
      </c>
      <c r="I778" s="1" t="s">
        <v>1204</v>
      </c>
      <c r="Q778" s="1" t="s">
        <v>822</v>
      </c>
      <c r="R778" s="1" t="s">
        <v>885</v>
      </c>
      <c r="S778" s="1" t="s">
        <v>887</v>
      </c>
    </row>
    <row r="779" spans="1:19" x14ac:dyDescent="0.25">
      <c r="A779" s="1">
        <v>1920926960000</v>
      </c>
      <c r="B779" s="1" t="s">
        <v>822</v>
      </c>
      <c r="C779" s="1" t="s">
        <v>1915</v>
      </c>
      <c r="E779" s="1" t="s">
        <v>888</v>
      </c>
      <c r="F779" s="1">
        <v>1920926960000</v>
      </c>
      <c r="G779" s="1" t="s">
        <v>889</v>
      </c>
      <c r="H779" s="1" t="s">
        <v>1973</v>
      </c>
      <c r="I779" s="1" t="s">
        <v>1182</v>
      </c>
      <c r="Q779" s="1" t="s">
        <v>822</v>
      </c>
      <c r="R779" s="1" t="s">
        <v>888</v>
      </c>
      <c r="S779" s="1" t="s">
        <v>889</v>
      </c>
    </row>
    <row r="780" spans="1:19" x14ac:dyDescent="0.25">
      <c r="A780" s="1">
        <v>1920927680000</v>
      </c>
      <c r="B780" s="1" t="s">
        <v>822</v>
      </c>
      <c r="C780" s="1" t="s">
        <v>1915</v>
      </c>
      <c r="E780" s="1" t="s">
        <v>890</v>
      </c>
      <c r="F780" s="1">
        <v>1920927680000</v>
      </c>
      <c r="G780" s="1" t="s">
        <v>891</v>
      </c>
      <c r="H780" s="1" t="s">
        <v>1974</v>
      </c>
      <c r="I780" s="1" t="s">
        <v>1182</v>
      </c>
      <c r="Q780" s="1" t="s">
        <v>822</v>
      </c>
      <c r="R780" s="1" t="s">
        <v>890</v>
      </c>
      <c r="S780" s="1" t="s">
        <v>891</v>
      </c>
    </row>
    <row r="781" spans="1:19" x14ac:dyDescent="0.25">
      <c r="A781" s="1">
        <v>1920981000000</v>
      </c>
      <c r="B781" s="1" t="s">
        <v>822</v>
      </c>
      <c r="C781" s="1" t="s">
        <v>1915</v>
      </c>
      <c r="E781" s="1" t="s">
        <v>890</v>
      </c>
      <c r="F781" s="1">
        <v>1920981000000</v>
      </c>
      <c r="G781" s="1" t="s">
        <v>892</v>
      </c>
      <c r="H781" s="1" t="s">
        <v>1975</v>
      </c>
      <c r="I781" s="1" t="s">
        <v>1204</v>
      </c>
      <c r="Q781" s="1" t="s">
        <v>822</v>
      </c>
      <c r="R781" s="1" t="s">
        <v>890</v>
      </c>
      <c r="S781" s="1" t="s">
        <v>892</v>
      </c>
    </row>
    <row r="782" spans="1:19" x14ac:dyDescent="0.25">
      <c r="A782" s="1">
        <v>1920912870000</v>
      </c>
      <c r="B782" s="1" t="s">
        <v>822</v>
      </c>
      <c r="C782" s="1" t="s">
        <v>1915</v>
      </c>
      <c r="E782" s="1" t="s">
        <v>893</v>
      </c>
      <c r="F782" s="1">
        <v>1920912870000</v>
      </c>
      <c r="G782" s="1" t="s">
        <v>894</v>
      </c>
      <c r="H782" s="1" t="s">
        <v>1976</v>
      </c>
      <c r="I782" s="1" t="s">
        <v>1182</v>
      </c>
      <c r="Q782" s="1" t="s">
        <v>822</v>
      </c>
      <c r="R782" s="1" t="s">
        <v>893</v>
      </c>
      <c r="S782" s="1" t="s">
        <v>894</v>
      </c>
    </row>
    <row r="783" spans="1:19" x14ac:dyDescent="0.25">
      <c r="A783" s="1">
        <v>1920912870001</v>
      </c>
      <c r="B783" s="1" t="s">
        <v>822</v>
      </c>
      <c r="C783" s="1" t="s">
        <v>1915</v>
      </c>
      <c r="E783" s="1" t="s">
        <v>893</v>
      </c>
      <c r="F783" s="1">
        <v>1920912870001</v>
      </c>
      <c r="G783" s="1" t="s">
        <v>895</v>
      </c>
      <c r="H783" s="1" t="s">
        <v>1977</v>
      </c>
      <c r="I783" s="1" t="s">
        <v>1182</v>
      </c>
      <c r="Q783" s="1" t="s">
        <v>822</v>
      </c>
      <c r="R783" s="1" t="s">
        <v>893</v>
      </c>
      <c r="S783" s="1" t="s">
        <v>895</v>
      </c>
    </row>
    <row r="784" spans="1:19" x14ac:dyDescent="0.25">
      <c r="A784" s="1">
        <v>1920982000000</v>
      </c>
      <c r="B784" s="1" t="s">
        <v>822</v>
      </c>
      <c r="C784" s="1" t="s">
        <v>1915</v>
      </c>
      <c r="E784" s="1" t="s">
        <v>893</v>
      </c>
      <c r="F784" s="1">
        <v>1920982000000</v>
      </c>
      <c r="G784" s="1" t="s">
        <v>896</v>
      </c>
      <c r="H784" s="1" t="s">
        <v>1978</v>
      </c>
      <c r="I784" s="1" t="s">
        <v>1204</v>
      </c>
      <c r="Q784" s="1" t="s">
        <v>822</v>
      </c>
      <c r="R784" s="1" t="s">
        <v>893</v>
      </c>
      <c r="S784" s="1" t="s">
        <v>896</v>
      </c>
    </row>
    <row r="785" spans="1:19" x14ac:dyDescent="0.25">
      <c r="A785" s="1">
        <v>1920937430000</v>
      </c>
      <c r="B785" s="1" t="s">
        <v>822</v>
      </c>
      <c r="C785" s="1" t="s">
        <v>1915</v>
      </c>
      <c r="E785" s="1" t="s">
        <v>893</v>
      </c>
      <c r="F785" s="1">
        <v>1920937430000</v>
      </c>
      <c r="G785" s="1" t="s">
        <v>897</v>
      </c>
      <c r="H785" s="1" t="s">
        <v>1979</v>
      </c>
      <c r="I785" s="1" t="s">
        <v>1182</v>
      </c>
      <c r="Q785" s="1" t="s">
        <v>822</v>
      </c>
      <c r="R785" s="1" t="s">
        <v>893</v>
      </c>
      <c r="S785" s="1" t="s">
        <v>897</v>
      </c>
    </row>
    <row r="786" spans="1:19" x14ac:dyDescent="0.25">
      <c r="A786" s="1">
        <v>1920937520000</v>
      </c>
      <c r="B786" s="1" t="s">
        <v>822</v>
      </c>
      <c r="C786" s="1" t="s">
        <v>1915</v>
      </c>
      <c r="E786" s="1" t="s">
        <v>893</v>
      </c>
      <c r="F786" s="1">
        <v>1920937520000</v>
      </c>
      <c r="G786" s="1" t="s">
        <v>898</v>
      </c>
      <c r="H786" s="1" t="s">
        <v>1980</v>
      </c>
      <c r="I786" s="1" t="s">
        <v>1182</v>
      </c>
      <c r="Q786" s="1" t="s">
        <v>822</v>
      </c>
      <c r="R786" s="1" t="s">
        <v>893</v>
      </c>
      <c r="S786" s="1" t="s">
        <v>898</v>
      </c>
    </row>
    <row r="787" spans="1:19" x14ac:dyDescent="0.25">
      <c r="A787" s="1">
        <v>1920912300000</v>
      </c>
      <c r="B787" s="1" t="s">
        <v>822</v>
      </c>
      <c r="C787" s="1" t="s">
        <v>1915</v>
      </c>
      <c r="E787" s="1" t="s">
        <v>899</v>
      </c>
      <c r="F787" s="1">
        <v>1920912300000</v>
      </c>
      <c r="G787" s="1" t="s">
        <v>900</v>
      </c>
      <c r="H787" s="1" t="s">
        <v>1981</v>
      </c>
      <c r="I787" s="1" t="s">
        <v>1182</v>
      </c>
      <c r="Q787" s="1" t="s">
        <v>822</v>
      </c>
      <c r="R787" s="1" t="s">
        <v>899</v>
      </c>
      <c r="S787" s="1" t="s">
        <v>900</v>
      </c>
    </row>
    <row r="788" spans="1:19" x14ac:dyDescent="0.25">
      <c r="A788" s="1">
        <v>1920983000000</v>
      </c>
      <c r="B788" s="1" t="s">
        <v>822</v>
      </c>
      <c r="C788" s="1" t="s">
        <v>1915</v>
      </c>
      <c r="E788" s="1" t="s">
        <v>899</v>
      </c>
      <c r="F788" s="1">
        <v>1920983000000</v>
      </c>
      <c r="G788" s="1" t="s">
        <v>901</v>
      </c>
      <c r="H788" s="1" t="s">
        <v>1982</v>
      </c>
      <c r="I788" s="1" t="s">
        <v>1204</v>
      </c>
      <c r="Q788" s="1" t="s">
        <v>822</v>
      </c>
      <c r="R788" s="1" t="s">
        <v>899</v>
      </c>
      <c r="S788" s="1" t="s">
        <v>901</v>
      </c>
    </row>
    <row r="789" spans="1:19" x14ac:dyDescent="0.25">
      <c r="A789" s="1">
        <v>1920901450000</v>
      </c>
      <c r="B789" s="1" t="s">
        <v>902</v>
      </c>
      <c r="C789" s="1" t="s">
        <v>1983</v>
      </c>
      <c r="E789" s="1" t="s">
        <v>903</v>
      </c>
      <c r="F789" s="1">
        <v>1920901450000</v>
      </c>
      <c r="G789" s="1" t="s">
        <v>904</v>
      </c>
      <c r="H789" s="1" t="s">
        <v>1984</v>
      </c>
      <c r="I789" s="1" t="s">
        <v>1182</v>
      </c>
      <c r="Q789" s="1" t="s">
        <v>902</v>
      </c>
      <c r="R789" s="1" t="s">
        <v>903</v>
      </c>
      <c r="S789" s="1" t="s">
        <v>904</v>
      </c>
    </row>
    <row r="790" spans="1:19" x14ac:dyDescent="0.25">
      <c r="A790" s="1">
        <v>1920919040000</v>
      </c>
      <c r="B790" s="1" t="s">
        <v>902</v>
      </c>
      <c r="C790" s="1" t="s">
        <v>1983</v>
      </c>
      <c r="E790" s="1" t="s">
        <v>903</v>
      </c>
      <c r="F790" s="1">
        <v>1920919040000</v>
      </c>
      <c r="G790" s="1" t="s">
        <v>905</v>
      </c>
      <c r="H790" s="1" t="s">
        <v>1985</v>
      </c>
      <c r="I790" s="1" t="s">
        <v>1182</v>
      </c>
      <c r="Q790" s="1" t="s">
        <v>902</v>
      </c>
      <c r="R790" s="1" t="s">
        <v>903</v>
      </c>
      <c r="S790" s="1" t="s">
        <v>905</v>
      </c>
    </row>
    <row r="791" spans="1:19" x14ac:dyDescent="0.25">
      <c r="A791" s="1">
        <v>1920919050000</v>
      </c>
      <c r="B791" s="1" t="s">
        <v>902</v>
      </c>
      <c r="C791" s="1" t="s">
        <v>1983</v>
      </c>
      <c r="E791" s="1" t="s">
        <v>903</v>
      </c>
      <c r="F791" s="1">
        <v>1920919050000</v>
      </c>
      <c r="G791" s="1" t="s">
        <v>906</v>
      </c>
      <c r="H791" s="1" t="s">
        <v>1986</v>
      </c>
      <c r="I791" s="1" t="s">
        <v>1182</v>
      </c>
      <c r="Q791" s="1" t="s">
        <v>902</v>
      </c>
      <c r="R791" s="1" t="s">
        <v>903</v>
      </c>
      <c r="S791" s="1" t="s">
        <v>906</v>
      </c>
    </row>
    <row r="792" spans="1:19" x14ac:dyDescent="0.25">
      <c r="A792" s="1">
        <v>1920919080000</v>
      </c>
      <c r="B792" s="1" t="s">
        <v>902</v>
      </c>
      <c r="C792" s="1" t="s">
        <v>1983</v>
      </c>
      <c r="E792" s="1" t="s">
        <v>903</v>
      </c>
      <c r="F792" s="1">
        <v>1920919080000</v>
      </c>
      <c r="G792" s="1" t="s">
        <v>907</v>
      </c>
      <c r="H792" s="1" t="s">
        <v>1987</v>
      </c>
      <c r="I792" s="1" t="s">
        <v>1182</v>
      </c>
      <c r="Q792" s="1" t="s">
        <v>902</v>
      </c>
      <c r="R792" s="1" t="s">
        <v>903</v>
      </c>
      <c r="S792" s="1" t="s">
        <v>907</v>
      </c>
    </row>
    <row r="793" spans="1:19" x14ac:dyDescent="0.25">
      <c r="A793" s="1">
        <v>1920919090000</v>
      </c>
      <c r="B793" s="1" t="s">
        <v>902</v>
      </c>
      <c r="C793" s="1" t="s">
        <v>1983</v>
      </c>
      <c r="E793" s="1" t="s">
        <v>903</v>
      </c>
      <c r="F793" s="1">
        <v>1920919090000</v>
      </c>
      <c r="G793" s="1" t="s">
        <v>908</v>
      </c>
      <c r="H793" s="1" t="s">
        <v>1988</v>
      </c>
      <c r="I793" s="1" t="s">
        <v>1182</v>
      </c>
      <c r="Q793" s="1" t="s">
        <v>902</v>
      </c>
      <c r="R793" s="1" t="s">
        <v>903</v>
      </c>
      <c r="S793" s="1" t="s">
        <v>908</v>
      </c>
    </row>
    <row r="794" spans="1:19" x14ac:dyDescent="0.25">
      <c r="A794" s="1">
        <v>1920919100000</v>
      </c>
      <c r="B794" s="1" t="s">
        <v>902</v>
      </c>
      <c r="C794" s="1" t="s">
        <v>1983</v>
      </c>
      <c r="E794" s="1" t="s">
        <v>903</v>
      </c>
      <c r="F794" s="1">
        <v>1920919100000</v>
      </c>
      <c r="G794" s="1" t="s">
        <v>909</v>
      </c>
      <c r="H794" s="1" t="s">
        <v>1989</v>
      </c>
      <c r="I794" s="1" t="s">
        <v>1182</v>
      </c>
      <c r="Q794" s="1" t="s">
        <v>902</v>
      </c>
      <c r="R794" s="1" t="s">
        <v>903</v>
      </c>
      <c r="S794" s="1" t="s">
        <v>909</v>
      </c>
    </row>
    <row r="795" spans="1:19" x14ac:dyDescent="0.25">
      <c r="A795" s="1">
        <v>1920919140000</v>
      </c>
      <c r="B795" s="1" t="s">
        <v>902</v>
      </c>
      <c r="C795" s="1" t="s">
        <v>1983</v>
      </c>
      <c r="E795" s="1" t="s">
        <v>903</v>
      </c>
      <c r="F795" s="1">
        <v>1920919140000</v>
      </c>
      <c r="G795" s="1" t="s">
        <v>910</v>
      </c>
      <c r="H795" s="1" t="s">
        <v>1990</v>
      </c>
      <c r="I795" s="1" t="s">
        <v>1182</v>
      </c>
      <c r="Q795" s="1" t="s">
        <v>902</v>
      </c>
      <c r="R795" s="1" t="s">
        <v>903</v>
      </c>
      <c r="S795" s="1" t="s">
        <v>910</v>
      </c>
    </row>
    <row r="796" spans="1:19" x14ac:dyDescent="0.25">
      <c r="A796" s="1">
        <v>1920919170000</v>
      </c>
      <c r="B796" s="1" t="s">
        <v>902</v>
      </c>
      <c r="C796" s="1" t="s">
        <v>1983</v>
      </c>
      <c r="E796" s="1" t="s">
        <v>903</v>
      </c>
      <c r="F796" s="1">
        <v>1920919170000</v>
      </c>
      <c r="G796" s="1" t="s">
        <v>911</v>
      </c>
      <c r="H796" s="1" t="s">
        <v>1991</v>
      </c>
      <c r="I796" s="1" t="s">
        <v>1182</v>
      </c>
      <c r="Q796" s="1" t="s">
        <v>902</v>
      </c>
      <c r="R796" s="1" t="s">
        <v>903</v>
      </c>
      <c r="S796" s="1" t="s">
        <v>911</v>
      </c>
    </row>
    <row r="797" spans="1:19" x14ac:dyDescent="0.25">
      <c r="A797" s="1">
        <v>1920924480000</v>
      </c>
      <c r="B797" s="1" t="s">
        <v>902</v>
      </c>
      <c r="C797" s="1" t="s">
        <v>1983</v>
      </c>
      <c r="E797" s="1" t="s">
        <v>903</v>
      </c>
      <c r="F797" s="1">
        <v>1920924480000</v>
      </c>
      <c r="G797" s="1" t="s">
        <v>912</v>
      </c>
      <c r="H797" s="1" t="s">
        <v>1992</v>
      </c>
      <c r="I797" s="1" t="s">
        <v>1182</v>
      </c>
      <c r="Q797" s="1" t="s">
        <v>902</v>
      </c>
      <c r="R797" s="1" t="s">
        <v>903</v>
      </c>
      <c r="S797" s="1" t="s">
        <v>912</v>
      </c>
    </row>
    <row r="798" spans="1:19" x14ac:dyDescent="0.25">
      <c r="A798" s="1">
        <v>1920927330000</v>
      </c>
      <c r="B798" s="1" t="s">
        <v>902</v>
      </c>
      <c r="C798" s="1" t="s">
        <v>1983</v>
      </c>
      <c r="E798" s="1" t="s">
        <v>903</v>
      </c>
      <c r="F798" s="1">
        <v>1920927330000</v>
      </c>
      <c r="G798" s="1" t="s">
        <v>913</v>
      </c>
      <c r="H798" s="1" t="s">
        <v>1993</v>
      </c>
      <c r="I798" s="1" t="s">
        <v>1182</v>
      </c>
      <c r="Q798" s="1" t="s">
        <v>902</v>
      </c>
      <c r="R798" s="1" t="s">
        <v>903</v>
      </c>
      <c r="S798" s="1" t="s">
        <v>913</v>
      </c>
    </row>
    <row r="799" spans="1:19" x14ac:dyDescent="0.25">
      <c r="A799" s="1">
        <v>1920937490000</v>
      </c>
      <c r="B799" s="1" t="s">
        <v>902</v>
      </c>
      <c r="C799" s="1" t="s">
        <v>1983</v>
      </c>
      <c r="E799" s="1" t="s">
        <v>903</v>
      </c>
      <c r="F799" s="1">
        <v>1920937490000</v>
      </c>
      <c r="G799" s="1" t="s">
        <v>914</v>
      </c>
      <c r="H799" s="1" t="s">
        <v>1994</v>
      </c>
      <c r="I799" s="1" t="s">
        <v>1182</v>
      </c>
      <c r="Q799" s="1" t="s">
        <v>902</v>
      </c>
      <c r="R799" s="1" t="s">
        <v>903</v>
      </c>
      <c r="S799" s="1" t="s">
        <v>914</v>
      </c>
    </row>
    <row r="800" spans="1:19" x14ac:dyDescent="0.25">
      <c r="A800" s="1">
        <v>1920918930000</v>
      </c>
      <c r="B800" s="1" t="s">
        <v>902</v>
      </c>
      <c r="C800" s="1" t="s">
        <v>1983</v>
      </c>
      <c r="E800" s="1" t="s">
        <v>915</v>
      </c>
      <c r="F800" s="1">
        <v>1920918930000</v>
      </c>
      <c r="G800" s="1" t="s">
        <v>916</v>
      </c>
      <c r="H800" s="1" t="s">
        <v>1995</v>
      </c>
      <c r="I800" s="1" t="s">
        <v>1182</v>
      </c>
      <c r="Q800" s="1" t="s">
        <v>902</v>
      </c>
      <c r="R800" s="1" t="s">
        <v>915</v>
      </c>
      <c r="S800" s="1" t="s">
        <v>916</v>
      </c>
    </row>
    <row r="801" spans="1:19" x14ac:dyDescent="0.25">
      <c r="A801" s="1">
        <v>1920918940000</v>
      </c>
      <c r="B801" s="1" t="s">
        <v>902</v>
      </c>
      <c r="C801" s="1" t="s">
        <v>1983</v>
      </c>
      <c r="E801" s="1" t="s">
        <v>915</v>
      </c>
      <c r="F801" s="1">
        <v>1920918940000</v>
      </c>
      <c r="G801" s="1" t="s">
        <v>917</v>
      </c>
      <c r="H801" s="1" t="s">
        <v>1996</v>
      </c>
      <c r="I801" s="1" t="s">
        <v>1182</v>
      </c>
      <c r="Q801" s="1" t="s">
        <v>902</v>
      </c>
      <c r="R801" s="1" t="s">
        <v>915</v>
      </c>
      <c r="S801" s="1" t="s">
        <v>917</v>
      </c>
    </row>
    <row r="802" spans="1:19" x14ac:dyDescent="0.25">
      <c r="A802" s="1">
        <v>1920918950000</v>
      </c>
      <c r="B802" s="1" t="s">
        <v>902</v>
      </c>
      <c r="C802" s="1" t="s">
        <v>1983</v>
      </c>
      <c r="E802" s="1" t="s">
        <v>915</v>
      </c>
      <c r="F802" s="1">
        <v>1920918950000</v>
      </c>
      <c r="G802" s="1" t="s">
        <v>918</v>
      </c>
      <c r="H802" s="1" t="s">
        <v>1997</v>
      </c>
      <c r="I802" s="1" t="s">
        <v>1182</v>
      </c>
      <c r="Q802" s="1" t="s">
        <v>902</v>
      </c>
      <c r="R802" s="1" t="s">
        <v>915</v>
      </c>
      <c r="S802" s="1" t="s">
        <v>918</v>
      </c>
    </row>
    <row r="803" spans="1:19" x14ac:dyDescent="0.25">
      <c r="A803" s="1">
        <v>1920918610000</v>
      </c>
      <c r="B803" s="1" t="s">
        <v>902</v>
      </c>
      <c r="C803" s="1" t="s">
        <v>1983</v>
      </c>
      <c r="E803" s="1" t="s">
        <v>902</v>
      </c>
      <c r="F803" s="1">
        <v>1920918610000</v>
      </c>
      <c r="G803" s="1" t="s">
        <v>919</v>
      </c>
      <c r="H803" s="1" t="s">
        <v>1998</v>
      </c>
      <c r="I803" s="1" t="s">
        <v>1182</v>
      </c>
      <c r="Q803" s="1" t="s">
        <v>902</v>
      </c>
      <c r="R803" s="1" t="s">
        <v>902</v>
      </c>
      <c r="S803" s="1" t="s">
        <v>919</v>
      </c>
    </row>
    <row r="804" spans="1:19" x14ac:dyDescent="0.25">
      <c r="A804" s="1">
        <v>1921002000000</v>
      </c>
      <c r="B804" s="1" t="s">
        <v>902</v>
      </c>
      <c r="C804" s="1" t="s">
        <v>1983</v>
      </c>
      <c r="E804" s="1" t="s">
        <v>902</v>
      </c>
      <c r="F804" s="1">
        <v>1921002000000</v>
      </c>
      <c r="G804" s="1" t="s">
        <v>920</v>
      </c>
      <c r="H804" s="1" t="s">
        <v>1999</v>
      </c>
      <c r="I804" s="1" t="s">
        <v>1204</v>
      </c>
      <c r="Q804" s="1" t="s">
        <v>902</v>
      </c>
      <c r="R804" s="1" t="s">
        <v>902</v>
      </c>
      <c r="S804" s="1" t="s">
        <v>920</v>
      </c>
    </row>
    <row r="805" spans="1:19" x14ac:dyDescent="0.25">
      <c r="A805" s="1">
        <v>1920937890000</v>
      </c>
      <c r="B805" s="1" t="s">
        <v>902</v>
      </c>
      <c r="C805" s="1" t="s">
        <v>1983</v>
      </c>
      <c r="E805" s="1" t="s">
        <v>902</v>
      </c>
      <c r="F805" s="1">
        <v>1920937890000</v>
      </c>
      <c r="G805" s="1" t="s">
        <v>921</v>
      </c>
      <c r="H805" s="1" t="s">
        <v>2000</v>
      </c>
      <c r="I805" s="1" t="s">
        <v>1182</v>
      </c>
      <c r="Q805" s="1" t="s">
        <v>902</v>
      </c>
      <c r="R805" s="1" t="s">
        <v>902</v>
      </c>
      <c r="S805" s="1" t="s">
        <v>921</v>
      </c>
    </row>
    <row r="806" spans="1:19" x14ac:dyDescent="0.25">
      <c r="A806" s="1">
        <v>1920904730000</v>
      </c>
      <c r="B806" s="1" t="s">
        <v>922</v>
      </c>
      <c r="C806" s="1" t="s">
        <v>2001</v>
      </c>
      <c r="E806" s="1" t="s">
        <v>923</v>
      </c>
      <c r="F806" s="1">
        <v>1920904730000</v>
      </c>
      <c r="G806" s="1" t="s">
        <v>924</v>
      </c>
      <c r="H806" s="1" t="s">
        <v>2002</v>
      </c>
      <c r="I806" s="1" t="s">
        <v>1182</v>
      </c>
      <c r="Q806" s="1" t="s">
        <v>922</v>
      </c>
      <c r="R806" s="1" t="s">
        <v>923</v>
      </c>
      <c r="S806" s="1" t="s">
        <v>924</v>
      </c>
    </row>
    <row r="807" spans="1:19" x14ac:dyDescent="0.25">
      <c r="A807" s="1">
        <v>1920988000000</v>
      </c>
      <c r="B807" s="1" t="s">
        <v>922</v>
      </c>
      <c r="C807" s="1" t="s">
        <v>2001</v>
      </c>
      <c r="E807" s="1" t="s">
        <v>923</v>
      </c>
      <c r="F807" s="1">
        <v>1920988000000</v>
      </c>
      <c r="G807" s="1" t="s">
        <v>925</v>
      </c>
      <c r="H807" s="1" t="s">
        <v>2003</v>
      </c>
      <c r="I807" s="1" t="s">
        <v>1204</v>
      </c>
      <c r="Q807" s="1" t="s">
        <v>922</v>
      </c>
      <c r="R807" s="1" t="s">
        <v>923</v>
      </c>
      <c r="S807" s="1" t="s">
        <v>925</v>
      </c>
    </row>
    <row r="808" spans="1:19" x14ac:dyDescent="0.25">
      <c r="A808" s="1">
        <v>1920904740000</v>
      </c>
      <c r="B808" s="1" t="s">
        <v>922</v>
      </c>
      <c r="C808" s="1" t="s">
        <v>2001</v>
      </c>
      <c r="E808" s="1" t="s">
        <v>923</v>
      </c>
      <c r="F808" s="1">
        <v>1920904740000</v>
      </c>
      <c r="G808" s="1" t="s">
        <v>926</v>
      </c>
      <c r="H808" s="1" t="s">
        <v>2004</v>
      </c>
      <c r="I808" s="1" t="s">
        <v>1182</v>
      </c>
      <c r="Q808" s="1" t="s">
        <v>922</v>
      </c>
      <c r="R808" s="1" t="s">
        <v>923</v>
      </c>
      <c r="S808" s="1" t="s">
        <v>926</v>
      </c>
    </row>
    <row r="809" spans="1:19" x14ac:dyDescent="0.25">
      <c r="A809" s="1">
        <v>1920904750000</v>
      </c>
      <c r="B809" s="1" t="s">
        <v>922</v>
      </c>
      <c r="C809" s="1" t="s">
        <v>2001</v>
      </c>
      <c r="E809" s="1" t="s">
        <v>923</v>
      </c>
      <c r="F809" s="1">
        <v>1920904750000</v>
      </c>
      <c r="G809" s="1" t="s">
        <v>927</v>
      </c>
      <c r="H809" s="1" t="s">
        <v>2005</v>
      </c>
      <c r="I809" s="1" t="s">
        <v>1182</v>
      </c>
      <c r="Q809" s="1" t="s">
        <v>922</v>
      </c>
      <c r="R809" s="1" t="s">
        <v>923</v>
      </c>
      <c r="S809" s="1" t="s">
        <v>927</v>
      </c>
    </row>
    <row r="810" spans="1:19" x14ac:dyDescent="0.25">
      <c r="A810" s="1">
        <v>1920904770000</v>
      </c>
      <c r="B810" s="1" t="s">
        <v>922</v>
      </c>
      <c r="C810" s="1" t="s">
        <v>2001</v>
      </c>
      <c r="E810" s="1" t="s">
        <v>923</v>
      </c>
      <c r="F810" s="1">
        <v>1920904770000</v>
      </c>
      <c r="G810" s="1" t="s">
        <v>928</v>
      </c>
      <c r="H810" s="1" t="s">
        <v>2006</v>
      </c>
      <c r="I810" s="1" t="s">
        <v>1182</v>
      </c>
      <c r="Q810" s="1" t="s">
        <v>922</v>
      </c>
      <c r="R810" s="1" t="s">
        <v>923</v>
      </c>
      <c r="S810" s="1" t="s">
        <v>928</v>
      </c>
    </row>
    <row r="811" spans="1:19" x14ac:dyDescent="0.25">
      <c r="A811" s="1">
        <v>1920904780000</v>
      </c>
      <c r="B811" s="1" t="s">
        <v>922</v>
      </c>
      <c r="C811" s="1" t="s">
        <v>2001</v>
      </c>
      <c r="E811" s="1" t="s">
        <v>923</v>
      </c>
      <c r="F811" s="1">
        <v>1920904780000</v>
      </c>
      <c r="G811" s="1" t="s">
        <v>929</v>
      </c>
      <c r="H811" s="1" t="s">
        <v>2007</v>
      </c>
      <c r="I811" s="1" t="s">
        <v>1182</v>
      </c>
      <c r="Q811" s="1" t="s">
        <v>922</v>
      </c>
      <c r="R811" s="1" t="s">
        <v>923</v>
      </c>
      <c r="S811" s="1" t="s">
        <v>929</v>
      </c>
    </row>
    <row r="812" spans="1:19" x14ac:dyDescent="0.25">
      <c r="A812" s="1">
        <v>1920937080000</v>
      </c>
      <c r="B812" s="1" t="s">
        <v>922</v>
      </c>
      <c r="C812" s="1" t="s">
        <v>2001</v>
      </c>
      <c r="E812" s="1" t="s">
        <v>923</v>
      </c>
      <c r="F812" s="1">
        <v>1920937080000</v>
      </c>
      <c r="G812" s="1" t="s">
        <v>930</v>
      </c>
      <c r="H812" s="1" t="s">
        <v>2008</v>
      </c>
      <c r="I812" s="1" t="s">
        <v>1182</v>
      </c>
      <c r="Q812" s="1" t="s">
        <v>922</v>
      </c>
      <c r="R812" s="1" t="s">
        <v>923</v>
      </c>
      <c r="S812" s="1" t="s">
        <v>930</v>
      </c>
    </row>
    <row r="813" spans="1:19" x14ac:dyDescent="0.25">
      <c r="A813" s="1">
        <v>1920923840000</v>
      </c>
      <c r="B813" s="1" t="s">
        <v>922</v>
      </c>
      <c r="C813" s="1" t="s">
        <v>2001</v>
      </c>
      <c r="E813" s="1" t="s">
        <v>931</v>
      </c>
      <c r="F813" s="1">
        <v>1920923840000</v>
      </c>
      <c r="G813" s="1" t="s">
        <v>932</v>
      </c>
      <c r="H813" s="1" t="s">
        <v>2009</v>
      </c>
      <c r="I813" s="1" t="s">
        <v>1182</v>
      </c>
      <c r="Q813" s="1" t="s">
        <v>922</v>
      </c>
      <c r="R813" s="1" t="s">
        <v>931</v>
      </c>
      <c r="S813" s="1" t="s">
        <v>932</v>
      </c>
    </row>
    <row r="814" spans="1:19" x14ac:dyDescent="0.25">
      <c r="A814" s="1">
        <v>1920989000000</v>
      </c>
      <c r="B814" s="1" t="s">
        <v>922</v>
      </c>
      <c r="C814" s="1" t="s">
        <v>2001</v>
      </c>
      <c r="E814" s="1" t="s">
        <v>931</v>
      </c>
      <c r="F814" s="1">
        <v>1920989000000</v>
      </c>
      <c r="G814" s="1" t="s">
        <v>933</v>
      </c>
      <c r="H814" s="1" t="s">
        <v>2010</v>
      </c>
      <c r="I814" s="1" t="s">
        <v>1204</v>
      </c>
      <c r="Q814" s="1" t="s">
        <v>922</v>
      </c>
      <c r="R814" s="1" t="s">
        <v>931</v>
      </c>
      <c r="S814" s="1" t="s">
        <v>933</v>
      </c>
    </row>
    <row r="815" spans="1:19" x14ac:dyDescent="0.25">
      <c r="A815" s="1">
        <v>1920923830000</v>
      </c>
      <c r="B815" s="1" t="s">
        <v>922</v>
      </c>
      <c r="C815" s="1" t="s">
        <v>2001</v>
      </c>
      <c r="E815" s="1" t="s">
        <v>934</v>
      </c>
      <c r="F815" s="1">
        <v>1920923830000</v>
      </c>
      <c r="G815" s="1" t="s">
        <v>935</v>
      </c>
      <c r="H815" s="1" t="s">
        <v>2011</v>
      </c>
      <c r="I815" s="1" t="s">
        <v>1182</v>
      </c>
      <c r="Q815" s="1" t="s">
        <v>922</v>
      </c>
      <c r="R815" s="1" t="s">
        <v>934</v>
      </c>
      <c r="S815" s="1" t="s">
        <v>935</v>
      </c>
    </row>
    <row r="816" spans="1:19" x14ac:dyDescent="0.25">
      <c r="A816" s="1">
        <v>1920904950000</v>
      </c>
      <c r="B816" s="1" t="s">
        <v>922</v>
      </c>
      <c r="C816" s="1" t="s">
        <v>2001</v>
      </c>
      <c r="E816" s="1" t="s">
        <v>922</v>
      </c>
      <c r="F816" s="1">
        <v>1920904950000</v>
      </c>
      <c r="G816" s="1" t="s">
        <v>936</v>
      </c>
      <c r="H816" s="1" t="s">
        <v>2012</v>
      </c>
      <c r="I816" s="1" t="s">
        <v>1182</v>
      </c>
      <c r="Q816" s="1" t="s">
        <v>922</v>
      </c>
      <c r="R816" s="1" t="s">
        <v>922</v>
      </c>
      <c r="S816" s="1" t="s">
        <v>936</v>
      </c>
    </row>
    <row r="817" spans="1:19" x14ac:dyDescent="0.25">
      <c r="A817" s="1">
        <v>1920904950001</v>
      </c>
      <c r="B817" s="1" t="s">
        <v>922</v>
      </c>
      <c r="C817" s="1" t="s">
        <v>2001</v>
      </c>
      <c r="E817" s="1" t="s">
        <v>922</v>
      </c>
      <c r="F817" s="1">
        <v>1920904950001</v>
      </c>
      <c r="G817" s="1" t="s">
        <v>937</v>
      </c>
      <c r="H817" s="1" t="s">
        <v>2013</v>
      </c>
      <c r="I817" s="1" t="s">
        <v>1182</v>
      </c>
      <c r="Q817" s="1" t="s">
        <v>922</v>
      </c>
      <c r="R817" s="1" t="s">
        <v>922</v>
      </c>
      <c r="S817" s="1" t="s">
        <v>937</v>
      </c>
    </row>
    <row r="818" spans="1:19" x14ac:dyDescent="0.25">
      <c r="A818" s="1">
        <v>1920904960000</v>
      </c>
      <c r="B818" s="1" t="s">
        <v>922</v>
      </c>
      <c r="C818" s="1" t="s">
        <v>2001</v>
      </c>
      <c r="E818" s="1" t="s">
        <v>922</v>
      </c>
      <c r="F818" s="1">
        <v>1920904960000</v>
      </c>
      <c r="G818" s="1" t="s">
        <v>938</v>
      </c>
      <c r="H818" s="1" t="s">
        <v>2014</v>
      </c>
      <c r="I818" s="1" t="s">
        <v>1182</v>
      </c>
      <c r="Q818" s="1" t="s">
        <v>922</v>
      </c>
      <c r="R818" s="1" t="s">
        <v>922</v>
      </c>
      <c r="S818" s="1" t="s">
        <v>938</v>
      </c>
    </row>
    <row r="819" spans="1:19" x14ac:dyDescent="0.25">
      <c r="A819" s="1">
        <v>1920904960001</v>
      </c>
      <c r="B819" s="1" t="s">
        <v>922</v>
      </c>
      <c r="C819" s="1" t="s">
        <v>2001</v>
      </c>
      <c r="E819" s="1" t="s">
        <v>922</v>
      </c>
      <c r="F819" s="1">
        <v>1920904960001</v>
      </c>
      <c r="G819" s="1" t="s">
        <v>939</v>
      </c>
      <c r="H819" s="1" t="s">
        <v>2015</v>
      </c>
      <c r="I819" s="1" t="s">
        <v>1182</v>
      </c>
      <c r="Q819" s="1" t="s">
        <v>922</v>
      </c>
      <c r="R819" s="1" t="s">
        <v>922</v>
      </c>
      <c r="S819" s="1" t="s">
        <v>939</v>
      </c>
    </row>
    <row r="820" spans="1:19" x14ac:dyDescent="0.25">
      <c r="A820" s="1">
        <v>1920904960004</v>
      </c>
      <c r="B820" s="1" t="s">
        <v>922</v>
      </c>
      <c r="C820" s="1" t="s">
        <v>2001</v>
      </c>
      <c r="E820" s="1" t="s">
        <v>922</v>
      </c>
      <c r="F820" s="1">
        <v>1920904960004</v>
      </c>
      <c r="G820" s="1" t="s">
        <v>940</v>
      </c>
      <c r="H820" s="1" t="s">
        <v>2016</v>
      </c>
      <c r="I820" s="1" t="s">
        <v>1182</v>
      </c>
      <c r="Q820" s="1" t="s">
        <v>922</v>
      </c>
      <c r="R820" s="1" t="s">
        <v>922</v>
      </c>
      <c r="S820" s="1" t="s">
        <v>940</v>
      </c>
    </row>
    <row r="821" spans="1:19" x14ac:dyDescent="0.25">
      <c r="A821" s="1">
        <v>1920990000000</v>
      </c>
      <c r="B821" s="1" t="s">
        <v>922</v>
      </c>
      <c r="C821" s="1" t="s">
        <v>2001</v>
      </c>
      <c r="E821" s="1" t="s">
        <v>922</v>
      </c>
      <c r="F821" s="1">
        <v>1920990000000</v>
      </c>
      <c r="G821" s="1" t="s">
        <v>941</v>
      </c>
      <c r="H821" s="1" t="s">
        <v>2017</v>
      </c>
      <c r="I821" s="1" t="s">
        <v>1204</v>
      </c>
      <c r="Q821" s="1" t="s">
        <v>922</v>
      </c>
      <c r="R821" s="1" t="s">
        <v>922</v>
      </c>
      <c r="S821" s="1" t="s">
        <v>941</v>
      </c>
    </row>
    <row r="822" spans="1:19" x14ac:dyDescent="0.25">
      <c r="A822" s="1">
        <v>1920936240000</v>
      </c>
      <c r="B822" s="1" t="s">
        <v>922</v>
      </c>
      <c r="C822" s="1" t="s">
        <v>2001</v>
      </c>
      <c r="E822" s="1" t="s">
        <v>922</v>
      </c>
      <c r="F822" s="1">
        <v>1920936240000</v>
      </c>
      <c r="G822" s="1" t="s">
        <v>942</v>
      </c>
      <c r="H822" s="1" t="s">
        <v>2018</v>
      </c>
      <c r="I822" s="1" t="s">
        <v>1182</v>
      </c>
      <c r="Q822" s="1" t="s">
        <v>922</v>
      </c>
      <c r="R822" s="1" t="s">
        <v>922</v>
      </c>
      <c r="S822" s="1" t="s">
        <v>942</v>
      </c>
    </row>
    <row r="823" spans="1:19" x14ac:dyDescent="0.25">
      <c r="A823" s="1">
        <v>1920936620000</v>
      </c>
      <c r="B823" s="1" t="s">
        <v>922</v>
      </c>
      <c r="C823" s="1" t="s">
        <v>2001</v>
      </c>
      <c r="E823" s="1" t="s">
        <v>922</v>
      </c>
      <c r="F823" s="1">
        <v>1920936620000</v>
      </c>
      <c r="G823" s="1" t="s">
        <v>943</v>
      </c>
      <c r="H823" s="1" t="s">
        <v>2019</v>
      </c>
      <c r="I823" s="1" t="s">
        <v>1182</v>
      </c>
      <c r="Q823" s="1" t="s">
        <v>922</v>
      </c>
      <c r="R823" s="1" t="s">
        <v>922</v>
      </c>
      <c r="S823" s="1" t="s">
        <v>943</v>
      </c>
    </row>
    <row r="824" spans="1:19" x14ac:dyDescent="0.25">
      <c r="A824" s="1">
        <v>1920937410000</v>
      </c>
      <c r="B824" s="1" t="s">
        <v>922</v>
      </c>
      <c r="C824" s="1" t="s">
        <v>2001</v>
      </c>
      <c r="E824" s="1" t="s">
        <v>922</v>
      </c>
      <c r="F824" s="1">
        <v>1920937410000</v>
      </c>
      <c r="G824" s="1" t="s">
        <v>944</v>
      </c>
      <c r="H824" s="1" t="s">
        <v>2020</v>
      </c>
      <c r="I824" s="1" t="s">
        <v>1182</v>
      </c>
      <c r="Q824" s="1" t="s">
        <v>922</v>
      </c>
      <c r="R824" s="1" t="s">
        <v>922</v>
      </c>
      <c r="S824" s="1" t="s">
        <v>944</v>
      </c>
    </row>
    <row r="825" spans="1:19" x14ac:dyDescent="0.25">
      <c r="A825" s="1">
        <v>1920902990000</v>
      </c>
      <c r="B825" s="1" t="s">
        <v>922</v>
      </c>
      <c r="C825" s="1" t="s">
        <v>2001</v>
      </c>
      <c r="E825" s="1" t="s">
        <v>945</v>
      </c>
      <c r="F825" s="1">
        <v>1920902990000</v>
      </c>
      <c r="G825" s="1" t="s">
        <v>946</v>
      </c>
      <c r="H825" s="1" t="s">
        <v>2021</v>
      </c>
      <c r="I825" s="1" t="s">
        <v>1182</v>
      </c>
      <c r="Q825" s="1" t="s">
        <v>922</v>
      </c>
      <c r="R825" s="1" t="s">
        <v>945</v>
      </c>
      <c r="S825" s="1" t="s">
        <v>946</v>
      </c>
    </row>
    <row r="826" spans="1:19" x14ac:dyDescent="0.25">
      <c r="A826" s="1">
        <v>1920902990001</v>
      </c>
      <c r="B826" s="1" t="s">
        <v>922</v>
      </c>
      <c r="C826" s="1" t="s">
        <v>2001</v>
      </c>
      <c r="E826" s="1" t="s">
        <v>945</v>
      </c>
      <c r="F826" s="1">
        <v>1920902990001</v>
      </c>
      <c r="G826" s="1" t="s">
        <v>947</v>
      </c>
      <c r="H826" s="1" t="s">
        <v>2022</v>
      </c>
      <c r="I826" s="1" t="s">
        <v>1182</v>
      </c>
      <c r="Q826" s="1" t="s">
        <v>922</v>
      </c>
      <c r="R826" s="1" t="s">
        <v>945</v>
      </c>
      <c r="S826" s="1" t="s">
        <v>947</v>
      </c>
    </row>
    <row r="827" spans="1:19" x14ac:dyDescent="0.25">
      <c r="A827" s="1">
        <v>1920902990002</v>
      </c>
      <c r="B827" s="1" t="s">
        <v>922</v>
      </c>
      <c r="C827" s="1" t="s">
        <v>2001</v>
      </c>
      <c r="E827" s="1" t="s">
        <v>945</v>
      </c>
      <c r="F827" s="1">
        <v>1920902990002</v>
      </c>
      <c r="G827" s="1" t="s">
        <v>948</v>
      </c>
      <c r="H827" s="1" t="s">
        <v>2023</v>
      </c>
      <c r="I827" s="1" t="s">
        <v>1182</v>
      </c>
      <c r="Q827" s="1" t="s">
        <v>922</v>
      </c>
      <c r="R827" s="1" t="s">
        <v>945</v>
      </c>
      <c r="S827" s="1" t="s">
        <v>948</v>
      </c>
    </row>
    <row r="828" spans="1:19" x14ac:dyDescent="0.25">
      <c r="A828" s="1">
        <v>1920902990003</v>
      </c>
      <c r="B828" s="1" t="s">
        <v>922</v>
      </c>
      <c r="C828" s="1" t="s">
        <v>2001</v>
      </c>
      <c r="E828" s="1" t="s">
        <v>945</v>
      </c>
      <c r="F828" s="1">
        <v>1920902990003</v>
      </c>
      <c r="G828" s="1" t="s">
        <v>949</v>
      </c>
      <c r="H828" s="1" t="s">
        <v>2024</v>
      </c>
      <c r="I828" s="1" t="s">
        <v>1182</v>
      </c>
      <c r="Q828" s="1" t="s">
        <v>922</v>
      </c>
      <c r="R828" s="1" t="s">
        <v>945</v>
      </c>
      <c r="S828" s="1" t="s">
        <v>949</v>
      </c>
    </row>
    <row r="829" spans="1:19" x14ac:dyDescent="0.25">
      <c r="A829" s="1">
        <v>1920902990004</v>
      </c>
      <c r="B829" s="1" t="s">
        <v>922</v>
      </c>
      <c r="C829" s="1" t="s">
        <v>2001</v>
      </c>
      <c r="E829" s="1" t="s">
        <v>945</v>
      </c>
      <c r="F829" s="1">
        <v>1920902990004</v>
      </c>
      <c r="G829" s="1" t="s">
        <v>949</v>
      </c>
      <c r="H829" s="1" t="s">
        <v>2025</v>
      </c>
      <c r="I829" s="1" t="s">
        <v>1182</v>
      </c>
      <c r="Q829" s="1" t="s">
        <v>922</v>
      </c>
      <c r="R829" s="1" t="s">
        <v>945</v>
      </c>
      <c r="S829" s="1" t="s">
        <v>949</v>
      </c>
    </row>
    <row r="830" spans="1:19" x14ac:dyDescent="0.25">
      <c r="A830" s="1">
        <v>1920991000000</v>
      </c>
      <c r="B830" s="1" t="s">
        <v>922</v>
      </c>
      <c r="C830" s="1" t="s">
        <v>2001</v>
      </c>
      <c r="E830" s="1" t="s">
        <v>945</v>
      </c>
      <c r="F830" s="1">
        <v>1920991000000</v>
      </c>
      <c r="G830" s="1" t="s">
        <v>950</v>
      </c>
      <c r="H830" s="1" t="s">
        <v>2026</v>
      </c>
      <c r="I830" s="1" t="s">
        <v>1204</v>
      </c>
      <c r="Q830" s="1" t="s">
        <v>922</v>
      </c>
      <c r="R830" s="1" t="s">
        <v>945</v>
      </c>
      <c r="S830" s="1" t="s">
        <v>950</v>
      </c>
    </row>
    <row r="831" spans="1:19" x14ac:dyDescent="0.25">
      <c r="A831" s="1">
        <v>1920936920000</v>
      </c>
      <c r="B831" s="1" t="s">
        <v>951</v>
      </c>
      <c r="C831" s="1" t="s">
        <v>2027</v>
      </c>
      <c r="E831" s="1" t="s">
        <v>952</v>
      </c>
      <c r="F831" s="1">
        <v>1920936920000</v>
      </c>
      <c r="G831" s="1" t="s">
        <v>953</v>
      </c>
      <c r="H831" s="1" t="s">
        <v>2028</v>
      </c>
      <c r="I831" s="1" t="s">
        <v>1182</v>
      </c>
      <c r="Q831" s="1" t="s">
        <v>951</v>
      </c>
      <c r="R831" s="1" t="s">
        <v>952</v>
      </c>
      <c r="S831" s="1" t="s">
        <v>953</v>
      </c>
    </row>
    <row r="832" spans="1:19" x14ac:dyDescent="0.25">
      <c r="A832" s="1">
        <v>1920992000000</v>
      </c>
      <c r="B832" s="1" t="s">
        <v>951</v>
      </c>
      <c r="C832" s="1" t="s">
        <v>2027</v>
      </c>
      <c r="E832" s="1" t="s">
        <v>952</v>
      </c>
      <c r="F832" s="1">
        <v>1920992000000</v>
      </c>
      <c r="G832" s="1" t="s">
        <v>954</v>
      </c>
      <c r="H832" s="1" t="s">
        <v>2029</v>
      </c>
      <c r="I832" s="1" t="s">
        <v>1204</v>
      </c>
      <c r="Q832" s="1" t="s">
        <v>951</v>
      </c>
      <c r="R832" s="1" t="s">
        <v>952</v>
      </c>
      <c r="S832" s="1" t="s">
        <v>954</v>
      </c>
    </row>
    <row r="833" spans="1:19" x14ac:dyDescent="0.25">
      <c r="A833" s="1">
        <v>1920905760000</v>
      </c>
      <c r="B833" s="1" t="s">
        <v>951</v>
      </c>
      <c r="C833" s="1" t="s">
        <v>2027</v>
      </c>
      <c r="E833" s="1" t="s">
        <v>955</v>
      </c>
      <c r="F833" s="1">
        <v>1920905760000</v>
      </c>
      <c r="G833" s="1" t="s">
        <v>956</v>
      </c>
      <c r="H833" s="1" t="s">
        <v>2030</v>
      </c>
      <c r="I833" s="1" t="s">
        <v>1182</v>
      </c>
      <c r="Q833" s="1" t="s">
        <v>951</v>
      </c>
      <c r="R833" s="1" t="s">
        <v>955</v>
      </c>
      <c r="S833" s="1" t="s">
        <v>956</v>
      </c>
    </row>
    <row r="834" spans="1:19" x14ac:dyDescent="0.25">
      <c r="A834" s="1">
        <v>1920905770000</v>
      </c>
      <c r="B834" s="1" t="s">
        <v>951</v>
      </c>
      <c r="C834" s="1" t="s">
        <v>2027</v>
      </c>
      <c r="E834" s="1" t="s">
        <v>955</v>
      </c>
      <c r="F834" s="1">
        <v>1920905770000</v>
      </c>
      <c r="G834" s="1" t="s">
        <v>957</v>
      </c>
      <c r="H834" s="1" t="s">
        <v>2031</v>
      </c>
      <c r="I834" s="1" t="s">
        <v>1182</v>
      </c>
      <c r="Q834" s="1" t="s">
        <v>951</v>
      </c>
      <c r="R834" s="1" t="s">
        <v>955</v>
      </c>
      <c r="S834" s="1" t="s">
        <v>957</v>
      </c>
    </row>
    <row r="835" spans="1:19" x14ac:dyDescent="0.25">
      <c r="A835" s="1">
        <v>1920905800000</v>
      </c>
      <c r="B835" s="1" t="s">
        <v>951</v>
      </c>
      <c r="C835" s="1" t="s">
        <v>2027</v>
      </c>
      <c r="E835" s="1" t="s">
        <v>955</v>
      </c>
      <c r="F835" s="1">
        <v>1920905800000</v>
      </c>
      <c r="G835" s="1" t="s">
        <v>958</v>
      </c>
      <c r="H835" s="1" t="s">
        <v>2032</v>
      </c>
      <c r="I835" s="1" t="s">
        <v>1182</v>
      </c>
      <c r="Q835" s="1" t="s">
        <v>951</v>
      </c>
      <c r="R835" s="1" t="s">
        <v>955</v>
      </c>
      <c r="S835" s="1" t="s">
        <v>958</v>
      </c>
    </row>
    <row r="836" spans="1:19" x14ac:dyDescent="0.25">
      <c r="A836" s="1">
        <v>1920993000000</v>
      </c>
      <c r="B836" s="1" t="s">
        <v>951</v>
      </c>
      <c r="C836" s="1" t="s">
        <v>2027</v>
      </c>
      <c r="E836" s="1" t="s">
        <v>955</v>
      </c>
      <c r="F836" s="1">
        <v>1920993000000</v>
      </c>
      <c r="G836" s="1" t="s">
        <v>959</v>
      </c>
      <c r="H836" s="1" t="s">
        <v>2033</v>
      </c>
      <c r="I836" s="1" t="s">
        <v>1204</v>
      </c>
      <c r="Q836" s="1" t="s">
        <v>951</v>
      </c>
      <c r="R836" s="1" t="s">
        <v>955</v>
      </c>
      <c r="S836" s="1" t="s">
        <v>959</v>
      </c>
    </row>
    <row r="837" spans="1:19" x14ac:dyDescent="0.25">
      <c r="A837" s="1">
        <v>1920903860000</v>
      </c>
      <c r="B837" s="1" t="s">
        <v>951</v>
      </c>
      <c r="C837" s="1" t="s">
        <v>2027</v>
      </c>
      <c r="E837" s="1" t="s">
        <v>960</v>
      </c>
      <c r="F837" s="1">
        <v>1920903860000</v>
      </c>
      <c r="G837" s="1" t="s">
        <v>961</v>
      </c>
      <c r="H837" s="1" t="s">
        <v>2034</v>
      </c>
      <c r="I837" s="1" t="s">
        <v>1182</v>
      </c>
      <c r="Q837" s="1" t="s">
        <v>951</v>
      </c>
      <c r="R837" s="1" t="s">
        <v>960</v>
      </c>
      <c r="S837" s="1" t="s">
        <v>961</v>
      </c>
    </row>
    <row r="838" spans="1:19" x14ac:dyDescent="0.25">
      <c r="A838" s="1">
        <v>1920903880000</v>
      </c>
      <c r="B838" s="1" t="s">
        <v>951</v>
      </c>
      <c r="C838" s="1" t="s">
        <v>2027</v>
      </c>
      <c r="E838" s="1" t="s">
        <v>960</v>
      </c>
      <c r="F838" s="1">
        <v>1920903880000</v>
      </c>
      <c r="G838" s="1" t="s">
        <v>962</v>
      </c>
      <c r="H838" s="1" t="s">
        <v>2035</v>
      </c>
      <c r="I838" s="1" t="s">
        <v>1182</v>
      </c>
      <c r="Q838" s="1" t="s">
        <v>951</v>
      </c>
      <c r="R838" s="1" t="s">
        <v>960</v>
      </c>
      <c r="S838" s="1" t="s">
        <v>962</v>
      </c>
    </row>
    <row r="839" spans="1:19" x14ac:dyDescent="0.25">
      <c r="A839" s="1">
        <v>1920931320000</v>
      </c>
      <c r="B839" s="1" t="s">
        <v>951</v>
      </c>
      <c r="C839" s="1" t="s">
        <v>2027</v>
      </c>
      <c r="E839" s="1" t="s">
        <v>960</v>
      </c>
      <c r="F839" s="1">
        <v>1920931320000</v>
      </c>
      <c r="G839" s="1" t="s">
        <v>963</v>
      </c>
      <c r="H839" s="1" t="s">
        <v>2036</v>
      </c>
      <c r="I839" s="1" t="s">
        <v>1182</v>
      </c>
      <c r="Q839" s="1" t="s">
        <v>951</v>
      </c>
      <c r="R839" s="1" t="s">
        <v>960</v>
      </c>
      <c r="S839" s="1" t="s">
        <v>963</v>
      </c>
    </row>
    <row r="840" spans="1:19" x14ac:dyDescent="0.25">
      <c r="A840" s="1">
        <v>1920936630000</v>
      </c>
      <c r="B840" s="1" t="s">
        <v>951</v>
      </c>
      <c r="C840" s="1" t="s">
        <v>2027</v>
      </c>
      <c r="E840" s="1" t="s">
        <v>960</v>
      </c>
      <c r="F840" s="1">
        <v>1920936630000</v>
      </c>
      <c r="G840" s="1" t="s">
        <v>964</v>
      </c>
      <c r="H840" s="1" t="s">
        <v>2037</v>
      </c>
      <c r="I840" s="1" t="s">
        <v>1182</v>
      </c>
      <c r="Q840" s="1" t="s">
        <v>951</v>
      </c>
      <c r="R840" s="1" t="s">
        <v>960</v>
      </c>
      <c r="S840" s="1" t="s">
        <v>964</v>
      </c>
    </row>
    <row r="841" spans="1:19" x14ac:dyDescent="0.25">
      <c r="A841" s="1">
        <v>1920937810000</v>
      </c>
      <c r="B841" s="1" t="s">
        <v>951</v>
      </c>
      <c r="C841" s="1" t="s">
        <v>2027</v>
      </c>
      <c r="E841" s="1" t="s">
        <v>960</v>
      </c>
      <c r="F841" s="1">
        <v>1920937810000</v>
      </c>
      <c r="G841" s="1" t="s">
        <v>965</v>
      </c>
      <c r="H841" s="1" t="s">
        <v>2038</v>
      </c>
      <c r="I841" s="1" t="s">
        <v>1182</v>
      </c>
      <c r="Q841" s="1" t="s">
        <v>951</v>
      </c>
      <c r="R841" s="1" t="s">
        <v>960</v>
      </c>
      <c r="S841" s="1" t="s">
        <v>965</v>
      </c>
    </row>
    <row r="842" spans="1:19" x14ac:dyDescent="0.25">
      <c r="A842" s="1">
        <v>1920994000000</v>
      </c>
      <c r="B842" s="1" t="s">
        <v>951</v>
      </c>
      <c r="C842" s="1" t="s">
        <v>2027</v>
      </c>
      <c r="E842" s="1" t="s">
        <v>960</v>
      </c>
      <c r="F842" s="1">
        <v>1920994000000</v>
      </c>
      <c r="G842" s="1" t="s">
        <v>966</v>
      </c>
      <c r="H842" s="1" t="s">
        <v>2039</v>
      </c>
      <c r="I842" s="1" t="s">
        <v>1204</v>
      </c>
      <c r="Q842" s="1" t="s">
        <v>951</v>
      </c>
      <c r="R842" s="1" t="s">
        <v>960</v>
      </c>
      <c r="S842" s="1" t="s">
        <v>966</v>
      </c>
    </row>
    <row r="843" spans="1:19" x14ac:dyDescent="0.25">
      <c r="A843" s="1">
        <v>1920905310000</v>
      </c>
      <c r="B843" s="1" t="s">
        <v>951</v>
      </c>
      <c r="C843" s="1" t="s">
        <v>2027</v>
      </c>
      <c r="E843" s="1" t="s">
        <v>951</v>
      </c>
      <c r="F843" s="1">
        <v>1920905310000</v>
      </c>
      <c r="G843" s="1" t="s">
        <v>958</v>
      </c>
      <c r="H843" s="1" t="s">
        <v>2040</v>
      </c>
      <c r="I843" s="1" t="s">
        <v>1182</v>
      </c>
      <c r="Q843" s="1" t="s">
        <v>951</v>
      </c>
      <c r="R843" s="1" t="s">
        <v>951</v>
      </c>
      <c r="S843" s="1" t="s">
        <v>958</v>
      </c>
    </row>
    <row r="844" spans="1:19" x14ac:dyDescent="0.25">
      <c r="A844" s="1">
        <v>1920995000000</v>
      </c>
      <c r="B844" s="1" t="s">
        <v>951</v>
      </c>
      <c r="C844" s="1" t="s">
        <v>2027</v>
      </c>
      <c r="E844" s="1" t="s">
        <v>951</v>
      </c>
      <c r="F844" s="1">
        <v>1920995000000</v>
      </c>
      <c r="G844" s="1" t="s">
        <v>967</v>
      </c>
      <c r="H844" s="1" t="s">
        <v>2041</v>
      </c>
      <c r="I844" s="1" t="s">
        <v>1204</v>
      </c>
      <c r="Q844" s="1" t="s">
        <v>951</v>
      </c>
      <c r="R844" s="1" t="s">
        <v>951</v>
      </c>
      <c r="S844" s="1" t="s">
        <v>967</v>
      </c>
    </row>
    <row r="845" spans="1:19" x14ac:dyDescent="0.25">
      <c r="A845" s="1">
        <v>1920937940000</v>
      </c>
      <c r="B845" s="1" t="s">
        <v>951</v>
      </c>
      <c r="C845" s="1" t="s">
        <v>2027</v>
      </c>
      <c r="E845" s="1" t="s">
        <v>951</v>
      </c>
      <c r="F845" s="1">
        <v>1920937940000</v>
      </c>
      <c r="G845" s="1" t="s">
        <v>968</v>
      </c>
      <c r="H845" s="1" t="s">
        <v>2042</v>
      </c>
      <c r="I845" s="1" t="s">
        <v>1182</v>
      </c>
      <c r="Q845" s="1" t="s">
        <v>951</v>
      </c>
      <c r="R845" s="1" t="s">
        <v>951</v>
      </c>
      <c r="S845" s="1" t="s">
        <v>968</v>
      </c>
    </row>
    <row r="846" spans="1:19" x14ac:dyDescent="0.25">
      <c r="A846" s="1">
        <v>1920937940001</v>
      </c>
      <c r="B846" s="1" t="s">
        <v>951</v>
      </c>
      <c r="C846" s="1" t="s">
        <v>2027</v>
      </c>
      <c r="E846" s="1" t="s">
        <v>951</v>
      </c>
      <c r="F846" s="1">
        <v>1920937940001</v>
      </c>
      <c r="G846" s="1" t="s">
        <v>969</v>
      </c>
      <c r="H846" s="1" t="s">
        <v>2043</v>
      </c>
      <c r="I846" s="1" t="s">
        <v>1182</v>
      </c>
      <c r="Q846" s="1" t="s">
        <v>951</v>
      </c>
      <c r="R846" s="1" t="s">
        <v>951</v>
      </c>
      <c r="S846" s="1" t="s">
        <v>969</v>
      </c>
    </row>
    <row r="847" spans="1:19" x14ac:dyDescent="0.25">
      <c r="A847" s="1">
        <v>1920905590000</v>
      </c>
      <c r="B847" s="1" t="s">
        <v>951</v>
      </c>
      <c r="C847" s="1" t="s">
        <v>2027</v>
      </c>
      <c r="E847" s="1" t="s">
        <v>970</v>
      </c>
      <c r="F847" s="1">
        <v>1920905590000</v>
      </c>
      <c r="G847" s="1" t="s">
        <v>971</v>
      </c>
      <c r="H847" s="1" t="s">
        <v>2044</v>
      </c>
      <c r="I847" s="1" t="s">
        <v>1182</v>
      </c>
      <c r="Q847" s="1" t="s">
        <v>951</v>
      </c>
      <c r="R847" s="1" t="s">
        <v>970</v>
      </c>
      <c r="S847" s="1" t="s">
        <v>971</v>
      </c>
    </row>
    <row r="848" spans="1:19" x14ac:dyDescent="0.25">
      <c r="A848" s="1">
        <v>1920936030000</v>
      </c>
      <c r="B848" s="1" t="s">
        <v>951</v>
      </c>
      <c r="C848" s="1" t="s">
        <v>2027</v>
      </c>
      <c r="E848" s="1" t="s">
        <v>970</v>
      </c>
      <c r="F848" s="1">
        <v>1920936030000</v>
      </c>
      <c r="G848" s="1" t="s">
        <v>972</v>
      </c>
      <c r="H848" s="1" t="s">
        <v>2045</v>
      </c>
      <c r="I848" s="1" t="s">
        <v>1182</v>
      </c>
      <c r="Q848" s="1" t="s">
        <v>951</v>
      </c>
      <c r="R848" s="1" t="s">
        <v>970</v>
      </c>
      <c r="S848" s="1" t="s">
        <v>972</v>
      </c>
    </row>
    <row r="849" spans="1:19" x14ac:dyDescent="0.25">
      <c r="A849" s="1">
        <v>1920996000000</v>
      </c>
      <c r="B849" s="1" t="s">
        <v>951</v>
      </c>
      <c r="C849" s="1" t="s">
        <v>2027</v>
      </c>
      <c r="E849" s="1" t="s">
        <v>970</v>
      </c>
      <c r="F849" s="1">
        <v>1920996000000</v>
      </c>
      <c r="G849" s="1" t="s">
        <v>973</v>
      </c>
      <c r="H849" s="1" t="s">
        <v>2046</v>
      </c>
      <c r="I849" s="1" t="s">
        <v>1204</v>
      </c>
      <c r="Q849" s="1" t="s">
        <v>951</v>
      </c>
      <c r="R849" s="1" t="s">
        <v>970</v>
      </c>
      <c r="S849" s="1" t="s">
        <v>973</v>
      </c>
    </row>
    <row r="850" spans="1:19" x14ac:dyDescent="0.25">
      <c r="A850" s="1">
        <v>1920937820000</v>
      </c>
      <c r="B850" s="1" t="s">
        <v>951</v>
      </c>
      <c r="C850" s="1" t="s">
        <v>2027</v>
      </c>
      <c r="E850" s="1" t="s">
        <v>970</v>
      </c>
      <c r="F850" s="1">
        <v>1920937820000</v>
      </c>
      <c r="G850" s="1" t="s">
        <v>974</v>
      </c>
      <c r="H850" s="1" t="s">
        <v>2047</v>
      </c>
      <c r="I850" s="1" t="s">
        <v>1182</v>
      </c>
      <c r="Q850" s="1" t="s">
        <v>951</v>
      </c>
      <c r="R850" s="1" t="s">
        <v>970</v>
      </c>
      <c r="S850" s="1" t="s">
        <v>974</v>
      </c>
    </row>
    <row r="851" spans="1:19" x14ac:dyDescent="0.25">
      <c r="A851" s="1">
        <v>1920905750000</v>
      </c>
      <c r="B851" s="1" t="s">
        <v>951</v>
      </c>
      <c r="C851" s="1" t="s">
        <v>2027</v>
      </c>
      <c r="E851" s="1" t="s">
        <v>975</v>
      </c>
      <c r="F851" s="1">
        <v>1920905750000</v>
      </c>
      <c r="G851" s="1" t="s">
        <v>976</v>
      </c>
      <c r="H851" s="1" t="s">
        <v>2048</v>
      </c>
      <c r="I851" s="1" t="s">
        <v>1182</v>
      </c>
      <c r="Q851" s="1" t="s">
        <v>951</v>
      </c>
      <c r="R851" s="1" t="s">
        <v>975</v>
      </c>
      <c r="S851" s="1" t="s">
        <v>976</v>
      </c>
    </row>
    <row r="852" spans="1:19" x14ac:dyDescent="0.25">
      <c r="A852" s="1">
        <v>1920927650000</v>
      </c>
      <c r="B852" s="1" t="s">
        <v>977</v>
      </c>
      <c r="C852" s="1" t="s">
        <v>2049</v>
      </c>
      <c r="E852" s="1" t="s">
        <v>978</v>
      </c>
      <c r="F852" s="1">
        <v>1920927650000</v>
      </c>
      <c r="G852" s="1" t="s">
        <v>979</v>
      </c>
      <c r="H852" s="1" t="s">
        <v>2050</v>
      </c>
      <c r="I852" s="1" t="s">
        <v>1182</v>
      </c>
      <c r="Q852" s="1" t="s">
        <v>977</v>
      </c>
      <c r="R852" s="1" t="s">
        <v>978</v>
      </c>
      <c r="S852" s="1" t="s">
        <v>979</v>
      </c>
    </row>
    <row r="853" spans="1:19" x14ac:dyDescent="0.25">
      <c r="A853" s="1">
        <v>1921051000000</v>
      </c>
      <c r="B853" s="1" t="s">
        <v>977</v>
      </c>
      <c r="C853" s="1" t="s">
        <v>2049</v>
      </c>
      <c r="E853" s="1" t="s">
        <v>978</v>
      </c>
      <c r="F853" s="1">
        <v>1921051000000</v>
      </c>
      <c r="G853" s="1" t="s">
        <v>980</v>
      </c>
      <c r="H853" s="1" t="s">
        <v>2051</v>
      </c>
      <c r="I853" s="1" t="s">
        <v>1204</v>
      </c>
      <c r="Q853" s="1" t="s">
        <v>977</v>
      </c>
      <c r="R853" s="1" t="s">
        <v>978</v>
      </c>
      <c r="S853" s="1" t="s">
        <v>980</v>
      </c>
    </row>
    <row r="854" spans="1:19" x14ac:dyDescent="0.25">
      <c r="A854" s="1">
        <v>1920937240000</v>
      </c>
      <c r="B854" s="1" t="s">
        <v>977</v>
      </c>
      <c r="C854" s="1" t="s">
        <v>2049</v>
      </c>
      <c r="E854" s="1" t="s">
        <v>978</v>
      </c>
      <c r="F854" s="1">
        <v>1920937240000</v>
      </c>
      <c r="G854" s="1" t="s">
        <v>981</v>
      </c>
      <c r="H854" s="1" t="s">
        <v>2052</v>
      </c>
      <c r="I854" s="1" t="s">
        <v>1182</v>
      </c>
      <c r="Q854" s="1" t="s">
        <v>977</v>
      </c>
      <c r="R854" s="1" t="s">
        <v>978</v>
      </c>
      <c r="S854" s="1" t="s">
        <v>981</v>
      </c>
    </row>
    <row r="855" spans="1:19" x14ac:dyDescent="0.25">
      <c r="A855" s="1">
        <v>1920911780000</v>
      </c>
      <c r="B855" s="1" t="s">
        <v>977</v>
      </c>
      <c r="C855" s="1" t="s">
        <v>2049</v>
      </c>
      <c r="E855" s="1" t="s">
        <v>982</v>
      </c>
      <c r="F855" s="1">
        <v>1920911780000</v>
      </c>
      <c r="G855" s="1" t="s">
        <v>983</v>
      </c>
      <c r="H855" s="1" t="s">
        <v>2053</v>
      </c>
      <c r="I855" s="1" t="s">
        <v>1182</v>
      </c>
      <c r="Q855" s="1" t="s">
        <v>977</v>
      </c>
      <c r="R855" s="1" t="s">
        <v>982</v>
      </c>
      <c r="S855" s="1" t="s">
        <v>983</v>
      </c>
    </row>
    <row r="856" spans="1:19" x14ac:dyDescent="0.25">
      <c r="A856" s="1">
        <v>1920927400000</v>
      </c>
      <c r="B856" s="1" t="s">
        <v>977</v>
      </c>
      <c r="C856" s="1" t="s">
        <v>2049</v>
      </c>
      <c r="E856" s="1" t="s">
        <v>982</v>
      </c>
      <c r="F856" s="1">
        <v>1920927400000</v>
      </c>
      <c r="G856" s="1" t="s">
        <v>984</v>
      </c>
      <c r="H856" s="1" t="s">
        <v>2054</v>
      </c>
      <c r="I856" s="1" t="s">
        <v>1182</v>
      </c>
      <c r="Q856" s="1" t="s">
        <v>977</v>
      </c>
      <c r="R856" s="1" t="s">
        <v>982</v>
      </c>
      <c r="S856" s="1" t="s">
        <v>984</v>
      </c>
    </row>
    <row r="857" spans="1:19" x14ac:dyDescent="0.25">
      <c r="A857" s="1">
        <v>1920937030000</v>
      </c>
      <c r="B857" s="1" t="s">
        <v>977</v>
      </c>
      <c r="C857" s="1" t="s">
        <v>2049</v>
      </c>
      <c r="E857" s="1" t="s">
        <v>982</v>
      </c>
      <c r="F857" s="1">
        <v>1920937030000</v>
      </c>
      <c r="G857" s="1" t="s">
        <v>985</v>
      </c>
      <c r="H857" s="1" t="s">
        <v>2055</v>
      </c>
      <c r="I857" s="1" t="s">
        <v>1182</v>
      </c>
      <c r="Q857" s="1" t="s">
        <v>977</v>
      </c>
      <c r="R857" s="1" t="s">
        <v>982</v>
      </c>
      <c r="S857" s="1" t="s">
        <v>985</v>
      </c>
    </row>
    <row r="858" spans="1:19" x14ac:dyDescent="0.25">
      <c r="A858" s="1">
        <v>1920912030000</v>
      </c>
      <c r="B858" s="1" t="s">
        <v>977</v>
      </c>
      <c r="C858" s="1" t="s">
        <v>2049</v>
      </c>
      <c r="E858" s="1" t="s">
        <v>986</v>
      </c>
      <c r="F858" s="1">
        <v>1920912030000</v>
      </c>
      <c r="G858" s="1" t="s">
        <v>987</v>
      </c>
      <c r="H858" s="1" t="s">
        <v>2056</v>
      </c>
      <c r="I858" s="1" t="s">
        <v>1182</v>
      </c>
      <c r="Q858" s="1" t="s">
        <v>977</v>
      </c>
      <c r="R858" s="1" t="s">
        <v>986</v>
      </c>
      <c r="S858" s="1" t="s">
        <v>987</v>
      </c>
    </row>
    <row r="859" spans="1:19" x14ac:dyDescent="0.25">
      <c r="A859" s="1">
        <v>1921052000000</v>
      </c>
      <c r="B859" s="1" t="s">
        <v>977</v>
      </c>
      <c r="C859" s="1" t="s">
        <v>2049</v>
      </c>
      <c r="E859" s="1" t="s">
        <v>986</v>
      </c>
      <c r="F859" s="1">
        <v>1921052000000</v>
      </c>
      <c r="G859" s="1" t="s">
        <v>988</v>
      </c>
      <c r="H859" s="1" t="s">
        <v>2057</v>
      </c>
      <c r="I859" s="1" t="s">
        <v>1204</v>
      </c>
      <c r="Q859" s="1" t="s">
        <v>977</v>
      </c>
      <c r="R859" s="1" t="s">
        <v>986</v>
      </c>
      <c r="S859" s="1" t="s">
        <v>988</v>
      </c>
    </row>
    <row r="860" spans="1:19" x14ac:dyDescent="0.25">
      <c r="A860" s="1">
        <v>1920936750000</v>
      </c>
      <c r="B860" s="1" t="s">
        <v>977</v>
      </c>
      <c r="C860" s="1" t="s">
        <v>2049</v>
      </c>
      <c r="E860" s="1" t="s">
        <v>986</v>
      </c>
      <c r="F860" s="1">
        <v>1920936750000</v>
      </c>
      <c r="G860" s="1" t="s">
        <v>989</v>
      </c>
      <c r="H860" s="1" t="s">
        <v>2058</v>
      </c>
      <c r="I860" s="1" t="s">
        <v>1182</v>
      </c>
      <c r="Q860" s="1" t="s">
        <v>977</v>
      </c>
      <c r="R860" s="1" t="s">
        <v>986</v>
      </c>
      <c r="S860" s="1" t="s">
        <v>989</v>
      </c>
    </row>
    <row r="861" spans="1:19" x14ac:dyDescent="0.25">
      <c r="A861" s="1">
        <v>1920936970000</v>
      </c>
      <c r="B861" s="1" t="s">
        <v>977</v>
      </c>
      <c r="C861" s="1" t="s">
        <v>2049</v>
      </c>
      <c r="E861" s="1" t="s">
        <v>977</v>
      </c>
      <c r="F861" s="1">
        <v>1920936970000</v>
      </c>
      <c r="G861" s="1" t="s">
        <v>990</v>
      </c>
      <c r="H861" s="1" t="s">
        <v>2059</v>
      </c>
      <c r="I861" s="1" t="s">
        <v>1182</v>
      </c>
      <c r="Q861" s="1" t="s">
        <v>977</v>
      </c>
      <c r="R861" s="1" t="s">
        <v>977</v>
      </c>
      <c r="S861" s="1" t="s">
        <v>990</v>
      </c>
    </row>
    <row r="862" spans="1:19" x14ac:dyDescent="0.25">
      <c r="A862" s="1">
        <v>1920911770000</v>
      </c>
      <c r="B862" s="1" t="s">
        <v>977</v>
      </c>
      <c r="C862" s="1" t="s">
        <v>2049</v>
      </c>
      <c r="E862" s="1" t="s">
        <v>977</v>
      </c>
      <c r="F862" s="1">
        <v>1920911770000</v>
      </c>
      <c r="G862" s="1" t="s">
        <v>991</v>
      </c>
      <c r="H862" s="1" t="s">
        <v>2060</v>
      </c>
      <c r="I862" s="1" t="s">
        <v>1182</v>
      </c>
      <c r="Q862" s="1" t="s">
        <v>977</v>
      </c>
      <c r="R862" s="1" t="s">
        <v>977</v>
      </c>
      <c r="S862" s="1" t="s">
        <v>991</v>
      </c>
    </row>
    <row r="863" spans="1:19" x14ac:dyDescent="0.25">
      <c r="A863" s="1">
        <v>1920911770011</v>
      </c>
      <c r="B863" s="1" t="s">
        <v>977</v>
      </c>
      <c r="C863" s="1" t="s">
        <v>2049</v>
      </c>
      <c r="E863" s="1" t="s">
        <v>977</v>
      </c>
      <c r="F863" s="1">
        <v>1920911770011</v>
      </c>
      <c r="G863" s="1" t="s">
        <v>992</v>
      </c>
      <c r="H863" s="1" t="s">
        <v>2061</v>
      </c>
      <c r="I863" s="1" t="s">
        <v>1182</v>
      </c>
      <c r="Q863" s="1" t="s">
        <v>977</v>
      </c>
      <c r="R863" s="1" t="s">
        <v>977</v>
      </c>
      <c r="S863" s="1" t="s">
        <v>992</v>
      </c>
    </row>
    <row r="864" spans="1:19" x14ac:dyDescent="0.25">
      <c r="A864" s="1">
        <v>1920911770012</v>
      </c>
      <c r="B864" s="1" t="s">
        <v>977</v>
      </c>
      <c r="C864" s="1" t="s">
        <v>2049</v>
      </c>
      <c r="E864" s="1" t="s">
        <v>977</v>
      </c>
      <c r="F864" s="1">
        <v>1920911770012</v>
      </c>
      <c r="G864" s="1" t="s">
        <v>993</v>
      </c>
      <c r="H864" s="1" t="s">
        <v>2062</v>
      </c>
      <c r="I864" s="1" t="s">
        <v>1182</v>
      </c>
      <c r="Q864" s="1" t="s">
        <v>977</v>
      </c>
      <c r="R864" s="1" t="s">
        <v>977</v>
      </c>
      <c r="S864" s="1" t="s">
        <v>993</v>
      </c>
    </row>
    <row r="865" spans="1:19" x14ac:dyDescent="0.25">
      <c r="A865" s="1">
        <v>1920911830000</v>
      </c>
      <c r="B865" s="1" t="s">
        <v>977</v>
      </c>
      <c r="C865" s="1" t="s">
        <v>2049</v>
      </c>
      <c r="E865" s="1" t="s">
        <v>977</v>
      </c>
      <c r="F865" s="1">
        <v>1920911830000</v>
      </c>
      <c r="G865" s="1" t="s">
        <v>994</v>
      </c>
      <c r="H865" s="1" t="s">
        <v>2063</v>
      </c>
      <c r="I865" s="1" t="s">
        <v>1182</v>
      </c>
      <c r="Q865" s="1" t="s">
        <v>977</v>
      </c>
      <c r="R865" s="1" t="s">
        <v>977</v>
      </c>
      <c r="S865" s="1" t="s">
        <v>994</v>
      </c>
    </row>
    <row r="866" spans="1:19" x14ac:dyDescent="0.25">
      <c r="A866" s="1">
        <v>1920929220000</v>
      </c>
      <c r="B866" s="1" t="s">
        <v>977</v>
      </c>
      <c r="C866" s="1" t="s">
        <v>2049</v>
      </c>
      <c r="E866" s="1" t="s">
        <v>977</v>
      </c>
      <c r="F866" s="1">
        <v>1920929220000</v>
      </c>
      <c r="G866" s="1" t="s">
        <v>995</v>
      </c>
      <c r="H866" s="1" t="s">
        <v>2064</v>
      </c>
      <c r="I866" s="1" t="s">
        <v>1182</v>
      </c>
      <c r="Q866" s="1" t="s">
        <v>977</v>
      </c>
      <c r="R866" s="1" t="s">
        <v>977</v>
      </c>
      <c r="S866" s="1" t="s">
        <v>995</v>
      </c>
    </row>
    <row r="867" spans="1:19" x14ac:dyDescent="0.25">
      <c r="A867" s="1">
        <v>1920929250000</v>
      </c>
      <c r="B867" s="1" t="s">
        <v>977</v>
      </c>
      <c r="C867" s="1" t="s">
        <v>2049</v>
      </c>
      <c r="E867" s="1" t="s">
        <v>977</v>
      </c>
      <c r="F867" s="1">
        <v>1920929250000</v>
      </c>
      <c r="G867" s="1" t="s">
        <v>996</v>
      </c>
      <c r="H867" s="1" t="s">
        <v>2065</v>
      </c>
      <c r="I867" s="1" t="s">
        <v>1182</v>
      </c>
      <c r="Q867" s="1" t="s">
        <v>977</v>
      </c>
      <c r="R867" s="1" t="s">
        <v>977</v>
      </c>
      <c r="S867" s="1" t="s">
        <v>996</v>
      </c>
    </row>
    <row r="868" spans="1:19" x14ac:dyDescent="0.25">
      <c r="A868" s="1">
        <v>1920929990000</v>
      </c>
      <c r="B868" s="1" t="s">
        <v>977</v>
      </c>
      <c r="C868" s="1" t="s">
        <v>2049</v>
      </c>
      <c r="E868" s="1" t="s">
        <v>977</v>
      </c>
      <c r="F868" s="1">
        <v>1920929990000</v>
      </c>
      <c r="G868" s="1" t="s">
        <v>997</v>
      </c>
      <c r="H868" s="1" t="s">
        <v>2066</v>
      </c>
      <c r="I868" s="1" t="s">
        <v>1182</v>
      </c>
      <c r="Q868" s="1" t="s">
        <v>977</v>
      </c>
      <c r="R868" s="1" t="s">
        <v>977</v>
      </c>
      <c r="S868" s="1" t="s">
        <v>997</v>
      </c>
    </row>
    <row r="869" spans="1:19" x14ac:dyDescent="0.25">
      <c r="A869" s="1">
        <v>1920936380000</v>
      </c>
      <c r="B869" s="1" t="s">
        <v>977</v>
      </c>
      <c r="C869" s="1" t="s">
        <v>2049</v>
      </c>
      <c r="E869" s="1" t="s">
        <v>977</v>
      </c>
      <c r="F869" s="1">
        <v>1920936380000</v>
      </c>
      <c r="G869" s="1" t="s">
        <v>998</v>
      </c>
      <c r="H869" s="1" t="s">
        <v>2067</v>
      </c>
      <c r="I869" s="1" t="s">
        <v>1182</v>
      </c>
      <c r="Q869" s="1" t="s">
        <v>977</v>
      </c>
      <c r="R869" s="1" t="s">
        <v>977</v>
      </c>
      <c r="S869" s="1" t="s">
        <v>998</v>
      </c>
    </row>
    <row r="870" spans="1:19" x14ac:dyDescent="0.25">
      <c r="A870" s="1">
        <v>1920936720000</v>
      </c>
      <c r="B870" s="1" t="s">
        <v>977</v>
      </c>
      <c r="C870" s="1" t="s">
        <v>2049</v>
      </c>
      <c r="E870" s="1" t="s">
        <v>977</v>
      </c>
      <c r="F870" s="1">
        <v>1920936720000</v>
      </c>
      <c r="G870" s="1" t="s">
        <v>999</v>
      </c>
      <c r="H870" s="1" t="s">
        <v>2068</v>
      </c>
      <c r="I870" s="1" t="s">
        <v>1182</v>
      </c>
      <c r="Q870" s="1" t="s">
        <v>977</v>
      </c>
      <c r="R870" s="1" t="s">
        <v>977</v>
      </c>
      <c r="S870" s="1" t="s">
        <v>999</v>
      </c>
    </row>
    <row r="871" spans="1:19" x14ac:dyDescent="0.25">
      <c r="A871" s="1">
        <v>1920937010000</v>
      </c>
      <c r="B871" s="1" t="s">
        <v>977</v>
      </c>
      <c r="C871" s="1" t="s">
        <v>2049</v>
      </c>
      <c r="E871" s="1" t="s">
        <v>977</v>
      </c>
      <c r="F871" s="1">
        <v>1920937010000</v>
      </c>
      <c r="G871" s="1" t="s">
        <v>1000</v>
      </c>
      <c r="H871" s="1" t="s">
        <v>2069</v>
      </c>
      <c r="I871" s="1" t="s">
        <v>1182</v>
      </c>
      <c r="Q871" s="1" t="s">
        <v>977</v>
      </c>
      <c r="R871" s="1" t="s">
        <v>977</v>
      </c>
      <c r="S871" s="1" t="s">
        <v>1000</v>
      </c>
    </row>
    <row r="872" spans="1:19" x14ac:dyDescent="0.25">
      <c r="A872" s="1">
        <v>1920937870000</v>
      </c>
      <c r="B872" s="1" t="s">
        <v>977</v>
      </c>
      <c r="C872" s="1" t="s">
        <v>2049</v>
      </c>
      <c r="E872" s="1" t="s">
        <v>977</v>
      </c>
      <c r="F872" s="1">
        <v>1920937870000</v>
      </c>
      <c r="G872" s="1" t="s">
        <v>1001</v>
      </c>
      <c r="H872" s="1" t="s">
        <v>2070</v>
      </c>
      <c r="I872" s="1" t="s">
        <v>1182</v>
      </c>
      <c r="Q872" s="1" t="s">
        <v>977</v>
      </c>
      <c r="R872" s="1" t="s">
        <v>977</v>
      </c>
      <c r="S872" s="1" t="s">
        <v>1001</v>
      </c>
    </row>
    <row r="873" spans="1:19" x14ac:dyDescent="0.25">
      <c r="A873" s="1">
        <v>1921053000000</v>
      </c>
      <c r="B873" s="1" t="s">
        <v>977</v>
      </c>
      <c r="C873" s="1" t="s">
        <v>2049</v>
      </c>
      <c r="E873" s="1" t="s">
        <v>977</v>
      </c>
      <c r="F873" s="1">
        <v>1921053000000</v>
      </c>
      <c r="G873" s="1" t="s">
        <v>1002</v>
      </c>
      <c r="H873" s="1" t="s">
        <v>2071</v>
      </c>
      <c r="I873" s="1" t="s">
        <v>1204</v>
      </c>
      <c r="Q873" s="1" t="s">
        <v>977</v>
      </c>
      <c r="R873" s="1" t="s">
        <v>977</v>
      </c>
      <c r="S873" s="1" t="s">
        <v>1002</v>
      </c>
    </row>
    <row r="874" spans="1:19" x14ac:dyDescent="0.25">
      <c r="A874" s="1">
        <v>1920937880000</v>
      </c>
      <c r="B874" s="1" t="s">
        <v>977</v>
      </c>
      <c r="C874" s="1" t="s">
        <v>2049</v>
      </c>
      <c r="E874" s="1" t="s">
        <v>977</v>
      </c>
      <c r="F874" s="1">
        <v>1920937880000</v>
      </c>
      <c r="G874" s="1" t="s">
        <v>1003</v>
      </c>
      <c r="H874" s="1" t="s">
        <v>2072</v>
      </c>
      <c r="I874" s="1" t="s">
        <v>1182</v>
      </c>
      <c r="Q874" s="1" t="s">
        <v>977</v>
      </c>
      <c r="R874" s="1" t="s">
        <v>977</v>
      </c>
      <c r="S874" s="1" t="s">
        <v>1003</v>
      </c>
    </row>
    <row r="875" spans="1:19" x14ac:dyDescent="0.25">
      <c r="A875" s="1">
        <v>1920937920000</v>
      </c>
      <c r="B875" s="1" t="s">
        <v>977</v>
      </c>
      <c r="C875" s="1" t="s">
        <v>2049</v>
      </c>
      <c r="E875" s="1" t="s">
        <v>977</v>
      </c>
      <c r="F875" s="1">
        <v>1920937920000</v>
      </c>
      <c r="G875" s="1" t="s">
        <v>1004</v>
      </c>
      <c r="H875" s="1" t="s">
        <v>2073</v>
      </c>
      <c r="I875" s="1" t="s">
        <v>1182</v>
      </c>
      <c r="Q875" s="1" t="s">
        <v>977</v>
      </c>
      <c r="R875" s="1" t="s">
        <v>977</v>
      </c>
      <c r="S875" s="1" t="s">
        <v>1004</v>
      </c>
    </row>
    <row r="876" spans="1:19" x14ac:dyDescent="0.25">
      <c r="A876" s="1">
        <v>1920939000000</v>
      </c>
      <c r="B876" s="1" t="s">
        <v>977</v>
      </c>
      <c r="C876" s="1" t="s">
        <v>2049</v>
      </c>
      <c r="E876" s="1" t="s">
        <v>977</v>
      </c>
      <c r="F876" s="1">
        <v>1920939000000</v>
      </c>
      <c r="G876" s="1" t="s">
        <v>1005</v>
      </c>
      <c r="H876" s="1" t="s">
        <v>2074</v>
      </c>
      <c r="I876" s="1" t="s">
        <v>1182</v>
      </c>
      <c r="Q876" s="1" t="s">
        <v>977</v>
      </c>
      <c r="R876" s="1" t="s">
        <v>977</v>
      </c>
      <c r="S876" s="1" t="s">
        <v>1005</v>
      </c>
    </row>
    <row r="877" spans="1:19" x14ac:dyDescent="0.25">
      <c r="A877" s="1">
        <v>1920954000000</v>
      </c>
      <c r="B877" s="1" t="s">
        <v>977</v>
      </c>
      <c r="C877" s="1" t="s">
        <v>2049</v>
      </c>
      <c r="E877" s="1" t="s">
        <v>977</v>
      </c>
      <c r="F877" s="1">
        <v>1920954000000</v>
      </c>
      <c r="G877" s="1" t="s">
        <v>1006</v>
      </c>
      <c r="H877" s="1" t="s">
        <v>2075</v>
      </c>
      <c r="I877" s="1" t="s">
        <v>1182</v>
      </c>
      <c r="Q877" s="1" t="s">
        <v>977</v>
      </c>
      <c r="R877" s="1" t="s">
        <v>977</v>
      </c>
      <c r="S877" s="1" t="s">
        <v>1006</v>
      </c>
    </row>
    <row r="878" spans="1:19" x14ac:dyDescent="0.25">
      <c r="A878" s="1">
        <v>1920902350001</v>
      </c>
      <c r="B878" s="1" t="s">
        <v>1007</v>
      </c>
      <c r="C878" s="1" t="s">
        <v>1265</v>
      </c>
      <c r="E878" s="1" t="s">
        <v>147</v>
      </c>
      <c r="F878" s="1">
        <v>1920902350001</v>
      </c>
      <c r="G878" s="1" t="s">
        <v>1008</v>
      </c>
      <c r="H878" s="1" t="s">
        <v>2076</v>
      </c>
      <c r="I878" s="1" t="s">
        <v>1182</v>
      </c>
      <c r="Q878" s="1" t="s">
        <v>1007</v>
      </c>
      <c r="R878" s="1" t="s">
        <v>147</v>
      </c>
      <c r="S878" s="1" t="s">
        <v>1008</v>
      </c>
    </row>
    <row r="879" spans="1:19" x14ac:dyDescent="0.25">
      <c r="A879" s="1">
        <v>1920901180000</v>
      </c>
      <c r="B879" s="1" t="s">
        <v>1007</v>
      </c>
      <c r="C879" s="1" t="s">
        <v>1265</v>
      </c>
      <c r="D879" s="1">
        <v>17</v>
      </c>
      <c r="E879" s="1" t="s">
        <v>1009</v>
      </c>
      <c r="F879" s="1">
        <v>1920901180000</v>
      </c>
      <c r="G879" s="1" t="s">
        <v>1010</v>
      </c>
      <c r="H879" s="1" t="s">
        <v>2077</v>
      </c>
      <c r="I879" s="1" t="s">
        <v>1182</v>
      </c>
      <c r="Q879" s="1" t="s">
        <v>1007</v>
      </c>
      <c r="R879" s="1" t="s">
        <v>1009</v>
      </c>
      <c r="S879" s="1" t="s">
        <v>1010</v>
      </c>
    </row>
    <row r="880" spans="1:19" x14ac:dyDescent="0.25">
      <c r="A880" s="1">
        <v>1920901190000</v>
      </c>
      <c r="B880" s="1" t="s">
        <v>1007</v>
      </c>
      <c r="C880" s="1" t="s">
        <v>1265</v>
      </c>
      <c r="D880" s="1">
        <v>17</v>
      </c>
      <c r="E880" s="1" t="s">
        <v>1009</v>
      </c>
      <c r="F880" s="1">
        <v>1920901190000</v>
      </c>
      <c r="G880" s="1" t="s">
        <v>1011</v>
      </c>
      <c r="H880" s="1" t="s">
        <v>2078</v>
      </c>
      <c r="I880" s="1" t="s">
        <v>1182</v>
      </c>
      <c r="Q880" s="1" t="s">
        <v>1007</v>
      </c>
      <c r="R880" s="1" t="s">
        <v>1009</v>
      </c>
      <c r="S880" s="1" t="s">
        <v>1011</v>
      </c>
    </row>
    <row r="881" spans="1:19" x14ac:dyDescent="0.25">
      <c r="A881" s="1">
        <v>1920901200000</v>
      </c>
      <c r="B881" s="1" t="s">
        <v>1007</v>
      </c>
      <c r="C881" s="1" t="s">
        <v>1265</v>
      </c>
      <c r="D881" s="1">
        <v>17</v>
      </c>
      <c r="E881" s="1" t="s">
        <v>1009</v>
      </c>
      <c r="F881" s="1">
        <v>1920901200000</v>
      </c>
      <c r="G881" s="1" t="s">
        <v>1012</v>
      </c>
      <c r="H881" s="1" t="s">
        <v>2079</v>
      </c>
      <c r="I881" s="1" t="s">
        <v>1182</v>
      </c>
      <c r="Q881" s="1" t="s">
        <v>1007</v>
      </c>
      <c r="R881" s="1" t="s">
        <v>1009</v>
      </c>
      <c r="S881" s="1" t="s">
        <v>1012</v>
      </c>
    </row>
    <row r="882" spans="1:19" x14ac:dyDescent="0.25">
      <c r="A882" s="1">
        <v>1920901860000</v>
      </c>
      <c r="B882" s="1" t="s">
        <v>1007</v>
      </c>
      <c r="C882" s="1" t="s">
        <v>1265</v>
      </c>
      <c r="D882" s="1">
        <v>17</v>
      </c>
      <c r="E882" s="1" t="s">
        <v>1009</v>
      </c>
      <c r="F882" s="1">
        <v>1920901860000</v>
      </c>
      <c r="G882" s="1" t="s">
        <v>1013</v>
      </c>
      <c r="H882" s="1" t="s">
        <v>2080</v>
      </c>
      <c r="I882" s="1" t="s">
        <v>1182</v>
      </c>
      <c r="Q882" s="1" t="s">
        <v>1007</v>
      </c>
      <c r="R882" s="1" t="s">
        <v>1009</v>
      </c>
      <c r="S882" s="1" t="s">
        <v>1013</v>
      </c>
    </row>
    <row r="883" spans="1:19" x14ac:dyDescent="0.25">
      <c r="A883" s="1">
        <v>1920902350000</v>
      </c>
      <c r="B883" s="1" t="s">
        <v>1007</v>
      </c>
      <c r="C883" s="1" t="s">
        <v>1265</v>
      </c>
      <c r="D883" s="1">
        <v>17</v>
      </c>
      <c r="E883" s="1" t="s">
        <v>1009</v>
      </c>
      <c r="F883" s="1">
        <v>1920902350000</v>
      </c>
      <c r="G883" s="1" t="s">
        <v>1014</v>
      </c>
      <c r="H883" s="1" t="s">
        <v>2081</v>
      </c>
      <c r="I883" s="1" t="s">
        <v>1182</v>
      </c>
      <c r="Q883" s="1" t="s">
        <v>1007</v>
      </c>
      <c r="R883" s="1" t="s">
        <v>1009</v>
      </c>
      <c r="S883" s="1" t="s">
        <v>1014</v>
      </c>
    </row>
    <row r="884" spans="1:19" x14ac:dyDescent="0.25">
      <c r="A884" s="1">
        <v>1920930100000</v>
      </c>
      <c r="B884" s="1" t="s">
        <v>1007</v>
      </c>
      <c r="C884" s="1" t="s">
        <v>1265</v>
      </c>
      <c r="D884" s="1">
        <v>17</v>
      </c>
      <c r="E884" s="1" t="s">
        <v>1009</v>
      </c>
      <c r="F884" s="1">
        <v>1920930100000</v>
      </c>
      <c r="G884" s="1" t="s">
        <v>1015</v>
      </c>
      <c r="H884" s="1" t="s">
        <v>2082</v>
      </c>
      <c r="I884" s="1" t="s">
        <v>1182</v>
      </c>
      <c r="Q884" s="1" t="s">
        <v>1007</v>
      </c>
      <c r="R884" s="1" t="s">
        <v>1009</v>
      </c>
      <c r="S884" s="1" t="s">
        <v>1015</v>
      </c>
    </row>
    <row r="885" spans="1:19" x14ac:dyDescent="0.25">
      <c r="A885" s="1">
        <v>1920937930000</v>
      </c>
      <c r="B885" s="1" t="s">
        <v>1007</v>
      </c>
      <c r="C885" s="1" t="s">
        <v>1265</v>
      </c>
      <c r="D885" s="1">
        <v>17</v>
      </c>
      <c r="E885" s="1" t="s">
        <v>1009</v>
      </c>
      <c r="F885" s="1">
        <v>1920937930000</v>
      </c>
      <c r="G885" s="1" t="s">
        <v>1016</v>
      </c>
      <c r="H885" s="1" t="s">
        <v>2083</v>
      </c>
      <c r="I885" s="1" t="s">
        <v>1182</v>
      </c>
      <c r="Q885" s="1" t="s">
        <v>1007</v>
      </c>
      <c r="R885" s="1" t="s">
        <v>1009</v>
      </c>
      <c r="S885" s="1" t="s">
        <v>1016</v>
      </c>
    </row>
    <row r="886" spans="1:19" x14ac:dyDescent="0.25">
      <c r="A886" s="1">
        <v>1920921790000</v>
      </c>
      <c r="B886" s="1" t="s">
        <v>1007</v>
      </c>
      <c r="C886" s="1" t="s">
        <v>1265</v>
      </c>
      <c r="D886" s="1">
        <v>17</v>
      </c>
      <c r="E886" s="1" t="s">
        <v>1017</v>
      </c>
      <c r="F886" s="1">
        <v>1920921790000</v>
      </c>
      <c r="G886" s="1" t="s">
        <v>1018</v>
      </c>
      <c r="H886" s="1" t="s">
        <v>2084</v>
      </c>
      <c r="I886" s="1" t="s">
        <v>1182</v>
      </c>
      <c r="Q886" s="1" t="s">
        <v>1007</v>
      </c>
      <c r="R886" s="1" t="s">
        <v>1017</v>
      </c>
      <c r="S886" s="1" t="s">
        <v>1018</v>
      </c>
    </row>
    <row r="887" spans="1:19" x14ac:dyDescent="0.25">
      <c r="A887" s="1">
        <v>1920921860000</v>
      </c>
      <c r="B887" s="1" t="s">
        <v>1007</v>
      </c>
      <c r="C887" s="1" t="s">
        <v>1265</v>
      </c>
      <c r="D887" s="1">
        <v>17</v>
      </c>
      <c r="E887" s="1" t="s">
        <v>1017</v>
      </c>
      <c r="F887" s="1">
        <v>1920921860000</v>
      </c>
      <c r="G887" s="1" t="s">
        <v>1019</v>
      </c>
      <c r="H887" s="1" t="s">
        <v>2085</v>
      </c>
      <c r="I887" s="1" t="s">
        <v>1182</v>
      </c>
      <c r="Q887" s="1" t="s">
        <v>1007</v>
      </c>
      <c r="R887" s="1" t="s">
        <v>1017</v>
      </c>
      <c r="S887" s="1" t="s">
        <v>1019</v>
      </c>
    </row>
    <row r="888" spans="1:19" x14ac:dyDescent="0.25">
      <c r="A888" s="1">
        <v>1920921870000</v>
      </c>
      <c r="B888" s="1" t="s">
        <v>1007</v>
      </c>
      <c r="C888" s="1" t="s">
        <v>1265</v>
      </c>
      <c r="D888" s="1">
        <v>17</v>
      </c>
      <c r="E888" s="1" t="s">
        <v>1017</v>
      </c>
      <c r="F888" s="1">
        <v>1920921870000</v>
      </c>
      <c r="G888" s="1" t="s">
        <v>1020</v>
      </c>
      <c r="H888" s="1" t="s">
        <v>2086</v>
      </c>
      <c r="I888" s="1" t="s">
        <v>1182</v>
      </c>
      <c r="Q888" s="1" t="s">
        <v>1007</v>
      </c>
      <c r="R888" s="1" t="s">
        <v>1017</v>
      </c>
      <c r="S888" s="1" t="s">
        <v>1020</v>
      </c>
    </row>
    <row r="889" spans="1:19" x14ac:dyDescent="0.25">
      <c r="A889" s="1">
        <v>1920929070000</v>
      </c>
      <c r="B889" s="1" t="s">
        <v>1007</v>
      </c>
      <c r="C889" s="1" t="s">
        <v>1265</v>
      </c>
      <c r="D889" s="1">
        <v>17</v>
      </c>
      <c r="E889" s="1" t="s">
        <v>1017</v>
      </c>
      <c r="F889" s="1">
        <v>1920929070000</v>
      </c>
      <c r="G889" s="1" t="s">
        <v>1021</v>
      </c>
      <c r="H889" s="1" t="s">
        <v>2087</v>
      </c>
      <c r="I889" s="1" t="s">
        <v>1182</v>
      </c>
      <c r="Q889" s="1" t="s">
        <v>1007</v>
      </c>
      <c r="R889" s="1" t="s">
        <v>1017</v>
      </c>
      <c r="S889" s="1" t="s">
        <v>1021</v>
      </c>
    </row>
    <row r="890" spans="1:19" x14ac:dyDescent="0.25">
      <c r="A890" s="1">
        <v>1920933550000</v>
      </c>
      <c r="B890" s="1" t="s">
        <v>1007</v>
      </c>
      <c r="C890" s="1" t="s">
        <v>1265</v>
      </c>
      <c r="D890" s="1">
        <v>17</v>
      </c>
      <c r="E890" s="1" t="s">
        <v>1017</v>
      </c>
      <c r="F890" s="1">
        <v>1920933550000</v>
      </c>
      <c r="G890" s="1" t="s">
        <v>1022</v>
      </c>
      <c r="H890" s="1" t="s">
        <v>2088</v>
      </c>
      <c r="I890" s="1" t="s">
        <v>1182</v>
      </c>
      <c r="Q890" s="1" t="s">
        <v>1007</v>
      </c>
      <c r="R890" s="1" t="s">
        <v>1017</v>
      </c>
      <c r="S890" s="1" t="s">
        <v>1022</v>
      </c>
    </row>
    <row r="891" spans="1:19" x14ac:dyDescent="0.25">
      <c r="A891" s="1">
        <v>1920917160000</v>
      </c>
      <c r="B891" s="1" t="s">
        <v>1023</v>
      </c>
      <c r="C891" s="1" t="s">
        <v>2089</v>
      </c>
      <c r="E891" s="1" t="s">
        <v>1024</v>
      </c>
      <c r="F891" s="1">
        <v>1920917160000</v>
      </c>
      <c r="G891" s="1" t="s">
        <v>1025</v>
      </c>
      <c r="H891" s="1" t="s">
        <v>2090</v>
      </c>
      <c r="I891" s="1" t="s">
        <v>1182</v>
      </c>
      <c r="Q891" s="1" t="s">
        <v>1023</v>
      </c>
      <c r="R891" s="1" t="s">
        <v>1024</v>
      </c>
      <c r="S891" s="1" t="s">
        <v>1025</v>
      </c>
    </row>
    <row r="892" spans="1:19" x14ac:dyDescent="0.25">
      <c r="A892" s="1">
        <v>1920937690000</v>
      </c>
      <c r="B892" s="1" t="s">
        <v>1023</v>
      </c>
      <c r="C892" s="1" t="s">
        <v>2089</v>
      </c>
      <c r="E892" s="1" t="s">
        <v>1024</v>
      </c>
      <c r="F892" s="1">
        <v>1920937690000</v>
      </c>
      <c r="G892" s="1" t="s">
        <v>1026</v>
      </c>
      <c r="H892" s="1" t="s">
        <v>2091</v>
      </c>
      <c r="I892" s="1" t="s">
        <v>1182</v>
      </c>
      <c r="Q892" s="1" t="s">
        <v>1023</v>
      </c>
      <c r="R892" s="1" t="s">
        <v>1024</v>
      </c>
      <c r="S892" s="1" t="s">
        <v>1026</v>
      </c>
    </row>
    <row r="893" spans="1:19" x14ac:dyDescent="0.25">
      <c r="A893" s="1">
        <v>1921010000000</v>
      </c>
      <c r="B893" s="1" t="s">
        <v>1023</v>
      </c>
      <c r="C893" s="1" t="s">
        <v>2089</v>
      </c>
      <c r="E893" s="1" t="s">
        <v>1024</v>
      </c>
      <c r="F893" s="1">
        <v>1921010000000</v>
      </c>
      <c r="G893" s="1" t="s">
        <v>1027</v>
      </c>
      <c r="H893" s="1" t="s">
        <v>2092</v>
      </c>
      <c r="I893" s="1" t="s">
        <v>1204</v>
      </c>
      <c r="Q893" s="1" t="s">
        <v>1023</v>
      </c>
      <c r="R893" s="1" t="s">
        <v>1024</v>
      </c>
      <c r="S893" s="1" t="s">
        <v>1027</v>
      </c>
    </row>
    <row r="894" spans="1:19" x14ac:dyDescent="0.25">
      <c r="A894" s="1">
        <v>1920921400000</v>
      </c>
      <c r="B894" s="1" t="s">
        <v>1023</v>
      </c>
      <c r="C894" s="1" t="s">
        <v>2089</v>
      </c>
      <c r="E894" s="1" t="s">
        <v>1028</v>
      </c>
      <c r="F894" s="1">
        <v>1920921400000</v>
      </c>
      <c r="G894" s="1" t="s">
        <v>1029</v>
      </c>
      <c r="H894" s="1" t="s">
        <v>2093</v>
      </c>
      <c r="I894" s="1" t="s">
        <v>1182</v>
      </c>
      <c r="Q894" s="1" t="s">
        <v>1023</v>
      </c>
      <c r="R894" s="1" t="s">
        <v>1028</v>
      </c>
      <c r="S894" s="1" t="s">
        <v>1029</v>
      </c>
    </row>
    <row r="895" spans="1:19" x14ac:dyDescent="0.25">
      <c r="A895" s="1">
        <v>1920921410000</v>
      </c>
      <c r="B895" s="1" t="s">
        <v>1023</v>
      </c>
      <c r="C895" s="1" t="s">
        <v>2089</v>
      </c>
      <c r="E895" s="1" t="s">
        <v>1028</v>
      </c>
      <c r="F895" s="1">
        <v>1920921410000</v>
      </c>
      <c r="G895" s="1" t="s">
        <v>1030</v>
      </c>
      <c r="H895" s="1" t="s">
        <v>2094</v>
      </c>
      <c r="I895" s="1" t="s">
        <v>1182</v>
      </c>
      <c r="Q895" s="1" t="s">
        <v>1023</v>
      </c>
      <c r="R895" s="1" t="s">
        <v>1028</v>
      </c>
      <c r="S895" s="1" t="s">
        <v>1030</v>
      </c>
    </row>
    <row r="896" spans="1:19" x14ac:dyDescent="0.25">
      <c r="A896" s="1">
        <v>1920921440000</v>
      </c>
      <c r="B896" s="1" t="s">
        <v>1023</v>
      </c>
      <c r="C896" s="1" t="s">
        <v>2089</v>
      </c>
      <c r="E896" s="1" t="s">
        <v>1028</v>
      </c>
      <c r="F896" s="1">
        <v>1920921440000</v>
      </c>
      <c r="G896" s="1" t="s">
        <v>1031</v>
      </c>
      <c r="H896" s="1" t="s">
        <v>2095</v>
      </c>
      <c r="I896" s="1" t="s">
        <v>1182</v>
      </c>
      <c r="Q896" s="1" t="s">
        <v>1023</v>
      </c>
      <c r="R896" s="1" t="s">
        <v>1028</v>
      </c>
      <c r="S896" s="1" t="s">
        <v>1031</v>
      </c>
    </row>
    <row r="897" spans="1:19" x14ac:dyDescent="0.25">
      <c r="A897" s="1">
        <v>1920921460000</v>
      </c>
      <c r="B897" s="1" t="s">
        <v>1023</v>
      </c>
      <c r="C897" s="1" t="s">
        <v>2089</v>
      </c>
      <c r="E897" s="1" t="s">
        <v>1028</v>
      </c>
      <c r="F897" s="1">
        <v>1920921460000</v>
      </c>
      <c r="G897" s="1" t="s">
        <v>544</v>
      </c>
      <c r="H897" s="1" t="s">
        <v>2096</v>
      </c>
      <c r="I897" s="1" t="s">
        <v>1182</v>
      </c>
      <c r="Q897" s="1" t="s">
        <v>1023</v>
      </c>
      <c r="R897" s="1" t="s">
        <v>1028</v>
      </c>
      <c r="S897" s="1" t="s">
        <v>544</v>
      </c>
    </row>
    <row r="898" spans="1:19" x14ac:dyDescent="0.25">
      <c r="A898" s="1">
        <v>1920921480000</v>
      </c>
      <c r="B898" s="1" t="s">
        <v>1023</v>
      </c>
      <c r="C898" s="1" t="s">
        <v>2089</v>
      </c>
      <c r="E898" s="1" t="s">
        <v>1028</v>
      </c>
      <c r="F898" s="1">
        <v>1920921480000</v>
      </c>
      <c r="G898" s="1" t="s">
        <v>1032</v>
      </c>
      <c r="H898" s="1" t="s">
        <v>2097</v>
      </c>
      <c r="I898" s="1" t="s">
        <v>1182</v>
      </c>
      <c r="Q898" s="1" t="s">
        <v>1023</v>
      </c>
      <c r="R898" s="1" t="s">
        <v>1028</v>
      </c>
      <c r="S898" s="1" t="s">
        <v>1032</v>
      </c>
    </row>
    <row r="899" spans="1:19" x14ac:dyDescent="0.25">
      <c r="A899" s="1">
        <v>1920921510000</v>
      </c>
      <c r="B899" s="1" t="s">
        <v>1023</v>
      </c>
      <c r="C899" s="1" t="s">
        <v>2089</v>
      </c>
      <c r="E899" s="1" t="s">
        <v>1028</v>
      </c>
      <c r="F899" s="1">
        <v>1920921510000</v>
      </c>
      <c r="G899" s="1" t="s">
        <v>1033</v>
      </c>
      <c r="H899" s="1" t="s">
        <v>2098</v>
      </c>
      <c r="I899" s="1" t="s">
        <v>1182</v>
      </c>
      <c r="Q899" s="1" t="s">
        <v>1023</v>
      </c>
      <c r="R899" s="1" t="s">
        <v>1028</v>
      </c>
      <c r="S899" s="1" t="s">
        <v>1033</v>
      </c>
    </row>
    <row r="900" spans="1:19" x14ac:dyDescent="0.25">
      <c r="A900" s="1">
        <v>1920917250000</v>
      </c>
      <c r="B900" s="1" t="s">
        <v>1023</v>
      </c>
      <c r="C900" s="1" t="s">
        <v>2089</v>
      </c>
      <c r="E900" s="1" t="s">
        <v>1034</v>
      </c>
      <c r="F900" s="1">
        <v>1920917250000</v>
      </c>
      <c r="G900" s="1" t="s">
        <v>1035</v>
      </c>
      <c r="H900" s="1" t="s">
        <v>2099</v>
      </c>
      <c r="I900" s="1" t="s">
        <v>1182</v>
      </c>
      <c r="Q900" s="1" t="s">
        <v>1023</v>
      </c>
      <c r="R900" s="1" t="s">
        <v>1034</v>
      </c>
      <c r="S900" s="1" t="s">
        <v>1035</v>
      </c>
    </row>
    <row r="901" spans="1:19" x14ac:dyDescent="0.25">
      <c r="A901" s="1">
        <v>1921011000000</v>
      </c>
      <c r="B901" s="1" t="s">
        <v>1023</v>
      </c>
      <c r="C901" s="1" t="s">
        <v>2089</v>
      </c>
      <c r="E901" s="1" t="s">
        <v>1034</v>
      </c>
      <c r="F901" s="1">
        <v>1921011000000</v>
      </c>
      <c r="G901" s="1" t="s">
        <v>1036</v>
      </c>
      <c r="H901" s="1" t="s">
        <v>2100</v>
      </c>
      <c r="I901" s="1" t="s">
        <v>1204</v>
      </c>
      <c r="Q901" s="1" t="s">
        <v>1023</v>
      </c>
      <c r="R901" s="1" t="s">
        <v>1034</v>
      </c>
      <c r="S901" s="1" t="s">
        <v>1036</v>
      </c>
    </row>
    <row r="902" spans="1:19" x14ac:dyDescent="0.25">
      <c r="A902" s="1">
        <v>1920930060000</v>
      </c>
      <c r="B902" s="1" t="s">
        <v>1023</v>
      </c>
      <c r="C902" s="1" t="s">
        <v>2089</v>
      </c>
      <c r="E902" s="1" t="s">
        <v>1034</v>
      </c>
      <c r="F902" s="1">
        <v>1920930060000</v>
      </c>
      <c r="G902" s="1" t="s">
        <v>1037</v>
      </c>
      <c r="H902" s="1" t="s">
        <v>2101</v>
      </c>
      <c r="I902" s="1" t="s">
        <v>1182</v>
      </c>
      <c r="Q902" s="1" t="s">
        <v>1023</v>
      </c>
      <c r="R902" s="1" t="s">
        <v>1034</v>
      </c>
      <c r="S902" s="1" t="s">
        <v>1037</v>
      </c>
    </row>
    <row r="903" spans="1:19" x14ac:dyDescent="0.25">
      <c r="A903" s="1">
        <v>1920921700000</v>
      </c>
      <c r="B903" s="1" t="s">
        <v>1023</v>
      </c>
      <c r="C903" s="1" t="s">
        <v>2089</v>
      </c>
      <c r="E903" s="1" t="s">
        <v>1023</v>
      </c>
      <c r="F903" s="1">
        <v>1920921700000</v>
      </c>
      <c r="G903" s="1" t="s">
        <v>544</v>
      </c>
      <c r="H903" s="1" t="s">
        <v>2102</v>
      </c>
      <c r="I903" s="1" t="s">
        <v>1182</v>
      </c>
      <c r="Q903" s="1" t="s">
        <v>1023</v>
      </c>
      <c r="R903" s="1" t="s">
        <v>1023</v>
      </c>
      <c r="S903" s="1" t="s">
        <v>544</v>
      </c>
    </row>
    <row r="904" spans="1:19" x14ac:dyDescent="0.25">
      <c r="A904" s="1">
        <v>1920924420000</v>
      </c>
      <c r="B904" s="1" t="s">
        <v>1023</v>
      </c>
      <c r="C904" s="1" t="s">
        <v>2089</v>
      </c>
      <c r="E904" s="1" t="s">
        <v>1023</v>
      </c>
      <c r="F904" s="1">
        <v>1920924420000</v>
      </c>
      <c r="G904" s="1" t="s">
        <v>1038</v>
      </c>
      <c r="H904" s="1" t="s">
        <v>2103</v>
      </c>
      <c r="I904" s="1" t="s">
        <v>1182</v>
      </c>
      <c r="Q904" s="1" t="s">
        <v>1023</v>
      </c>
      <c r="R904" s="1" t="s">
        <v>1023</v>
      </c>
      <c r="S904" s="1" t="s">
        <v>1038</v>
      </c>
    </row>
    <row r="905" spans="1:19" x14ac:dyDescent="0.25">
      <c r="A905" s="1">
        <v>1920924420001</v>
      </c>
      <c r="B905" s="1" t="s">
        <v>1023</v>
      </c>
      <c r="C905" s="1" t="s">
        <v>2089</v>
      </c>
      <c r="E905" s="1" t="s">
        <v>1023</v>
      </c>
      <c r="F905" s="1">
        <v>1920924420001</v>
      </c>
      <c r="G905" s="1" t="s">
        <v>1039</v>
      </c>
      <c r="H905" s="1" t="s">
        <v>2104</v>
      </c>
      <c r="I905" s="1" t="s">
        <v>1182</v>
      </c>
      <c r="Q905" s="1" t="s">
        <v>1023</v>
      </c>
      <c r="R905" s="1" t="s">
        <v>1023</v>
      </c>
      <c r="S905" s="1" t="s">
        <v>1039</v>
      </c>
    </row>
    <row r="906" spans="1:19" x14ac:dyDescent="0.25">
      <c r="A906" s="1">
        <v>1920929930000</v>
      </c>
      <c r="B906" s="1" t="s">
        <v>1023</v>
      </c>
      <c r="C906" s="1" t="s">
        <v>2089</v>
      </c>
      <c r="E906" s="1" t="s">
        <v>1023</v>
      </c>
      <c r="F906" s="1">
        <v>1920929930000</v>
      </c>
      <c r="G906" s="1" t="s">
        <v>1040</v>
      </c>
      <c r="H906" s="1" t="s">
        <v>2105</v>
      </c>
      <c r="I906" s="1" t="s">
        <v>1182</v>
      </c>
      <c r="Q906" s="1" t="s">
        <v>1023</v>
      </c>
      <c r="R906" s="1" t="s">
        <v>1023</v>
      </c>
      <c r="S906" s="1" t="s">
        <v>1040</v>
      </c>
    </row>
    <row r="907" spans="1:19" x14ac:dyDescent="0.25">
      <c r="A907" s="1">
        <v>1920938200000</v>
      </c>
      <c r="B907" s="1" t="s">
        <v>1023</v>
      </c>
      <c r="C907" s="1" t="s">
        <v>2089</v>
      </c>
      <c r="E907" s="1" t="s">
        <v>1023</v>
      </c>
      <c r="F907" s="1">
        <v>1920938200000</v>
      </c>
      <c r="G907" s="1" t="s">
        <v>1041</v>
      </c>
      <c r="H907" s="1" t="s">
        <v>2106</v>
      </c>
      <c r="I907" s="1" t="s">
        <v>1182</v>
      </c>
      <c r="Q907" s="1" t="s">
        <v>1023</v>
      </c>
      <c r="R907" s="1" t="s">
        <v>1023</v>
      </c>
      <c r="S907" s="1" t="s">
        <v>1041</v>
      </c>
    </row>
    <row r="908" spans="1:19" x14ac:dyDescent="0.25">
      <c r="A908" s="1">
        <v>1920947000000</v>
      </c>
      <c r="B908" s="1" t="s">
        <v>1023</v>
      </c>
      <c r="C908" s="1" t="s">
        <v>2089</v>
      </c>
      <c r="E908" s="1" t="s">
        <v>1023</v>
      </c>
      <c r="F908" s="1">
        <v>1920947000000</v>
      </c>
      <c r="G908" s="1" t="s">
        <v>1042</v>
      </c>
      <c r="H908" s="1" t="s">
        <v>2107</v>
      </c>
      <c r="I908" s="1" t="s">
        <v>1182</v>
      </c>
      <c r="Q908" s="1" t="s">
        <v>1023</v>
      </c>
      <c r="R908" s="1" t="s">
        <v>1023</v>
      </c>
      <c r="S908" s="1" t="s">
        <v>1042</v>
      </c>
    </row>
    <row r="909" spans="1:19" x14ac:dyDescent="0.25">
      <c r="A909" s="1">
        <v>1920929080000</v>
      </c>
      <c r="B909" s="1" t="s">
        <v>1023</v>
      </c>
      <c r="C909" s="1" t="s">
        <v>2089</v>
      </c>
      <c r="E909" s="1" t="s">
        <v>1023</v>
      </c>
      <c r="F909" s="1">
        <v>1920929080000</v>
      </c>
      <c r="G909" s="1" t="s">
        <v>1043</v>
      </c>
      <c r="H909" s="1" t="s">
        <v>2108</v>
      </c>
      <c r="I909" s="1" t="s">
        <v>1182</v>
      </c>
      <c r="Q909" s="1" t="s">
        <v>1023</v>
      </c>
      <c r="R909" s="1" t="s">
        <v>1023</v>
      </c>
      <c r="S909" s="1" t="s">
        <v>1043</v>
      </c>
    </row>
    <row r="910" spans="1:19" x14ac:dyDescent="0.25">
      <c r="A910" s="1">
        <v>1920921540000</v>
      </c>
      <c r="B910" s="1" t="s">
        <v>1023</v>
      </c>
      <c r="C910" s="1" t="s">
        <v>2089</v>
      </c>
      <c r="E910" s="1" t="s">
        <v>1044</v>
      </c>
      <c r="F910" s="1">
        <v>1920921540000</v>
      </c>
      <c r="G910" s="1" t="s">
        <v>1045</v>
      </c>
      <c r="H910" s="1" t="s">
        <v>2109</v>
      </c>
      <c r="I910" s="1" t="s">
        <v>1182</v>
      </c>
      <c r="Q910" s="1" t="s">
        <v>1023</v>
      </c>
      <c r="R910" s="1" t="s">
        <v>1044</v>
      </c>
      <c r="S910" s="1" t="s">
        <v>1045</v>
      </c>
    </row>
    <row r="911" spans="1:19" x14ac:dyDescent="0.25">
      <c r="A911" s="1">
        <v>1921012000000</v>
      </c>
      <c r="B911" s="1" t="s">
        <v>1023</v>
      </c>
      <c r="C911" s="1" t="s">
        <v>2089</v>
      </c>
      <c r="E911" s="1" t="s">
        <v>1044</v>
      </c>
      <c r="F911" s="1">
        <v>1921012000000</v>
      </c>
      <c r="G911" s="1" t="s">
        <v>1046</v>
      </c>
      <c r="H911" s="1" t="s">
        <v>2110</v>
      </c>
      <c r="I911" s="1" t="s">
        <v>1204</v>
      </c>
      <c r="Q911" s="1" t="s">
        <v>1023</v>
      </c>
      <c r="R911" s="1" t="s">
        <v>1044</v>
      </c>
      <c r="S911" s="1" t="s">
        <v>1046</v>
      </c>
    </row>
    <row r="912" spans="1:19" x14ac:dyDescent="0.25">
      <c r="A912" s="1">
        <v>1920935080000</v>
      </c>
      <c r="B912" s="1" t="s">
        <v>1023</v>
      </c>
      <c r="C912" s="1" t="s">
        <v>2089</v>
      </c>
      <c r="E912" s="1" t="s">
        <v>1044</v>
      </c>
      <c r="F912" s="1">
        <v>1920935080000</v>
      </c>
      <c r="G912" s="1" t="s">
        <v>1047</v>
      </c>
      <c r="H912" s="1" t="s">
        <v>2111</v>
      </c>
      <c r="I912" s="1" t="s">
        <v>1182</v>
      </c>
      <c r="Q912" s="1" t="s">
        <v>1023</v>
      </c>
      <c r="R912" s="1" t="s">
        <v>1044</v>
      </c>
      <c r="S912" s="1" t="s">
        <v>1047</v>
      </c>
    </row>
    <row r="913" spans="1:19" x14ac:dyDescent="0.25">
      <c r="A913" s="1">
        <v>1920936040000</v>
      </c>
      <c r="B913" s="1" t="s">
        <v>1023</v>
      </c>
      <c r="C913" s="1" t="s">
        <v>2089</v>
      </c>
      <c r="E913" s="1" t="s">
        <v>1044</v>
      </c>
      <c r="F913" s="1">
        <v>1920936040000</v>
      </c>
      <c r="G913" s="1" t="s">
        <v>1048</v>
      </c>
      <c r="H913" s="1" t="s">
        <v>2112</v>
      </c>
      <c r="I913" s="1" t="s">
        <v>1182</v>
      </c>
      <c r="Q913" s="1" t="s">
        <v>1023</v>
      </c>
      <c r="R913" s="1" t="s">
        <v>1044</v>
      </c>
      <c r="S913" s="1" t="s">
        <v>1048</v>
      </c>
    </row>
    <row r="914" spans="1:19" x14ac:dyDescent="0.25">
      <c r="A914" s="1">
        <v>1920920810000</v>
      </c>
      <c r="B914" s="1" t="s">
        <v>1023</v>
      </c>
      <c r="C914" s="1" t="s">
        <v>2089</v>
      </c>
      <c r="E914" s="1" t="s">
        <v>1049</v>
      </c>
      <c r="F914" s="1">
        <v>1920920810000</v>
      </c>
      <c r="G914" s="1" t="s">
        <v>1050</v>
      </c>
      <c r="H914" s="1" t="s">
        <v>2113</v>
      </c>
      <c r="I914" s="1" t="s">
        <v>1182</v>
      </c>
      <c r="Q914" s="1" t="s">
        <v>1023</v>
      </c>
      <c r="R914" s="1" t="s">
        <v>1049</v>
      </c>
      <c r="S914" s="1" t="s">
        <v>1050</v>
      </c>
    </row>
    <row r="915" spans="1:19" x14ac:dyDescent="0.25">
      <c r="A915" s="1">
        <v>1920928140000</v>
      </c>
      <c r="B915" s="1" t="s">
        <v>1023</v>
      </c>
      <c r="C915" s="1" t="s">
        <v>2089</v>
      </c>
      <c r="E915" s="1" t="s">
        <v>1049</v>
      </c>
      <c r="F915" s="1">
        <v>1920928140000</v>
      </c>
      <c r="G915" s="1" t="s">
        <v>1051</v>
      </c>
      <c r="H915" s="1" t="s">
        <v>2114</v>
      </c>
      <c r="I915" s="1" t="s">
        <v>1182</v>
      </c>
      <c r="Q915" s="1" t="s">
        <v>1023</v>
      </c>
      <c r="R915" s="1" t="s">
        <v>1049</v>
      </c>
      <c r="S915" s="1" t="s">
        <v>1051</v>
      </c>
    </row>
    <row r="916" spans="1:19" x14ac:dyDescent="0.25">
      <c r="A916" s="1">
        <v>1920917370000</v>
      </c>
      <c r="B916" s="1" t="s">
        <v>1023</v>
      </c>
      <c r="C916" s="1" t="s">
        <v>2089</v>
      </c>
      <c r="E916" s="1" t="s">
        <v>1052</v>
      </c>
      <c r="F916" s="1">
        <v>1920917370000</v>
      </c>
      <c r="G916" s="1" t="s">
        <v>1053</v>
      </c>
      <c r="H916" s="1" t="s">
        <v>2115</v>
      </c>
      <c r="I916" s="1" t="s">
        <v>1182</v>
      </c>
      <c r="Q916" s="1" t="s">
        <v>1023</v>
      </c>
      <c r="R916" s="1" t="s">
        <v>1052</v>
      </c>
      <c r="S916" s="1" t="s">
        <v>1053</v>
      </c>
    </row>
    <row r="917" spans="1:19" x14ac:dyDescent="0.25">
      <c r="A917" s="1">
        <v>1921013000000</v>
      </c>
      <c r="B917" s="1" t="s">
        <v>1023</v>
      </c>
      <c r="C917" s="1" t="s">
        <v>2089</v>
      </c>
      <c r="E917" s="1" t="s">
        <v>1052</v>
      </c>
      <c r="F917" s="1">
        <v>1921013000000</v>
      </c>
      <c r="G917" s="1" t="s">
        <v>1054</v>
      </c>
      <c r="H917" s="1" t="s">
        <v>2116</v>
      </c>
      <c r="I917" s="1" t="s">
        <v>1204</v>
      </c>
      <c r="Q917" s="1" t="s">
        <v>1023</v>
      </c>
      <c r="R917" s="1" t="s">
        <v>1052</v>
      </c>
      <c r="S917" s="1" t="s">
        <v>1054</v>
      </c>
    </row>
    <row r="918" spans="1:19" x14ac:dyDescent="0.25">
      <c r="A918" s="1">
        <v>1920917390000</v>
      </c>
      <c r="B918" s="1" t="s">
        <v>1023</v>
      </c>
      <c r="C918" s="1" t="s">
        <v>2089</v>
      </c>
      <c r="E918" s="1" t="s">
        <v>1052</v>
      </c>
      <c r="F918" s="1">
        <v>1920917390000</v>
      </c>
      <c r="G918" s="1" t="s">
        <v>1055</v>
      </c>
      <c r="H918" s="1" t="s">
        <v>2117</v>
      </c>
      <c r="I918" s="1" t="s">
        <v>1182</v>
      </c>
      <c r="Q918" s="1" t="s">
        <v>1023</v>
      </c>
      <c r="R918" s="1" t="s">
        <v>1052</v>
      </c>
      <c r="S918" s="1" t="s">
        <v>1055</v>
      </c>
    </row>
    <row r="919" spans="1:19" x14ac:dyDescent="0.25">
      <c r="A919" s="1">
        <v>1920956000000</v>
      </c>
      <c r="B919" s="1" t="s">
        <v>1023</v>
      </c>
      <c r="C919" s="1" t="s">
        <v>2089</v>
      </c>
      <c r="E919" s="1" t="s">
        <v>1052</v>
      </c>
      <c r="F919" s="1">
        <v>1920956000000</v>
      </c>
      <c r="G919" s="1" t="s">
        <v>1056</v>
      </c>
      <c r="H919" s="1" t="s">
        <v>2118</v>
      </c>
      <c r="I919" s="1" t="s">
        <v>1182</v>
      </c>
      <c r="Q919" s="1" t="s">
        <v>1023</v>
      </c>
      <c r="R919" s="1" t="s">
        <v>1052</v>
      </c>
      <c r="S919" s="1" t="s">
        <v>1056</v>
      </c>
    </row>
    <row r="920" spans="1:19" x14ac:dyDescent="0.25">
      <c r="A920" s="1">
        <v>1920921090000</v>
      </c>
      <c r="B920" s="1" t="s">
        <v>1023</v>
      </c>
      <c r="C920" s="1" t="s">
        <v>2089</v>
      </c>
      <c r="E920" s="1" t="s">
        <v>1057</v>
      </c>
      <c r="F920" s="1">
        <v>1920921090000</v>
      </c>
      <c r="G920" s="1" t="s">
        <v>1058</v>
      </c>
      <c r="H920" s="1" t="s">
        <v>2119</v>
      </c>
      <c r="I920" s="1" t="s">
        <v>1182</v>
      </c>
      <c r="Q920" s="1" t="s">
        <v>1023</v>
      </c>
      <c r="R920" s="1" t="s">
        <v>1057</v>
      </c>
      <c r="S920" s="1" t="s">
        <v>1058</v>
      </c>
    </row>
    <row r="921" spans="1:19" x14ac:dyDescent="0.25">
      <c r="A921" s="1">
        <v>1920921100000</v>
      </c>
      <c r="B921" s="1" t="s">
        <v>1023</v>
      </c>
      <c r="C921" s="1" t="s">
        <v>2089</v>
      </c>
      <c r="E921" s="1" t="s">
        <v>1057</v>
      </c>
      <c r="F921" s="1">
        <v>1920921100000</v>
      </c>
      <c r="G921" s="1" t="s">
        <v>1059</v>
      </c>
      <c r="H921" s="1" t="s">
        <v>2120</v>
      </c>
      <c r="I921" s="1" t="s">
        <v>1182</v>
      </c>
      <c r="Q921" s="1" t="s">
        <v>1023</v>
      </c>
      <c r="R921" s="1" t="s">
        <v>1057</v>
      </c>
      <c r="S921" s="1" t="s">
        <v>1059</v>
      </c>
    </row>
    <row r="922" spans="1:19" x14ac:dyDescent="0.25">
      <c r="A922" s="1">
        <v>1920921120000</v>
      </c>
      <c r="B922" s="1" t="s">
        <v>1023</v>
      </c>
      <c r="C922" s="1" t="s">
        <v>2089</v>
      </c>
      <c r="E922" s="1" t="s">
        <v>1057</v>
      </c>
      <c r="F922" s="1">
        <v>1920921120000</v>
      </c>
      <c r="G922" s="1" t="s">
        <v>1060</v>
      </c>
      <c r="H922" s="1" t="s">
        <v>2121</v>
      </c>
      <c r="I922" s="1" t="s">
        <v>1182</v>
      </c>
      <c r="Q922" s="1" t="s">
        <v>1023</v>
      </c>
      <c r="R922" s="1" t="s">
        <v>1057</v>
      </c>
      <c r="S922" s="1" t="s">
        <v>1060</v>
      </c>
    </row>
    <row r="923" spans="1:19" x14ac:dyDescent="0.25">
      <c r="A923" s="1">
        <v>1920921130000</v>
      </c>
      <c r="B923" s="1" t="s">
        <v>1023</v>
      </c>
      <c r="C923" s="1" t="s">
        <v>2089</v>
      </c>
      <c r="E923" s="1" t="s">
        <v>1057</v>
      </c>
      <c r="F923" s="1">
        <v>1920921130000</v>
      </c>
      <c r="G923" s="1" t="s">
        <v>1061</v>
      </c>
      <c r="H923" s="1" t="s">
        <v>2122</v>
      </c>
      <c r="I923" s="1" t="s">
        <v>1182</v>
      </c>
      <c r="Q923" s="1" t="s">
        <v>1023</v>
      </c>
      <c r="R923" s="1" t="s">
        <v>1057</v>
      </c>
      <c r="S923" s="1" t="s">
        <v>1061</v>
      </c>
    </row>
    <row r="924" spans="1:19" x14ac:dyDescent="0.25">
      <c r="A924" s="1">
        <v>1920921200000</v>
      </c>
      <c r="B924" s="1" t="s">
        <v>1023</v>
      </c>
      <c r="C924" s="1" t="s">
        <v>2089</v>
      </c>
      <c r="E924" s="1" t="s">
        <v>1057</v>
      </c>
      <c r="F924" s="1">
        <v>1920921200000</v>
      </c>
      <c r="G924" s="1" t="s">
        <v>1062</v>
      </c>
      <c r="H924" s="1" t="s">
        <v>2123</v>
      </c>
      <c r="I924" s="1" t="s">
        <v>1182</v>
      </c>
      <c r="Q924" s="1" t="s">
        <v>1023</v>
      </c>
      <c r="R924" s="1" t="s">
        <v>1057</v>
      </c>
      <c r="S924" s="1" t="s">
        <v>1062</v>
      </c>
    </row>
    <row r="925" spans="1:19" x14ac:dyDescent="0.25">
      <c r="A925" s="1">
        <v>1920921290000</v>
      </c>
      <c r="B925" s="1" t="s">
        <v>1023</v>
      </c>
      <c r="C925" s="1" t="s">
        <v>2089</v>
      </c>
      <c r="E925" s="1" t="s">
        <v>1057</v>
      </c>
      <c r="F925" s="1">
        <v>1920921290000</v>
      </c>
      <c r="G925" s="1" t="s">
        <v>1063</v>
      </c>
      <c r="H925" s="1" t="s">
        <v>2124</v>
      </c>
      <c r="I925" s="1" t="s">
        <v>1182</v>
      </c>
      <c r="Q925" s="1" t="s">
        <v>1023</v>
      </c>
      <c r="R925" s="1" t="s">
        <v>1057</v>
      </c>
      <c r="S925" s="1" t="s">
        <v>1063</v>
      </c>
    </row>
    <row r="926" spans="1:19" x14ac:dyDescent="0.25">
      <c r="A926" s="1">
        <v>1920921340000</v>
      </c>
      <c r="B926" s="1" t="s">
        <v>1023</v>
      </c>
      <c r="C926" s="1" t="s">
        <v>2089</v>
      </c>
      <c r="E926" s="1" t="s">
        <v>1057</v>
      </c>
      <c r="F926" s="1">
        <v>1920921340000</v>
      </c>
      <c r="G926" s="1" t="s">
        <v>1033</v>
      </c>
      <c r="H926" s="1" t="s">
        <v>2125</v>
      </c>
      <c r="I926" s="1" t="s">
        <v>1182</v>
      </c>
      <c r="Q926" s="1" t="s">
        <v>1023</v>
      </c>
      <c r="R926" s="1" t="s">
        <v>1057</v>
      </c>
      <c r="S926" s="1" t="s">
        <v>1033</v>
      </c>
    </row>
    <row r="927" spans="1:19" x14ac:dyDescent="0.25">
      <c r="A927" s="1">
        <v>1920921390000</v>
      </c>
      <c r="B927" s="1" t="s">
        <v>1023</v>
      </c>
      <c r="C927" s="1" t="s">
        <v>2089</v>
      </c>
      <c r="E927" s="1" t="s">
        <v>1057</v>
      </c>
      <c r="F927" s="1">
        <v>1920921390000</v>
      </c>
      <c r="G927" s="1" t="s">
        <v>1064</v>
      </c>
      <c r="H927" s="1" t="s">
        <v>2126</v>
      </c>
      <c r="I927" s="1" t="s">
        <v>1182</v>
      </c>
      <c r="Q927" s="1" t="s">
        <v>1023</v>
      </c>
      <c r="R927" s="1" t="s">
        <v>1057</v>
      </c>
      <c r="S927" s="1" t="s">
        <v>1064</v>
      </c>
    </row>
    <row r="928" spans="1:19" x14ac:dyDescent="0.25">
      <c r="A928" s="1">
        <v>1920928740000</v>
      </c>
      <c r="B928" s="1" t="s">
        <v>1023</v>
      </c>
      <c r="C928" s="1" t="s">
        <v>2089</v>
      </c>
      <c r="E928" s="1" t="s">
        <v>1057</v>
      </c>
      <c r="F928" s="1">
        <v>1920928740000</v>
      </c>
      <c r="G928" s="1" t="s">
        <v>1065</v>
      </c>
      <c r="H928" s="1" t="s">
        <v>2127</v>
      </c>
      <c r="I928" s="1" t="s">
        <v>1182</v>
      </c>
      <c r="Q928" s="1" t="s">
        <v>1023</v>
      </c>
      <c r="R928" s="1" t="s">
        <v>1057</v>
      </c>
      <c r="S928" s="1" t="s">
        <v>1065</v>
      </c>
    </row>
    <row r="929" spans="1:19" x14ac:dyDescent="0.25">
      <c r="A929" s="1">
        <v>1920937760000</v>
      </c>
      <c r="B929" s="1" t="s">
        <v>1023</v>
      </c>
      <c r="C929" s="1" t="s">
        <v>2089</v>
      </c>
      <c r="E929" s="1" t="s">
        <v>1057</v>
      </c>
      <c r="F929" s="1">
        <v>1920937760000</v>
      </c>
      <c r="G929" s="1" t="s">
        <v>1066</v>
      </c>
      <c r="H929" s="1" t="s">
        <v>2128</v>
      </c>
      <c r="I929" s="1" t="s">
        <v>1182</v>
      </c>
      <c r="Q929" s="1" t="s">
        <v>1023</v>
      </c>
      <c r="R929" s="1" t="s">
        <v>1057</v>
      </c>
      <c r="S929" s="1" t="s">
        <v>1066</v>
      </c>
    </row>
    <row r="930" spans="1:19" x14ac:dyDescent="0.25">
      <c r="A930" s="1">
        <v>1920902960000</v>
      </c>
      <c r="B930" s="1" t="s">
        <v>1067</v>
      </c>
      <c r="C930" s="1" t="s">
        <v>2129</v>
      </c>
      <c r="E930" s="1" t="s">
        <v>1068</v>
      </c>
      <c r="F930" s="1">
        <v>1920902960000</v>
      </c>
      <c r="G930" s="1" t="s">
        <v>1069</v>
      </c>
      <c r="H930" s="1" t="s">
        <v>2130</v>
      </c>
      <c r="I930" s="1" t="s">
        <v>1182</v>
      </c>
      <c r="Q930" s="1" t="s">
        <v>1067</v>
      </c>
      <c r="R930" s="1" t="s">
        <v>1068</v>
      </c>
      <c r="S930" s="1" t="s">
        <v>1069</v>
      </c>
    </row>
    <row r="931" spans="1:19" x14ac:dyDescent="0.25">
      <c r="A931" s="1">
        <v>1920985000000</v>
      </c>
      <c r="B931" s="1" t="s">
        <v>1067</v>
      </c>
      <c r="C931" s="1" t="s">
        <v>2129</v>
      </c>
      <c r="E931" s="1" t="s">
        <v>1068</v>
      </c>
      <c r="F931" s="1">
        <v>1920985000000</v>
      </c>
      <c r="G931" s="1" t="s">
        <v>1070</v>
      </c>
      <c r="H931" s="1" t="s">
        <v>2131</v>
      </c>
      <c r="I931" s="1" t="s">
        <v>1204</v>
      </c>
      <c r="Q931" s="1" t="s">
        <v>1067</v>
      </c>
      <c r="R931" s="1" t="s">
        <v>1068</v>
      </c>
      <c r="S931" s="1" t="s">
        <v>1070</v>
      </c>
    </row>
    <row r="932" spans="1:19" x14ac:dyDescent="0.25">
      <c r="A932" s="1">
        <v>1920902930000</v>
      </c>
      <c r="B932" s="1" t="s">
        <v>1067</v>
      </c>
      <c r="C932" s="1" t="s">
        <v>2129</v>
      </c>
      <c r="E932" s="1" t="s">
        <v>1071</v>
      </c>
      <c r="F932" s="1">
        <v>1920902930000</v>
      </c>
      <c r="G932" s="1" t="s">
        <v>1072</v>
      </c>
      <c r="H932" s="1" t="s">
        <v>2132</v>
      </c>
      <c r="I932" s="1" t="s">
        <v>1182</v>
      </c>
      <c r="Q932" s="1" t="s">
        <v>1067</v>
      </c>
      <c r="R932" s="1" t="s">
        <v>1071</v>
      </c>
      <c r="S932" s="1" t="s">
        <v>1072</v>
      </c>
    </row>
    <row r="933" spans="1:19" x14ac:dyDescent="0.25">
      <c r="A933" s="1">
        <v>1920986000000</v>
      </c>
      <c r="B933" s="1" t="s">
        <v>1067</v>
      </c>
      <c r="C933" s="1" t="s">
        <v>2129</v>
      </c>
      <c r="E933" s="1" t="s">
        <v>1071</v>
      </c>
      <c r="F933" s="1">
        <v>1920986000000</v>
      </c>
      <c r="G933" s="1" t="s">
        <v>1073</v>
      </c>
      <c r="H933" s="1" t="s">
        <v>2133</v>
      </c>
      <c r="I933" s="1" t="s">
        <v>1204</v>
      </c>
      <c r="Q933" s="1" t="s">
        <v>1067</v>
      </c>
      <c r="R933" s="1" t="s">
        <v>1071</v>
      </c>
      <c r="S933" s="1" t="s">
        <v>1073</v>
      </c>
    </row>
    <row r="934" spans="1:19" x14ac:dyDescent="0.25">
      <c r="A934" s="1">
        <v>1920901460000</v>
      </c>
      <c r="B934" s="1" t="s">
        <v>1067</v>
      </c>
      <c r="C934" s="1" t="s">
        <v>2129</v>
      </c>
      <c r="E934" s="1" t="s">
        <v>1067</v>
      </c>
      <c r="F934" s="1">
        <v>1920901460000</v>
      </c>
      <c r="G934" s="1" t="s">
        <v>1074</v>
      </c>
      <c r="H934" s="1" t="s">
        <v>2134</v>
      </c>
      <c r="I934" s="1" t="s">
        <v>1182</v>
      </c>
      <c r="Q934" s="1" t="s">
        <v>1067</v>
      </c>
      <c r="R934" s="1" t="s">
        <v>1067</v>
      </c>
      <c r="S934" s="1" t="s">
        <v>1074</v>
      </c>
    </row>
    <row r="935" spans="1:19" x14ac:dyDescent="0.25">
      <c r="A935" s="1">
        <v>1920902720000</v>
      </c>
      <c r="B935" s="1" t="s">
        <v>1067</v>
      </c>
      <c r="C935" s="1" t="s">
        <v>2129</v>
      </c>
      <c r="E935" s="1" t="s">
        <v>1067</v>
      </c>
      <c r="F935" s="1">
        <v>1920902720000</v>
      </c>
      <c r="G935" s="1" t="s">
        <v>1075</v>
      </c>
      <c r="H935" s="1" t="s">
        <v>2135</v>
      </c>
      <c r="I935" s="1" t="s">
        <v>1182</v>
      </c>
      <c r="Q935" s="1" t="s">
        <v>1067</v>
      </c>
      <c r="R935" s="1" t="s">
        <v>1067</v>
      </c>
      <c r="S935" s="1" t="s">
        <v>1075</v>
      </c>
    </row>
    <row r="936" spans="1:19" x14ac:dyDescent="0.25">
      <c r="A936" s="1">
        <v>1920902720001</v>
      </c>
      <c r="B936" s="1" t="s">
        <v>1067</v>
      </c>
      <c r="C936" s="1" t="s">
        <v>2129</v>
      </c>
      <c r="E936" s="1" t="s">
        <v>1067</v>
      </c>
      <c r="F936" s="1">
        <v>1920902720001</v>
      </c>
      <c r="G936" s="1" t="s">
        <v>1076</v>
      </c>
      <c r="H936" s="1" t="s">
        <v>2136</v>
      </c>
      <c r="I936" s="1" t="s">
        <v>1182</v>
      </c>
      <c r="Q936" s="1" t="s">
        <v>1067</v>
      </c>
      <c r="R936" s="1" t="s">
        <v>1067</v>
      </c>
      <c r="S936" s="1" t="s">
        <v>1076</v>
      </c>
    </row>
    <row r="937" spans="1:19" x14ac:dyDescent="0.25">
      <c r="A937" s="1">
        <v>1920987000000</v>
      </c>
      <c r="B937" s="1" t="s">
        <v>1067</v>
      </c>
      <c r="C937" s="1" t="s">
        <v>2129</v>
      </c>
      <c r="E937" s="1" t="s">
        <v>1067</v>
      </c>
      <c r="F937" s="1">
        <v>1920987000000</v>
      </c>
      <c r="G937" s="1" t="s">
        <v>1077</v>
      </c>
      <c r="H937" s="1" t="s">
        <v>2137</v>
      </c>
      <c r="I937" s="1" t="s">
        <v>1204</v>
      </c>
      <c r="Q937" s="1" t="s">
        <v>1067</v>
      </c>
      <c r="R937" s="1" t="s">
        <v>1067</v>
      </c>
      <c r="S937" s="1" t="s">
        <v>1077</v>
      </c>
    </row>
    <row r="938" spans="1:19" x14ac:dyDescent="0.25">
      <c r="A938" s="1">
        <v>1920902730000</v>
      </c>
      <c r="B938" s="1" t="s">
        <v>1067</v>
      </c>
      <c r="C938" s="1" t="s">
        <v>2129</v>
      </c>
      <c r="E938" s="1" t="s">
        <v>1067</v>
      </c>
      <c r="F938" s="1">
        <v>1920902730000</v>
      </c>
      <c r="G938" s="1" t="s">
        <v>1078</v>
      </c>
      <c r="H938" s="1" t="s">
        <v>2138</v>
      </c>
      <c r="I938" s="1" t="s">
        <v>1182</v>
      </c>
      <c r="Q938" s="1" t="s">
        <v>1067</v>
      </c>
      <c r="R938" s="1" t="s">
        <v>1067</v>
      </c>
      <c r="S938" s="1" t="s">
        <v>1078</v>
      </c>
    </row>
    <row r="939" spans="1:19" x14ac:dyDescent="0.25">
      <c r="A939" s="1">
        <v>1920902740000</v>
      </c>
      <c r="B939" s="1" t="s">
        <v>1067</v>
      </c>
      <c r="C939" s="1" t="s">
        <v>2129</v>
      </c>
      <c r="E939" s="1" t="s">
        <v>1067</v>
      </c>
      <c r="F939" s="1">
        <v>1920902740000</v>
      </c>
      <c r="G939" s="1" t="s">
        <v>1079</v>
      </c>
      <c r="H939" s="1" t="s">
        <v>2139</v>
      </c>
      <c r="I939" s="1" t="s">
        <v>1182</v>
      </c>
      <c r="Q939" s="1" t="s">
        <v>1067</v>
      </c>
      <c r="R939" s="1" t="s">
        <v>1067</v>
      </c>
      <c r="S939" s="1" t="s">
        <v>1079</v>
      </c>
    </row>
    <row r="940" spans="1:19" x14ac:dyDescent="0.25">
      <c r="A940" s="1">
        <v>1920902750000</v>
      </c>
      <c r="B940" s="1" t="s">
        <v>1067</v>
      </c>
      <c r="C940" s="1" t="s">
        <v>2129</v>
      </c>
      <c r="E940" s="1" t="s">
        <v>1067</v>
      </c>
      <c r="F940" s="1">
        <v>1920902750000</v>
      </c>
      <c r="G940" s="1" t="s">
        <v>1080</v>
      </c>
      <c r="H940" s="1" t="s">
        <v>2140</v>
      </c>
      <c r="I940" s="1" t="s">
        <v>1182</v>
      </c>
      <c r="Q940" s="1" t="s">
        <v>1067</v>
      </c>
      <c r="R940" s="1" t="s">
        <v>1067</v>
      </c>
      <c r="S940" s="1" t="s">
        <v>1080</v>
      </c>
    </row>
    <row r="941" spans="1:19" x14ac:dyDescent="0.25">
      <c r="A941" s="1">
        <v>1920902760000</v>
      </c>
      <c r="B941" s="1" t="s">
        <v>1067</v>
      </c>
      <c r="C941" s="1" t="s">
        <v>2129</v>
      </c>
      <c r="E941" s="1" t="s">
        <v>1067</v>
      </c>
      <c r="F941" s="1">
        <v>1920902760000</v>
      </c>
      <c r="G941" s="1" t="s">
        <v>1081</v>
      </c>
      <c r="H941" s="1" t="s">
        <v>2141</v>
      </c>
      <c r="I941" s="1" t="s">
        <v>1182</v>
      </c>
      <c r="Q941" s="1" t="s">
        <v>1067</v>
      </c>
      <c r="R941" s="1" t="s">
        <v>1067</v>
      </c>
      <c r="S941" s="1" t="s">
        <v>1081</v>
      </c>
    </row>
    <row r="942" spans="1:19" x14ac:dyDescent="0.25">
      <c r="A942" s="1">
        <v>1920902770000</v>
      </c>
      <c r="B942" s="1" t="s">
        <v>1067</v>
      </c>
      <c r="C942" s="1" t="s">
        <v>2129</v>
      </c>
      <c r="E942" s="1" t="s">
        <v>1067</v>
      </c>
      <c r="F942" s="1">
        <v>1920902770000</v>
      </c>
      <c r="G942" s="1" t="s">
        <v>1082</v>
      </c>
      <c r="H942" s="1" t="s">
        <v>2142</v>
      </c>
      <c r="I942" s="1" t="s">
        <v>1182</v>
      </c>
      <c r="Q942" s="1" t="s">
        <v>1067</v>
      </c>
      <c r="R942" s="1" t="s">
        <v>1067</v>
      </c>
      <c r="S942" s="1" t="s">
        <v>1082</v>
      </c>
    </row>
    <row r="943" spans="1:19" x14ac:dyDescent="0.25">
      <c r="A943" s="1">
        <v>1920902790000</v>
      </c>
      <c r="B943" s="1" t="s">
        <v>1067</v>
      </c>
      <c r="C943" s="1" t="s">
        <v>2129</v>
      </c>
      <c r="E943" s="1" t="s">
        <v>1067</v>
      </c>
      <c r="F943" s="1">
        <v>1920902790000</v>
      </c>
      <c r="G943" s="1" t="s">
        <v>1083</v>
      </c>
      <c r="H943" s="1" t="s">
        <v>2143</v>
      </c>
      <c r="I943" s="1" t="s">
        <v>1182</v>
      </c>
      <c r="Q943" s="1" t="s">
        <v>1067</v>
      </c>
      <c r="R943" s="1" t="s">
        <v>1067</v>
      </c>
      <c r="S943" s="1" t="s">
        <v>1083</v>
      </c>
    </row>
    <row r="944" spans="1:19" x14ac:dyDescent="0.25">
      <c r="A944" s="1">
        <v>1920902800000</v>
      </c>
      <c r="B944" s="1" t="s">
        <v>1067</v>
      </c>
      <c r="C944" s="1" t="s">
        <v>2129</v>
      </c>
      <c r="E944" s="1" t="s">
        <v>1067</v>
      </c>
      <c r="F944" s="1">
        <v>1920902800000</v>
      </c>
      <c r="G944" s="1" t="s">
        <v>1084</v>
      </c>
      <c r="H944" s="1" t="s">
        <v>2144</v>
      </c>
      <c r="I944" s="1" t="s">
        <v>1182</v>
      </c>
      <c r="Q944" s="1" t="s">
        <v>1067</v>
      </c>
      <c r="R944" s="1" t="s">
        <v>1067</v>
      </c>
      <c r="S944" s="1" t="s">
        <v>1084</v>
      </c>
    </row>
    <row r="945" spans="1:19" x14ac:dyDescent="0.25">
      <c r="A945" s="1">
        <v>1920902810000</v>
      </c>
      <c r="B945" s="1" t="s">
        <v>1067</v>
      </c>
      <c r="C945" s="1" t="s">
        <v>2129</v>
      </c>
      <c r="E945" s="1" t="s">
        <v>1067</v>
      </c>
      <c r="F945" s="1">
        <v>1920902810000</v>
      </c>
      <c r="G945" s="1" t="s">
        <v>1085</v>
      </c>
      <c r="H945" s="1" t="s">
        <v>2145</v>
      </c>
      <c r="I945" s="1" t="s">
        <v>1182</v>
      </c>
      <c r="Q945" s="1" t="s">
        <v>1067</v>
      </c>
      <c r="R945" s="1" t="s">
        <v>1067</v>
      </c>
      <c r="S945" s="1" t="s">
        <v>1085</v>
      </c>
    </row>
    <row r="946" spans="1:19" x14ac:dyDescent="0.25">
      <c r="A946" s="1">
        <v>1920902820000</v>
      </c>
      <c r="B946" s="1" t="s">
        <v>1067</v>
      </c>
      <c r="C946" s="1" t="s">
        <v>2129</v>
      </c>
      <c r="E946" s="1" t="s">
        <v>1067</v>
      </c>
      <c r="F946" s="1">
        <v>1920902820000</v>
      </c>
      <c r="G946" s="1" t="s">
        <v>1086</v>
      </c>
      <c r="H946" s="1" t="s">
        <v>2146</v>
      </c>
      <c r="I946" s="1" t="s">
        <v>1182</v>
      </c>
      <c r="Q946" s="1" t="s">
        <v>1067</v>
      </c>
      <c r="R946" s="1" t="s">
        <v>1067</v>
      </c>
      <c r="S946" s="1" t="s">
        <v>1086</v>
      </c>
    </row>
    <row r="947" spans="1:19" x14ac:dyDescent="0.25">
      <c r="A947" s="1">
        <v>1920902830000</v>
      </c>
      <c r="B947" s="1" t="s">
        <v>1067</v>
      </c>
      <c r="C947" s="1" t="s">
        <v>2129</v>
      </c>
      <c r="E947" s="1" t="s">
        <v>1067</v>
      </c>
      <c r="F947" s="1">
        <v>1920902830000</v>
      </c>
      <c r="G947" s="1" t="s">
        <v>1087</v>
      </c>
      <c r="H947" s="1" t="s">
        <v>2147</v>
      </c>
      <c r="I947" s="1" t="s">
        <v>1182</v>
      </c>
      <c r="Q947" s="1" t="s">
        <v>1067</v>
      </c>
      <c r="R947" s="1" t="s">
        <v>1067</v>
      </c>
      <c r="S947" s="1" t="s">
        <v>1087</v>
      </c>
    </row>
    <row r="948" spans="1:19" x14ac:dyDescent="0.25">
      <c r="A948" s="1">
        <v>1920902840000</v>
      </c>
      <c r="B948" s="1" t="s">
        <v>1067</v>
      </c>
      <c r="C948" s="1" t="s">
        <v>2129</v>
      </c>
      <c r="E948" s="1" t="s">
        <v>1067</v>
      </c>
      <c r="F948" s="1">
        <v>1920902840000</v>
      </c>
      <c r="G948" s="1" t="s">
        <v>1088</v>
      </c>
      <c r="H948" s="1" t="s">
        <v>2148</v>
      </c>
      <c r="I948" s="1" t="s">
        <v>1182</v>
      </c>
      <c r="Q948" s="1" t="s">
        <v>1067</v>
      </c>
      <c r="R948" s="1" t="s">
        <v>1067</v>
      </c>
      <c r="S948" s="1" t="s">
        <v>1088</v>
      </c>
    </row>
    <row r="949" spans="1:19" x14ac:dyDescent="0.25">
      <c r="A949" s="1">
        <v>1920902850000</v>
      </c>
      <c r="B949" s="1" t="s">
        <v>1067</v>
      </c>
      <c r="C949" s="1" t="s">
        <v>2129</v>
      </c>
      <c r="E949" s="1" t="s">
        <v>1067</v>
      </c>
      <c r="F949" s="1">
        <v>1920902850000</v>
      </c>
      <c r="G949" s="1" t="s">
        <v>1089</v>
      </c>
      <c r="H949" s="1" t="s">
        <v>2149</v>
      </c>
      <c r="I949" s="1" t="s">
        <v>1182</v>
      </c>
      <c r="Q949" s="1" t="s">
        <v>1067</v>
      </c>
      <c r="R949" s="1" t="s">
        <v>1067</v>
      </c>
      <c r="S949" s="1" t="s">
        <v>1089</v>
      </c>
    </row>
    <row r="950" spans="1:19" x14ac:dyDescent="0.25">
      <c r="A950" s="1">
        <v>1920902860000</v>
      </c>
      <c r="B950" s="1" t="s">
        <v>1067</v>
      </c>
      <c r="C950" s="1" t="s">
        <v>2129</v>
      </c>
      <c r="E950" s="1" t="s">
        <v>1067</v>
      </c>
      <c r="F950" s="1">
        <v>1920902860000</v>
      </c>
      <c r="G950" s="1" t="s">
        <v>1090</v>
      </c>
      <c r="H950" s="1" t="s">
        <v>2150</v>
      </c>
      <c r="I950" s="1" t="s">
        <v>1182</v>
      </c>
      <c r="Q950" s="1" t="s">
        <v>1067</v>
      </c>
      <c r="R950" s="1" t="s">
        <v>1067</v>
      </c>
      <c r="S950" s="1" t="s">
        <v>1090</v>
      </c>
    </row>
    <row r="951" spans="1:19" x14ac:dyDescent="0.25">
      <c r="A951" s="1">
        <v>1920902860001</v>
      </c>
      <c r="B951" s="1" t="s">
        <v>1067</v>
      </c>
      <c r="C951" s="1" t="s">
        <v>2129</v>
      </c>
      <c r="E951" s="1" t="s">
        <v>1067</v>
      </c>
      <c r="F951" s="1">
        <v>1920902860001</v>
      </c>
      <c r="G951" s="1" t="s">
        <v>1091</v>
      </c>
      <c r="H951" s="1" t="s">
        <v>2151</v>
      </c>
      <c r="I951" s="1" t="s">
        <v>1182</v>
      </c>
      <c r="Q951" s="1" t="s">
        <v>1067</v>
      </c>
      <c r="R951" s="1" t="s">
        <v>1067</v>
      </c>
      <c r="S951" s="1" t="s">
        <v>1091</v>
      </c>
    </row>
    <row r="952" spans="1:19" x14ac:dyDescent="0.25">
      <c r="A952" s="1">
        <v>1920902870000</v>
      </c>
      <c r="B952" s="1" t="s">
        <v>1067</v>
      </c>
      <c r="C952" s="1" t="s">
        <v>2129</v>
      </c>
      <c r="E952" s="1" t="s">
        <v>1067</v>
      </c>
      <c r="F952" s="1">
        <v>1920902870000</v>
      </c>
      <c r="G952" s="1" t="s">
        <v>1092</v>
      </c>
      <c r="H952" s="1" t="s">
        <v>2152</v>
      </c>
      <c r="I952" s="1" t="s">
        <v>1182</v>
      </c>
      <c r="Q952" s="1" t="s">
        <v>1067</v>
      </c>
      <c r="R952" s="1" t="s">
        <v>1067</v>
      </c>
      <c r="S952" s="1" t="s">
        <v>1092</v>
      </c>
    </row>
    <row r="953" spans="1:19" x14ac:dyDescent="0.25">
      <c r="A953" s="1">
        <v>1920902880000</v>
      </c>
      <c r="B953" s="1" t="s">
        <v>1067</v>
      </c>
      <c r="C953" s="1" t="s">
        <v>2129</v>
      </c>
      <c r="E953" s="1" t="s">
        <v>1067</v>
      </c>
      <c r="F953" s="1">
        <v>1920902880000</v>
      </c>
      <c r="G953" s="1" t="s">
        <v>1093</v>
      </c>
      <c r="H953" s="1" t="s">
        <v>2153</v>
      </c>
      <c r="I953" s="1" t="s">
        <v>1182</v>
      </c>
      <c r="Q953" s="1" t="s">
        <v>1067</v>
      </c>
      <c r="R953" s="1" t="s">
        <v>1067</v>
      </c>
      <c r="S953" s="1" t="s">
        <v>1093</v>
      </c>
    </row>
    <row r="954" spans="1:19" x14ac:dyDescent="0.25">
      <c r="A954" s="1">
        <v>1920902890000</v>
      </c>
      <c r="B954" s="1" t="s">
        <v>1067</v>
      </c>
      <c r="C954" s="1" t="s">
        <v>2129</v>
      </c>
      <c r="E954" s="1" t="s">
        <v>1067</v>
      </c>
      <c r="F954" s="1">
        <v>1920902890000</v>
      </c>
      <c r="G954" s="1" t="s">
        <v>1094</v>
      </c>
      <c r="H954" s="1" t="s">
        <v>2154</v>
      </c>
      <c r="I954" s="1" t="s">
        <v>1182</v>
      </c>
      <c r="Q954" s="1" t="s">
        <v>1067</v>
      </c>
      <c r="R954" s="1" t="s">
        <v>1067</v>
      </c>
      <c r="S954" s="1" t="s">
        <v>1094</v>
      </c>
    </row>
    <row r="955" spans="1:19" x14ac:dyDescent="0.25">
      <c r="A955" s="1">
        <v>1920902900000</v>
      </c>
      <c r="B955" s="1" t="s">
        <v>1067</v>
      </c>
      <c r="C955" s="1" t="s">
        <v>2129</v>
      </c>
      <c r="E955" s="1" t="s">
        <v>1067</v>
      </c>
      <c r="F955" s="1">
        <v>1920902900000</v>
      </c>
      <c r="G955" s="1" t="s">
        <v>1095</v>
      </c>
      <c r="H955" s="1" t="s">
        <v>2155</v>
      </c>
      <c r="I955" s="1" t="s">
        <v>1182</v>
      </c>
      <c r="Q955" s="1" t="s">
        <v>1067</v>
      </c>
      <c r="R955" s="1" t="s">
        <v>1067</v>
      </c>
      <c r="S955" s="1" t="s">
        <v>1095</v>
      </c>
    </row>
    <row r="956" spans="1:19" x14ac:dyDescent="0.25">
      <c r="A956" s="1">
        <v>1920902900002</v>
      </c>
      <c r="B956" s="1" t="s">
        <v>1067</v>
      </c>
      <c r="C956" s="1" t="s">
        <v>2129</v>
      </c>
      <c r="E956" s="1" t="s">
        <v>1067</v>
      </c>
      <c r="F956" s="1">
        <v>1920902900002</v>
      </c>
      <c r="G956" s="1" t="s">
        <v>1096</v>
      </c>
      <c r="H956" s="1" t="s">
        <v>2156</v>
      </c>
      <c r="I956" s="1" t="s">
        <v>1182</v>
      </c>
      <c r="Q956" s="1" t="s">
        <v>1067</v>
      </c>
      <c r="R956" s="1" t="s">
        <v>1067</v>
      </c>
      <c r="S956" s="1" t="s">
        <v>1096</v>
      </c>
    </row>
    <row r="957" spans="1:19" x14ac:dyDescent="0.25">
      <c r="A957" s="1">
        <v>1920902900003</v>
      </c>
      <c r="B957" s="1" t="s">
        <v>1067</v>
      </c>
      <c r="C957" s="1" t="s">
        <v>2129</v>
      </c>
      <c r="E957" s="1" t="s">
        <v>1067</v>
      </c>
      <c r="F957" s="1">
        <v>1920902900003</v>
      </c>
      <c r="G957" s="1" t="s">
        <v>1097</v>
      </c>
      <c r="H957" s="1" t="s">
        <v>2157</v>
      </c>
      <c r="I957" s="1" t="s">
        <v>1182</v>
      </c>
      <c r="Q957" s="1" t="s">
        <v>1067</v>
      </c>
      <c r="R957" s="1" t="s">
        <v>1067</v>
      </c>
      <c r="S957" s="1" t="s">
        <v>1097</v>
      </c>
    </row>
    <row r="958" spans="1:19" x14ac:dyDescent="0.25">
      <c r="A958" s="1">
        <v>1920902910000</v>
      </c>
      <c r="B958" s="1" t="s">
        <v>1067</v>
      </c>
      <c r="C958" s="1" t="s">
        <v>2129</v>
      </c>
      <c r="E958" s="1" t="s">
        <v>1067</v>
      </c>
      <c r="F958" s="1">
        <v>1920902910000</v>
      </c>
      <c r="G958" s="1" t="s">
        <v>1098</v>
      </c>
      <c r="H958" s="1" t="s">
        <v>2158</v>
      </c>
      <c r="I958" s="1" t="s">
        <v>1182</v>
      </c>
      <c r="Q958" s="1" t="s">
        <v>1067</v>
      </c>
      <c r="R958" s="1" t="s">
        <v>1067</v>
      </c>
      <c r="S958" s="1" t="s">
        <v>1098</v>
      </c>
    </row>
    <row r="959" spans="1:19" x14ac:dyDescent="0.25">
      <c r="A959" s="1">
        <v>1920903050000</v>
      </c>
      <c r="B959" s="1" t="s">
        <v>1067</v>
      </c>
      <c r="C959" s="1" t="s">
        <v>2129</v>
      </c>
      <c r="E959" s="1" t="s">
        <v>1067</v>
      </c>
      <c r="F959" s="1">
        <v>1920903050000</v>
      </c>
      <c r="G959" s="1" t="s">
        <v>1099</v>
      </c>
      <c r="H959" s="1" t="s">
        <v>2159</v>
      </c>
      <c r="I959" s="1" t="s">
        <v>1182</v>
      </c>
      <c r="Q959" s="1" t="s">
        <v>1067</v>
      </c>
      <c r="R959" s="1" t="s">
        <v>1067</v>
      </c>
      <c r="S959" s="1" t="s">
        <v>1099</v>
      </c>
    </row>
    <row r="960" spans="1:19" x14ac:dyDescent="0.25">
      <c r="A960" s="1">
        <v>1920927570000</v>
      </c>
      <c r="B960" s="1" t="s">
        <v>1067</v>
      </c>
      <c r="C960" s="1" t="s">
        <v>2129</v>
      </c>
      <c r="E960" s="1" t="s">
        <v>1067</v>
      </c>
      <c r="F960" s="1">
        <v>1920927570000</v>
      </c>
      <c r="G960" s="1" t="s">
        <v>1100</v>
      </c>
      <c r="H960" s="1" t="s">
        <v>2160</v>
      </c>
      <c r="I960" s="1" t="s">
        <v>1182</v>
      </c>
      <c r="Q960" s="1" t="s">
        <v>1067</v>
      </c>
      <c r="R960" s="1" t="s">
        <v>1067</v>
      </c>
      <c r="S960" s="1" t="s">
        <v>1100</v>
      </c>
    </row>
    <row r="961" spans="1:19" x14ac:dyDescent="0.25">
      <c r="A961" s="1">
        <v>1920927920000</v>
      </c>
      <c r="B961" s="1" t="s">
        <v>1067</v>
      </c>
      <c r="C961" s="1" t="s">
        <v>2129</v>
      </c>
      <c r="E961" s="1" t="s">
        <v>1067</v>
      </c>
      <c r="F961" s="1">
        <v>1920927920000</v>
      </c>
      <c r="G961" s="1" t="s">
        <v>1101</v>
      </c>
      <c r="H961" s="1" t="s">
        <v>2161</v>
      </c>
      <c r="I961" s="1" t="s">
        <v>1182</v>
      </c>
      <c r="Q961" s="1" t="s">
        <v>1067</v>
      </c>
      <c r="R961" s="1" t="s">
        <v>1067</v>
      </c>
      <c r="S961" s="1" t="s">
        <v>1101</v>
      </c>
    </row>
    <row r="962" spans="1:19" x14ac:dyDescent="0.25">
      <c r="A962" s="1">
        <v>1920927950000</v>
      </c>
      <c r="B962" s="1" t="s">
        <v>1067</v>
      </c>
      <c r="C962" s="1" t="s">
        <v>2129</v>
      </c>
      <c r="E962" s="1" t="s">
        <v>1067</v>
      </c>
      <c r="F962" s="1">
        <v>1920927950000</v>
      </c>
      <c r="G962" s="1" t="s">
        <v>1102</v>
      </c>
      <c r="H962" s="1" t="s">
        <v>2162</v>
      </c>
      <c r="I962" s="1" t="s">
        <v>1182</v>
      </c>
      <c r="Q962" s="1" t="s">
        <v>1067</v>
      </c>
      <c r="R962" s="1" t="s">
        <v>1067</v>
      </c>
      <c r="S962" s="1" t="s">
        <v>1102</v>
      </c>
    </row>
    <row r="963" spans="1:19" x14ac:dyDescent="0.25">
      <c r="A963" s="1">
        <v>1920928850000</v>
      </c>
      <c r="B963" s="1" t="s">
        <v>1067</v>
      </c>
      <c r="C963" s="1" t="s">
        <v>2129</v>
      </c>
      <c r="E963" s="1" t="s">
        <v>1067</v>
      </c>
      <c r="F963" s="1">
        <v>1920928850000</v>
      </c>
      <c r="G963" s="1" t="s">
        <v>1103</v>
      </c>
      <c r="H963" s="1" t="s">
        <v>2163</v>
      </c>
      <c r="I963" s="1" t="s">
        <v>1182</v>
      </c>
      <c r="Q963" s="1" t="s">
        <v>1067</v>
      </c>
      <c r="R963" s="1" t="s">
        <v>1067</v>
      </c>
      <c r="S963" s="1" t="s">
        <v>1103</v>
      </c>
    </row>
    <row r="964" spans="1:19" x14ac:dyDescent="0.25">
      <c r="A964" s="1">
        <v>1920929620000</v>
      </c>
      <c r="B964" s="1" t="s">
        <v>1067</v>
      </c>
      <c r="C964" s="1" t="s">
        <v>2129</v>
      </c>
      <c r="E964" s="1" t="s">
        <v>1067</v>
      </c>
      <c r="F964" s="1">
        <v>1920929620000</v>
      </c>
      <c r="G964" s="1" t="s">
        <v>1104</v>
      </c>
      <c r="H964" s="1" t="s">
        <v>2164</v>
      </c>
      <c r="I964" s="1" t="s">
        <v>1182</v>
      </c>
      <c r="Q964" s="1" t="s">
        <v>1067</v>
      </c>
      <c r="R964" s="1" t="s">
        <v>1067</v>
      </c>
      <c r="S964" s="1" t="s">
        <v>1104</v>
      </c>
    </row>
    <row r="965" spans="1:19" x14ac:dyDescent="0.25">
      <c r="A965" s="1">
        <v>1920929620001</v>
      </c>
      <c r="B965" s="1" t="s">
        <v>1067</v>
      </c>
      <c r="C965" s="1" t="s">
        <v>2129</v>
      </c>
      <c r="E965" s="1" t="s">
        <v>1067</v>
      </c>
      <c r="F965" s="1">
        <v>1920929620001</v>
      </c>
      <c r="G965" s="1" t="s">
        <v>1105</v>
      </c>
      <c r="H965" s="1" t="s">
        <v>2165</v>
      </c>
      <c r="I965" s="1" t="s">
        <v>1182</v>
      </c>
      <c r="Q965" s="1" t="s">
        <v>1067</v>
      </c>
      <c r="R965" s="1" t="s">
        <v>1067</v>
      </c>
      <c r="S965" s="1" t="s">
        <v>1105</v>
      </c>
    </row>
    <row r="966" spans="1:19" x14ac:dyDescent="0.25">
      <c r="A966" s="1">
        <v>1920929780000</v>
      </c>
      <c r="B966" s="1" t="s">
        <v>1067</v>
      </c>
      <c r="C966" s="1" t="s">
        <v>2129</v>
      </c>
      <c r="E966" s="1" t="s">
        <v>1067</v>
      </c>
      <c r="F966" s="1">
        <v>1920929780000</v>
      </c>
      <c r="G966" s="1" t="s">
        <v>1106</v>
      </c>
      <c r="H966" s="1" t="s">
        <v>2166</v>
      </c>
      <c r="I966" s="1" t="s">
        <v>1182</v>
      </c>
      <c r="Q966" s="1" t="s">
        <v>1067</v>
      </c>
      <c r="R966" s="1" t="s">
        <v>1067</v>
      </c>
      <c r="S966" s="1" t="s">
        <v>1106</v>
      </c>
    </row>
    <row r="967" spans="1:19" x14ac:dyDescent="0.25">
      <c r="A967" s="1">
        <v>1920929820000</v>
      </c>
      <c r="B967" s="1" t="s">
        <v>1067</v>
      </c>
      <c r="C967" s="1" t="s">
        <v>2129</v>
      </c>
      <c r="E967" s="1" t="s">
        <v>1067</v>
      </c>
      <c r="F967" s="1">
        <v>1920929820000</v>
      </c>
      <c r="G967" s="1" t="s">
        <v>1107</v>
      </c>
      <c r="H967" s="1" t="s">
        <v>2167</v>
      </c>
      <c r="I967" s="1" t="s">
        <v>1182</v>
      </c>
      <c r="Q967" s="1" t="s">
        <v>1067</v>
      </c>
      <c r="R967" s="1" t="s">
        <v>1067</v>
      </c>
      <c r="S967" s="1" t="s">
        <v>1107</v>
      </c>
    </row>
    <row r="968" spans="1:19" x14ac:dyDescent="0.25">
      <c r="A968" s="1">
        <v>1920929820001</v>
      </c>
      <c r="B968" s="1" t="s">
        <v>1067</v>
      </c>
      <c r="C968" s="1" t="s">
        <v>2129</v>
      </c>
      <c r="E968" s="1" t="s">
        <v>1067</v>
      </c>
      <c r="F968" s="1">
        <v>1920929820001</v>
      </c>
      <c r="G968" s="1" t="s">
        <v>1108</v>
      </c>
      <c r="H968" s="1" t="s">
        <v>2168</v>
      </c>
      <c r="I968" s="1" t="s">
        <v>1182</v>
      </c>
      <c r="Q968" s="1" t="s">
        <v>1067</v>
      </c>
      <c r="R968" s="1" t="s">
        <v>1067</v>
      </c>
      <c r="S968" s="1" t="s">
        <v>1108</v>
      </c>
    </row>
    <row r="969" spans="1:19" x14ac:dyDescent="0.25">
      <c r="A969" s="1">
        <v>1920931510000</v>
      </c>
      <c r="B969" s="1" t="s">
        <v>1067</v>
      </c>
      <c r="C969" s="1" t="s">
        <v>2129</v>
      </c>
      <c r="E969" s="1" t="s">
        <v>1067</v>
      </c>
      <c r="F969" s="1">
        <v>1920931510000</v>
      </c>
      <c r="G969" s="1" t="s">
        <v>1109</v>
      </c>
      <c r="H969" s="1" t="s">
        <v>2169</v>
      </c>
      <c r="I969" s="1" t="s">
        <v>1182</v>
      </c>
      <c r="Q969" s="1" t="s">
        <v>1067</v>
      </c>
      <c r="R969" s="1" t="s">
        <v>1067</v>
      </c>
      <c r="S969" s="1" t="s">
        <v>1109</v>
      </c>
    </row>
    <row r="970" spans="1:19" x14ac:dyDescent="0.25">
      <c r="A970" s="1">
        <v>1920931520000</v>
      </c>
      <c r="B970" s="1" t="s">
        <v>1067</v>
      </c>
      <c r="C970" s="1" t="s">
        <v>2129</v>
      </c>
      <c r="E970" s="1" t="s">
        <v>1067</v>
      </c>
      <c r="F970" s="1">
        <v>1920931520000</v>
      </c>
      <c r="G970" s="1" t="s">
        <v>1110</v>
      </c>
      <c r="H970" s="1" t="s">
        <v>2170</v>
      </c>
      <c r="I970" s="1" t="s">
        <v>1182</v>
      </c>
      <c r="Q970" s="1" t="s">
        <v>1067</v>
      </c>
      <c r="R970" s="1" t="s">
        <v>1067</v>
      </c>
      <c r="S970" s="1" t="s">
        <v>1110</v>
      </c>
    </row>
    <row r="971" spans="1:19" x14ac:dyDescent="0.25">
      <c r="A971" s="1">
        <v>1920931530000</v>
      </c>
      <c r="B971" s="1" t="s">
        <v>1067</v>
      </c>
      <c r="C971" s="1" t="s">
        <v>2129</v>
      </c>
      <c r="E971" s="1" t="s">
        <v>1067</v>
      </c>
      <c r="F971" s="1">
        <v>1920931530000</v>
      </c>
      <c r="G971" s="1" t="s">
        <v>1111</v>
      </c>
      <c r="H971" s="1" t="s">
        <v>2171</v>
      </c>
      <c r="I971" s="1" t="s">
        <v>1182</v>
      </c>
      <c r="Q971" s="1" t="s">
        <v>1067</v>
      </c>
      <c r="R971" s="1" t="s">
        <v>1067</v>
      </c>
      <c r="S971" s="1" t="s">
        <v>1111</v>
      </c>
    </row>
    <row r="972" spans="1:19" x14ac:dyDescent="0.25">
      <c r="A972" s="1">
        <v>1920931710000</v>
      </c>
      <c r="B972" s="1" t="s">
        <v>1067</v>
      </c>
      <c r="C972" s="1" t="s">
        <v>2129</v>
      </c>
      <c r="E972" s="1" t="s">
        <v>1067</v>
      </c>
      <c r="F972" s="1">
        <v>1920931710000</v>
      </c>
      <c r="G972" s="1" t="s">
        <v>1112</v>
      </c>
      <c r="H972" s="1" t="s">
        <v>2172</v>
      </c>
      <c r="I972" s="1" t="s">
        <v>1182</v>
      </c>
      <c r="Q972" s="1" t="s">
        <v>1067</v>
      </c>
      <c r="R972" s="1" t="s">
        <v>1067</v>
      </c>
      <c r="S972" s="1" t="s">
        <v>1112</v>
      </c>
    </row>
    <row r="973" spans="1:19" x14ac:dyDescent="0.25">
      <c r="A973" s="1">
        <v>1920936760000</v>
      </c>
      <c r="B973" s="1" t="s">
        <v>1067</v>
      </c>
      <c r="C973" s="1" t="s">
        <v>2129</v>
      </c>
      <c r="E973" s="1" t="s">
        <v>1067</v>
      </c>
      <c r="F973" s="1">
        <v>1920936760000</v>
      </c>
      <c r="G973" s="1" t="s">
        <v>1113</v>
      </c>
      <c r="H973" s="1" t="s">
        <v>2173</v>
      </c>
      <c r="I973" s="1" t="s">
        <v>1182</v>
      </c>
      <c r="Q973" s="1" t="s">
        <v>1067</v>
      </c>
      <c r="R973" s="1" t="s">
        <v>1067</v>
      </c>
      <c r="S973" s="1" t="s">
        <v>1113</v>
      </c>
    </row>
    <row r="974" spans="1:19" x14ac:dyDescent="0.25">
      <c r="A974" s="1">
        <v>1920937990000</v>
      </c>
      <c r="B974" s="1" t="s">
        <v>1067</v>
      </c>
      <c r="C974" s="1" t="s">
        <v>2129</v>
      </c>
      <c r="E974" s="1" t="s">
        <v>1067</v>
      </c>
      <c r="F974" s="1">
        <v>1920937990000</v>
      </c>
      <c r="G974" s="1" t="s">
        <v>1114</v>
      </c>
      <c r="H974" s="1" t="s">
        <v>2174</v>
      </c>
      <c r="I974" s="1" t="s">
        <v>1182</v>
      </c>
      <c r="Q974" s="1" t="s">
        <v>1067</v>
      </c>
      <c r="R974" s="1" t="s">
        <v>1067</v>
      </c>
      <c r="S974" s="1" t="s">
        <v>1114</v>
      </c>
    </row>
    <row r="975" spans="1:19" x14ac:dyDescent="0.25">
      <c r="A975" s="1">
        <v>1920912850000</v>
      </c>
      <c r="B975" s="1" t="s">
        <v>1067</v>
      </c>
      <c r="C975" s="1" t="s">
        <v>2129</v>
      </c>
      <c r="E975" s="1" t="s">
        <v>1067</v>
      </c>
      <c r="F975" s="1">
        <v>1920912850000</v>
      </c>
      <c r="G975" s="1" t="s">
        <v>1115</v>
      </c>
      <c r="H975" s="1" t="s">
        <v>2175</v>
      </c>
      <c r="I975" s="1" t="s">
        <v>1182</v>
      </c>
      <c r="Q975" s="1" t="s">
        <v>1067</v>
      </c>
      <c r="R975" s="1" t="s">
        <v>1067</v>
      </c>
      <c r="S975" s="1" t="s">
        <v>1115</v>
      </c>
    </row>
    <row r="976" spans="1:19" x14ac:dyDescent="0.25">
      <c r="A976" s="1">
        <v>1920902830001</v>
      </c>
      <c r="B976" s="1" t="s">
        <v>1067</v>
      </c>
      <c r="C976" s="1" t="s">
        <v>2129</v>
      </c>
      <c r="E976" s="1" t="s">
        <v>1067</v>
      </c>
      <c r="F976" s="1">
        <v>1920902830001</v>
      </c>
      <c r="G976" s="1" t="s">
        <v>1116</v>
      </c>
      <c r="H976" s="1" t="s">
        <v>2176</v>
      </c>
      <c r="I976" s="1" t="s">
        <v>1182</v>
      </c>
      <c r="Q976" s="1" t="s">
        <v>1067</v>
      </c>
      <c r="R976" s="1" t="s">
        <v>1067</v>
      </c>
      <c r="S976" s="1" t="s">
        <v>1116</v>
      </c>
    </row>
    <row r="977" spans="1:19" x14ac:dyDescent="0.25">
      <c r="A977" s="1">
        <v>1920902720002</v>
      </c>
      <c r="B977" s="1" t="s">
        <v>1067</v>
      </c>
      <c r="C977" s="1" t="s">
        <v>2129</v>
      </c>
      <c r="E977" s="1" t="s">
        <v>1067</v>
      </c>
      <c r="F977" s="1">
        <v>1920902720002</v>
      </c>
      <c r="G977" s="1" t="s">
        <v>1117</v>
      </c>
      <c r="H977" s="1" t="s">
        <v>2177</v>
      </c>
      <c r="I977" s="1" t="s">
        <v>1182</v>
      </c>
      <c r="Q977" s="1" t="s">
        <v>1067</v>
      </c>
      <c r="R977" s="1" t="s">
        <v>1067</v>
      </c>
      <c r="S977" s="1" t="s">
        <v>1117</v>
      </c>
    </row>
    <row r="978" spans="1:19" x14ac:dyDescent="0.25">
      <c r="A978" s="1">
        <v>1920937900000</v>
      </c>
      <c r="B978" s="1" t="s">
        <v>1067</v>
      </c>
      <c r="C978" s="1" t="s">
        <v>2129</v>
      </c>
      <c r="E978" s="1" t="s">
        <v>1067</v>
      </c>
      <c r="F978" s="1">
        <v>1920937900000</v>
      </c>
      <c r="G978" s="1" t="s">
        <v>1118</v>
      </c>
      <c r="H978" s="1" t="s">
        <v>2178</v>
      </c>
      <c r="I978" s="1" t="s">
        <v>1182</v>
      </c>
      <c r="Q978" s="1" t="s">
        <v>1067</v>
      </c>
      <c r="R978" s="1" t="s">
        <v>1067</v>
      </c>
      <c r="S978" s="1" t="s">
        <v>1118</v>
      </c>
    </row>
    <row r="979" spans="1:19" x14ac:dyDescent="0.25">
      <c r="A979" s="1">
        <v>1920929960000</v>
      </c>
      <c r="B979" s="1" t="s">
        <v>1119</v>
      </c>
      <c r="C979" s="1" t="s">
        <v>2179</v>
      </c>
      <c r="E979" s="1" t="s">
        <v>1120</v>
      </c>
      <c r="F979" s="1">
        <v>1920929960000</v>
      </c>
      <c r="G979" s="1" t="s">
        <v>1121</v>
      </c>
      <c r="H979" s="1" t="s">
        <v>2180</v>
      </c>
      <c r="I979" s="1" t="s">
        <v>1182</v>
      </c>
      <c r="Q979" s="1" t="s">
        <v>1119</v>
      </c>
      <c r="R979" s="1" t="s">
        <v>1120</v>
      </c>
      <c r="S979" s="1" t="s">
        <v>1121</v>
      </c>
    </row>
    <row r="980" spans="1:19" x14ac:dyDescent="0.25">
      <c r="A980" s="1">
        <v>1920929960001</v>
      </c>
      <c r="B980" s="1" t="s">
        <v>1119</v>
      </c>
      <c r="C980" s="1" t="s">
        <v>2179</v>
      </c>
      <c r="E980" s="1" t="s">
        <v>1120</v>
      </c>
      <c r="F980" s="1">
        <v>1920929960001</v>
      </c>
      <c r="G980" s="1" t="s">
        <v>1122</v>
      </c>
      <c r="H980" s="1" t="s">
        <v>2181</v>
      </c>
      <c r="I980" s="1" t="s">
        <v>1182</v>
      </c>
      <c r="Q980" s="1" t="s">
        <v>1119</v>
      </c>
      <c r="R980" s="1" t="s">
        <v>1120</v>
      </c>
      <c r="S980" s="1" t="s">
        <v>1122</v>
      </c>
    </row>
    <row r="981" spans="1:19" x14ac:dyDescent="0.25">
      <c r="A981" s="1">
        <v>1921034000000</v>
      </c>
      <c r="B981" s="1" t="s">
        <v>1119</v>
      </c>
      <c r="C981" s="1" t="s">
        <v>2179</v>
      </c>
      <c r="E981" s="1" t="s">
        <v>1120</v>
      </c>
      <c r="F981" s="1">
        <v>1921034000000</v>
      </c>
      <c r="G981" s="1" t="s">
        <v>1123</v>
      </c>
      <c r="H981" s="1" t="s">
        <v>2182</v>
      </c>
      <c r="I981" s="1" t="s">
        <v>1204</v>
      </c>
      <c r="Q981" s="1" t="s">
        <v>1119</v>
      </c>
      <c r="R981" s="1" t="s">
        <v>1120</v>
      </c>
      <c r="S981" s="1" t="s">
        <v>1123</v>
      </c>
    </row>
    <row r="982" spans="1:19" x14ac:dyDescent="0.25">
      <c r="A982" s="1">
        <v>1920936010000</v>
      </c>
      <c r="B982" s="1" t="s">
        <v>1119</v>
      </c>
      <c r="C982" s="1" t="s">
        <v>2179</v>
      </c>
      <c r="E982" s="1" t="s">
        <v>1120</v>
      </c>
      <c r="F982" s="1">
        <v>1920936010000</v>
      </c>
      <c r="G982" s="1" t="s">
        <v>1124</v>
      </c>
      <c r="H982" s="1" t="s">
        <v>2183</v>
      </c>
      <c r="I982" s="1" t="s">
        <v>1182</v>
      </c>
      <c r="Q982" s="1" t="s">
        <v>1119</v>
      </c>
      <c r="R982" s="1" t="s">
        <v>1120</v>
      </c>
      <c r="S982" s="1" t="s">
        <v>1124</v>
      </c>
    </row>
    <row r="983" spans="1:19" x14ac:dyDescent="0.25">
      <c r="A983" s="1">
        <v>1920936020000</v>
      </c>
      <c r="B983" s="1" t="s">
        <v>1119</v>
      </c>
      <c r="C983" s="1" t="s">
        <v>2179</v>
      </c>
      <c r="E983" s="1" t="s">
        <v>1125</v>
      </c>
      <c r="F983" s="1">
        <v>1920936020000</v>
      </c>
      <c r="G983" s="1" t="s">
        <v>1126</v>
      </c>
      <c r="H983" s="1" t="s">
        <v>2184</v>
      </c>
      <c r="I983" s="1" t="s">
        <v>1182</v>
      </c>
      <c r="Q983" s="1" t="s">
        <v>1119</v>
      </c>
      <c r="R983" s="1" t="s">
        <v>1125</v>
      </c>
      <c r="S983" s="1" t="s">
        <v>1126</v>
      </c>
    </row>
    <row r="984" spans="1:19" x14ac:dyDescent="0.25">
      <c r="A984" s="1">
        <v>1921035000000</v>
      </c>
      <c r="B984" s="1" t="s">
        <v>1119</v>
      </c>
      <c r="C984" s="1" t="s">
        <v>2179</v>
      </c>
      <c r="E984" s="1" t="s">
        <v>1125</v>
      </c>
      <c r="F984" s="1">
        <v>1921035000000</v>
      </c>
      <c r="G984" s="1" t="s">
        <v>1127</v>
      </c>
      <c r="H984" s="1" t="s">
        <v>2185</v>
      </c>
      <c r="I984" s="1" t="s">
        <v>1204</v>
      </c>
      <c r="Q984" s="1" t="s">
        <v>1119</v>
      </c>
      <c r="R984" s="1" t="s">
        <v>1125</v>
      </c>
      <c r="S984" s="1" t="s">
        <v>1127</v>
      </c>
    </row>
    <row r="985" spans="1:19" x14ac:dyDescent="0.25">
      <c r="A985" s="1">
        <v>1920943000000</v>
      </c>
      <c r="B985" s="1" t="s">
        <v>1119</v>
      </c>
      <c r="C985" s="1" t="s">
        <v>2179</v>
      </c>
      <c r="E985" s="1" t="s">
        <v>1125</v>
      </c>
      <c r="F985" s="1">
        <v>1920943000000</v>
      </c>
      <c r="G985" s="1" t="s">
        <v>1128</v>
      </c>
      <c r="H985" s="1" t="s">
        <v>2186</v>
      </c>
      <c r="I985" s="1" t="s">
        <v>1182</v>
      </c>
      <c r="Q985" s="1" t="s">
        <v>1119</v>
      </c>
      <c r="R985" s="1" t="s">
        <v>1125</v>
      </c>
      <c r="S985" s="1" t="s">
        <v>1128</v>
      </c>
    </row>
    <row r="986" spans="1:19" x14ac:dyDescent="0.25">
      <c r="A986" s="1">
        <v>1920936790000</v>
      </c>
      <c r="B986" s="1" t="s">
        <v>1119</v>
      </c>
      <c r="C986" s="1" t="s">
        <v>2179</v>
      </c>
      <c r="E986" s="1" t="s">
        <v>1129</v>
      </c>
      <c r="F986" s="1">
        <v>1920936790000</v>
      </c>
      <c r="G986" s="1" t="s">
        <v>1130</v>
      </c>
      <c r="H986" s="1" t="s">
        <v>2187</v>
      </c>
      <c r="I986" s="1" t="s">
        <v>1182</v>
      </c>
      <c r="Q986" s="1" t="s">
        <v>1119</v>
      </c>
      <c r="R986" s="1" t="s">
        <v>1129</v>
      </c>
      <c r="S986" s="1" t="s">
        <v>1130</v>
      </c>
    </row>
    <row r="987" spans="1:19" x14ac:dyDescent="0.25">
      <c r="A987" s="1">
        <v>1920936790001</v>
      </c>
      <c r="B987" s="1" t="s">
        <v>1119</v>
      </c>
      <c r="C987" s="1" t="s">
        <v>2179</v>
      </c>
      <c r="E987" s="1" t="s">
        <v>1129</v>
      </c>
      <c r="F987" s="1">
        <v>1920936790001</v>
      </c>
      <c r="G987" s="1" t="s">
        <v>1131</v>
      </c>
      <c r="H987" s="1" t="s">
        <v>2188</v>
      </c>
      <c r="I987" s="1" t="s">
        <v>1182</v>
      </c>
      <c r="Q987" s="1" t="s">
        <v>1119</v>
      </c>
      <c r="R987" s="1" t="s">
        <v>1129</v>
      </c>
      <c r="S987" s="1" t="s">
        <v>1131</v>
      </c>
    </row>
    <row r="988" spans="1:19" x14ac:dyDescent="0.25">
      <c r="A988" s="1">
        <v>1920936790003</v>
      </c>
      <c r="B988" s="1" t="s">
        <v>1119</v>
      </c>
      <c r="C988" s="1" t="s">
        <v>2179</v>
      </c>
      <c r="E988" s="1" t="s">
        <v>1129</v>
      </c>
      <c r="F988" s="1">
        <v>1920936790003</v>
      </c>
      <c r="G988" s="1" t="s">
        <v>1132</v>
      </c>
      <c r="H988" s="1" t="s">
        <v>2189</v>
      </c>
      <c r="I988" s="1" t="s">
        <v>1182</v>
      </c>
      <c r="Q988" s="1" t="s">
        <v>1119</v>
      </c>
      <c r="R988" s="1" t="s">
        <v>1129</v>
      </c>
      <c r="S988" s="1" t="s">
        <v>1132</v>
      </c>
    </row>
    <row r="989" spans="1:19" x14ac:dyDescent="0.25">
      <c r="A989" s="1">
        <v>1921036000000</v>
      </c>
      <c r="B989" s="1" t="s">
        <v>1119</v>
      </c>
      <c r="C989" s="1" t="s">
        <v>2179</v>
      </c>
      <c r="E989" s="1" t="s">
        <v>1129</v>
      </c>
      <c r="F989" s="1">
        <v>1921036000000</v>
      </c>
      <c r="G989" s="1" t="s">
        <v>1133</v>
      </c>
      <c r="H989" s="1" t="s">
        <v>2190</v>
      </c>
      <c r="I989" s="1" t="s">
        <v>1204</v>
      </c>
      <c r="Q989" s="1" t="s">
        <v>1119</v>
      </c>
      <c r="R989" s="1" t="s">
        <v>1129</v>
      </c>
      <c r="S989" s="1" t="s">
        <v>1133</v>
      </c>
    </row>
    <row r="990" spans="1:19" x14ac:dyDescent="0.25">
      <c r="A990" s="1">
        <v>1920936740000</v>
      </c>
      <c r="B990" s="1" t="s">
        <v>1119</v>
      </c>
      <c r="C990" s="1" t="s">
        <v>2179</v>
      </c>
      <c r="E990" s="1" t="s">
        <v>1134</v>
      </c>
      <c r="F990" s="1">
        <v>1920936740000</v>
      </c>
      <c r="G990" s="1" t="s">
        <v>1135</v>
      </c>
      <c r="H990" s="1" t="s">
        <v>2191</v>
      </c>
      <c r="I990" s="1" t="s">
        <v>1182</v>
      </c>
      <c r="Q990" s="1" t="s">
        <v>1119</v>
      </c>
      <c r="R990" s="1" t="s">
        <v>1134</v>
      </c>
      <c r="S990" s="1" t="s">
        <v>1135</v>
      </c>
    </row>
    <row r="991" spans="1:19" x14ac:dyDescent="0.25">
      <c r="A991" s="1">
        <v>1920937450000</v>
      </c>
      <c r="B991" s="1" t="s">
        <v>1119</v>
      </c>
      <c r="C991" s="1" t="s">
        <v>2179</v>
      </c>
      <c r="E991" s="1" t="s">
        <v>1134</v>
      </c>
      <c r="F991" s="1">
        <v>1920937450000</v>
      </c>
      <c r="G991" s="1" t="s">
        <v>1136</v>
      </c>
      <c r="H991" s="1" t="s">
        <v>2192</v>
      </c>
      <c r="I991" s="1" t="s">
        <v>1182</v>
      </c>
      <c r="Q991" s="1" t="s">
        <v>1119</v>
      </c>
      <c r="R991" s="1" t="s">
        <v>1134</v>
      </c>
      <c r="S991" s="1" t="s">
        <v>1136</v>
      </c>
    </row>
    <row r="992" spans="1:19" x14ac:dyDescent="0.25">
      <c r="A992" s="1">
        <v>1921037000000</v>
      </c>
      <c r="B992" s="1" t="s">
        <v>1119</v>
      </c>
      <c r="C992" s="1" t="s">
        <v>2179</v>
      </c>
      <c r="E992" s="1" t="s">
        <v>1134</v>
      </c>
      <c r="F992" s="1">
        <v>1921037000000</v>
      </c>
      <c r="G992" s="1" t="s">
        <v>1137</v>
      </c>
      <c r="H992" s="1" t="s">
        <v>2193</v>
      </c>
      <c r="I992" s="1" t="s">
        <v>1204</v>
      </c>
      <c r="Q992" s="1" t="s">
        <v>1119</v>
      </c>
      <c r="R992" s="1" t="s">
        <v>1134</v>
      </c>
      <c r="S992" s="1" t="s">
        <v>1137</v>
      </c>
    </row>
    <row r="993" spans="1:19" x14ac:dyDescent="0.25">
      <c r="A993" s="1">
        <v>1920911000000</v>
      </c>
      <c r="B993" s="1" t="s">
        <v>1119</v>
      </c>
      <c r="C993" s="1" t="s">
        <v>2179</v>
      </c>
      <c r="E993" s="1" t="s">
        <v>1119</v>
      </c>
      <c r="F993" s="1">
        <v>1920911000000</v>
      </c>
      <c r="G993" s="1" t="s">
        <v>1138</v>
      </c>
      <c r="H993" s="1" t="s">
        <v>2194</v>
      </c>
      <c r="I993" s="1" t="s">
        <v>1182</v>
      </c>
      <c r="Q993" s="1" t="s">
        <v>1119</v>
      </c>
      <c r="R993" s="1" t="s">
        <v>1119</v>
      </c>
      <c r="S993" s="1" t="s">
        <v>1138</v>
      </c>
    </row>
    <row r="994" spans="1:19" x14ac:dyDescent="0.25">
      <c r="A994" s="1">
        <v>1921038000000</v>
      </c>
      <c r="B994" s="1" t="s">
        <v>1119</v>
      </c>
      <c r="C994" s="1" t="s">
        <v>2179</v>
      </c>
      <c r="E994" s="1" t="s">
        <v>1119</v>
      </c>
      <c r="F994" s="1">
        <v>1921038000000</v>
      </c>
      <c r="G994" s="1" t="s">
        <v>1139</v>
      </c>
      <c r="H994" s="1" t="s">
        <v>2195</v>
      </c>
      <c r="I994" s="1" t="s">
        <v>1204</v>
      </c>
      <c r="Q994" s="1" t="s">
        <v>1119</v>
      </c>
      <c r="R994" s="1" t="s">
        <v>1119</v>
      </c>
      <c r="S994" s="1" t="s">
        <v>1139</v>
      </c>
    </row>
    <row r="995" spans="1:19" x14ac:dyDescent="0.25">
      <c r="A995" s="1">
        <v>1920911060000</v>
      </c>
      <c r="B995" s="1" t="s">
        <v>1119</v>
      </c>
      <c r="C995" s="1" t="s">
        <v>2179</v>
      </c>
      <c r="E995" s="1" t="s">
        <v>1119</v>
      </c>
      <c r="F995" s="1">
        <v>1920911060000</v>
      </c>
      <c r="G995" s="1" t="s">
        <v>1140</v>
      </c>
      <c r="H995" s="1" t="s">
        <v>2196</v>
      </c>
      <c r="I995" s="1" t="s">
        <v>1182</v>
      </c>
      <c r="Q995" s="1" t="s">
        <v>1119</v>
      </c>
      <c r="R995" s="1" t="s">
        <v>1119</v>
      </c>
      <c r="S995" s="1" t="s">
        <v>1140</v>
      </c>
    </row>
    <row r="996" spans="1:19" x14ac:dyDescent="0.25">
      <c r="A996" s="1">
        <v>1920927690000</v>
      </c>
      <c r="B996" s="1" t="s">
        <v>1119</v>
      </c>
      <c r="C996" s="1" t="s">
        <v>2179</v>
      </c>
      <c r="E996" s="1" t="s">
        <v>1119</v>
      </c>
      <c r="F996" s="1">
        <v>1920927690000</v>
      </c>
      <c r="G996" s="1" t="s">
        <v>1141</v>
      </c>
      <c r="H996" s="1" t="s">
        <v>2197</v>
      </c>
      <c r="I996" s="1" t="s">
        <v>1182</v>
      </c>
      <c r="Q996" s="1" t="s">
        <v>1119</v>
      </c>
      <c r="R996" s="1" t="s">
        <v>1119</v>
      </c>
      <c r="S996" s="1" t="s">
        <v>1141</v>
      </c>
    </row>
    <row r="997" spans="1:19" x14ac:dyDescent="0.25">
      <c r="A997" s="1">
        <v>1920937140000</v>
      </c>
      <c r="B997" s="1" t="s">
        <v>1119</v>
      </c>
      <c r="C997" s="1" t="s">
        <v>2179</v>
      </c>
      <c r="E997" s="1" t="s">
        <v>1119</v>
      </c>
      <c r="F997" s="1">
        <v>1920937140000</v>
      </c>
      <c r="G997" s="1" t="s">
        <v>1142</v>
      </c>
      <c r="H997" s="1" t="s">
        <v>2198</v>
      </c>
      <c r="I997" s="1" t="s">
        <v>1182</v>
      </c>
      <c r="Q997" s="1" t="s">
        <v>1119</v>
      </c>
      <c r="R997" s="1" t="s">
        <v>1119</v>
      </c>
      <c r="S997" s="1" t="s">
        <v>1142</v>
      </c>
    </row>
    <row r="998" spans="1:19" x14ac:dyDescent="0.25">
      <c r="A998" s="1">
        <v>1920937190000</v>
      </c>
      <c r="B998" s="1" t="s">
        <v>1143</v>
      </c>
      <c r="C998" s="1" t="s">
        <v>2199</v>
      </c>
      <c r="E998" s="1" t="s">
        <v>1144</v>
      </c>
      <c r="F998" s="1">
        <v>1920937190000</v>
      </c>
      <c r="G998" s="1" t="s">
        <v>1145</v>
      </c>
      <c r="H998" s="1" t="s">
        <v>2200</v>
      </c>
      <c r="I998" s="1" t="s">
        <v>1182</v>
      </c>
      <c r="Q998" s="1" t="s">
        <v>1143</v>
      </c>
      <c r="R998" s="1" t="s">
        <v>1144</v>
      </c>
      <c r="S998" s="1" t="s">
        <v>1145</v>
      </c>
    </row>
    <row r="999" spans="1:19" x14ac:dyDescent="0.25">
      <c r="A999" s="1">
        <v>1920937190001</v>
      </c>
      <c r="B999" s="1" t="s">
        <v>1143</v>
      </c>
      <c r="C999" s="1" t="s">
        <v>2199</v>
      </c>
      <c r="E999" s="1" t="s">
        <v>1144</v>
      </c>
      <c r="F999" s="1">
        <v>1920937190001</v>
      </c>
      <c r="G999" s="1" t="s">
        <v>1146</v>
      </c>
      <c r="H999" s="1" t="s">
        <v>2201</v>
      </c>
      <c r="I999" s="1" t="s">
        <v>1182</v>
      </c>
      <c r="Q999" s="1" t="s">
        <v>1143</v>
      </c>
      <c r="R999" s="1" t="s">
        <v>1144</v>
      </c>
      <c r="S999" s="1" t="s">
        <v>1146</v>
      </c>
    </row>
    <row r="1000" spans="1:19" x14ac:dyDescent="0.25">
      <c r="A1000" s="1">
        <v>1921054000000</v>
      </c>
      <c r="B1000" s="1" t="s">
        <v>1143</v>
      </c>
      <c r="C1000" s="1" t="s">
        <v>2199</v>
      </c>
      <c r="E1000" s="1" t="s">
        <v>1144</v>
      </c>
      <c r="F1000" s="1">
        <v>1921054000000</v>
      </c>
      <c r="G1000" s="1" t="s">
        <v>1147</v>
      </c>
      <c r="H1000" s="1" t="s">
        <v>2202</v>
      </c>
      <c r="I1000" s="1" t="s">
        <v>1204</v>
      </c>
      <c r="Q1000" s="1" t="s">
        <v>1143</v>
      </c>
      <c r="R1000" s="1" t="s">
        <v>1144</v>
      </c>
      <c r="S1000" s="1" t="s">
        <v>1147</v>
      </c>
    </row>
    <row r="1001" spans="1:19" x14ac:dyDescent="0.25">
      <c r="A1001" s="1">
        <v>1920937000000</v>
      </c>
      <c r="B1001" s="1" t="s">
        <v>1143</v>
      </c>
      <c r="C1001" s="1" t="s">
        <v>2199</v>
      </c>
      <c r="E1001" s="1" t="s">
        <v>1148</v>
      </c>
      <c r="F1001" s="1">
        <v>1920937000000</v>
      </c>
      <c r="G1001" s="1" t="s">
        <v>1149</v>
      </c>
      <c r="H1001" s="1" t="s">
        <v>2203</v>
      </c>
      <c r="I1001" s="1" t="s">
        <v>1182</v>
      </c>
      <c r="Q1001" s="1" t="s">
        <v>1143</v>
      </c>
      <c r="R1001" s="1" t="s">
        <v>1148</v>
      </c>
      <c r="S1001" s="1" t="s">
        <v>1149</v>
      </c>
    </row>
    <row r="1002" spans="1:19" x14ac:dyDescent="0.25">
      <c r="A1002" s="1">
        <v>1921055000000</v>
      </c>
      <c r="B1002" s="1" t="s">
        <v>1143</v>
      </c>
      <c r="C1002" s="1" t="s">
        <v>2199</v>
      </c>
      <c r="E1002" s="1" t="s">
        <v>1148</v>
      </c>
      <c r="F1002" s="1">
        <v>1921055000000</v>
      </c>
      <c r="G1002" s="1" t="s">
        <v>1150</v>
      </c>
      <c r="H1002" s="1" t="s">
        <v>2204</v>
      </c>
      <c r="I1002" s="1" t="s">
        <v>1204</v>
      </c>
      <c r="Q1002" s="1" t="s">
        <v>1143</v>
      </c>
      <c r="R1002" s="1" t="s">
        <v>1148</v>
      </c>
      <c r="S1002" s="1" t="s">
        <v>1150</v>
      </c>
    </row>
    <row r="1003" spans="1:19" x14ac:dyDescent="0.25">
      <c r="A1003" s="1">
        <v>1920936410000</v>
      </c>
      <c r="B1003" s="1" t="s">
        <v>1143</v>
      </c>
      <c r="C1003" s="1" t="s">
        <v>2199</v>
      </c>
      <c r="E1003" s="1" t="s">
        <v>1151</v>
      </c>
      <c r="F1003" s="1">
        <v>1920936410000</v>
      </c>
      <c r="G1003" s="1" t="s">
        <v>1152</v>
      </c>
      <c r="H1003" s="1" t="s">
        <v>2205</v>
      </c>
      <c r="I1003" s="1" t="s">
        <v>1182</v>
      </c>
      <c r="Q1003" s="1" t="s">
        <v>1143</v>
      </c>
      <c r="R1003" s="1" t="s">
        <v>1151</v>
      </c>
      <c r="S1003" s="1" t="s">
        <v>1152</v>
      </c>
    </row>
    <row r="1004" spans="1:19" x14ac:dyDescent="0.25">
      <c r="A1004" s="1">
        <v>1921056000000</v>
      </c>
      <c r="B1004" s="1" t="s">
        <v>1143</v>
      </c>
      <c r="C1004" s="1" t="s">
        <v>2199</v>
      </c>
      <c r="E1004" s="1" t="s">
        <v>1151</v>
      </c>
      <c r="F1004" s="1">
        <v>1921056000000</v>
      </c>
      <c r="G1004" s="1" t="s">
        <v>1153</v>
      </c>
      <c r="H1004" s="1" t="s">
        <v>2206</v>
      </c>
      <c r="I1004" s="1" t="s">
        <v>1204</v>
      </c>
      <c r="Q1004" s="1" t="s">
        <v>1143</v>
      </c>
      <c r="R1004" s="1" t="s">
        <v>1151</v>
      </c>
      <c r="S1004" s="1" t="s">
        <v>1153</v>
      </c>
    </row>
    <row r="1005" spans="1:19" x14ac:dyDescent="0.25">
      <c r="A1005" s="1">
        <v>1920912810000</v>
      </c>
      <c r="B1005" s="1" t="s">
        <v>1143</v>
      </c>
      <c r="C1005" s="1" t="s">
        <v>2199</v>
      </c>
      <c r="E1005" s="1" t="s">
        <v>1154</v>
      </c>
      <c r="F1005" s="1">
        <v>1920912810000</v>
      </c>
      <c r="G1005" s="1" t="s">
        <v>1155</v>
      </c>
      <c r="H1005" s="1" t="s">
        <v>2207</v>
      </c>
      <c r="I1005" s="1" t="s">
        <v>1182</v>
      </c>
      <c r="Q1005" s="1" t="s">
        <v>1143</v>
      </c>
      <c r="R1005" s="1" t="s">
        <v>1154</v>
      </c>
      <c r="S1005" s="1" t="s">
        <v>1155</v>
      </c>
    </row>
    <row r="1006" spans="1:19" x14ac:dyDescent="0.25">
      <c r="A1006" s="1">
        <v>1921057000000</v>
      </c>
      <c r="B1006" s="1" t="s">
        <v>1143</v>
      </c>
      <c r="C1006" s="1" t="s">
        <v>2199</v>
      </c>
      <c r="E1006" s="1" t="s">
        <v>1154</v>
      </c>
      <c r="F1006" s="1">
        <v>1921057000000</v>
      </c>
      <c r="G1006" s="1" t="s">
        <v>1156</v>
      </c>
      <c r="H1006" s="1" t="s">
        <v>2208</v>
      </c>
      <c r="I1006" s="1" t="s">
        <v>1204</v>
      </c>
      <c r="Q1006" s="1" t="s">
        <v>1143</v>
      </c>
      <c r="R1006" s="1" t="s">
        <v>1154</v>
      </c>
      <c r="S1006" s="1" t="s">
        <v>1156</v>
      </c>
    </row>
    <row r="1007" spans="1:19" x14ac:dyDescent="0.25">
      <c r="A1007" s="1">
        <v>1920907550000</v>
      </c>
      <c r="B1007" s="1" t="s">
        <v>1143</v>
      </c>
      <c r="C1007" s="1" t="s">
        <v>2199</v>
      </c>
      <c r="E1007" s="1" t="s">
        <v>1157</v>
      </c>
      <c r="F1007" s="1">
        <v>1920907550000</v>
      </c>
      <c r="G1007" s="1" t="s">
        <v>1158</v>
      </c>
      <c r="H1007" s="1" t="s">
        <v>2209</v>
      </c>
      <c r="I1007" s="1" t="s">
        <v>1182</v>
      </c>
      <c r="Q1007" s="1" t="s">
        <v>1143</v>
      </c>
      <c r="R1007" s="1" t="s">
        <v>1157</v>
      </c>
      <c r="S1007" s="1" t="s">
        <v>1158</v>
      </c>
    </row>
    <row r="1008" spans="1:19" x14ac:dyDescent="0.25">
      <c r="A1008" s="1">
        <v>1920907550002</v>
      </c>
      <c r="B1008" s="1" t="s">
        <v>1143</v>
      </c>
      <c r="C1008" s="1" t="s">
        <v>2199</v>
      </c>
      <c r="E1008" s="1" t="s">
        <v>1157</v>
      </c>
      <c r="F1008" s="1">
        <v>1920907550002</v>
      </c>
      <c r="G1008" s="1" t="s">
        <v>1159</v>
      </c>
      <c r="H1008" s="1" t="s">
        <v>2210</v>
      </c>
      <c r="I1008" s="1" t="s">
        <v>1182</v>
      </c>
      <c r="Q1008" s="1" t="s">
        <v>1143</v>
      </c>
      <c r="R1008" s="1" t="s">
        <v>1157</v>
      </c>
      <c r="S1008" s="1" t="s">
        <v>1159</v>
      </c>
    </row>
    <row r="1009" spans="1:19" x14ac:dyDescent="0.25">
      <c r="A1009" s="1">
        <v>1920907550003</v>
      </c>
      <c r="B1009" s="1" t="s">
        <v>1143</v>
      </c>
      <c r="C1009" s="1" t="s">
        <v>2199</v>
      </c>
      <c r="E1009" s="1" t="s">
        <v>1157</v>
      </c>
      <c r="F1009" s="1">
        <v>1920907550003</v>
      </c>
      <c r="G1009" s="1" t="s">
        <v>1160</v>
      </c>
      <c r="H1009" s="1" t="s">
        <v>2211</v>
      </c>
      <c r="I1009" s="1" t="s">
        <v>1182</v>
      </c>
      <c r="Q1009" s="1" t="s">
        <v>1143</v>
      </c>
      <c r="R1009" s="1" t="s">
        <v>1157</v>
      </c>
      <c r="S1009" s="1" t="s">
        <v>1160</v>
      </c>
    </row>
    <row r="1010" spans="1:19" x14ac:dyDescent="0.25">
      <c r="A1010" s="1">
        <v>1921058000000</v>
      </c>
      <c r="B1010" s="1" t="s">
        <v>1143</v>
      </c>
      <c r="C1010" s="1" t="s">
        <v>2199</v>
      </c>
      <c r="E1010" s="1" t="s">
        <v>1157</v>
      </c>
      <c r="F1010" s="1">
        <v>1921058000000</v>
      </c>
      <c r="G1010" s="1" t="s">
        <v>1161</v>
      </c>
      <c r="H1010" s="1" t="s">
        <v>2212</v>
      </c>
      <c r="I1010" s="1" t="s">
        <v>1204</v>
      </c>
      <c r="Q1010" s="1" t="s">
        <v>1143</v>
      </c>
      <c r="R1010" s="1" t="s">
        <v>1157</v>
      </c>
      <c r="S1010" s="1" t="s">
        <v>1161</v>
      </c>
    </row>
    <row r="1011" spans="1:19" x14ac:dyDescent="0.25">
      <c r="A1011" s="1">
        <v>1920936260000</v>
      </c>
      <c r="B1011" s="1" t="s">
        <v>1143</v>
      </c>
      <c r="C1011" s="1" t="s">
        <v>2199</v>
      </c>
      <c r="E1011" s="1" t="s">
        <v>1162</v>
      </c>
      <c r="F1011" s="1">
        <v>1920936260000</v>
      </c>
      <c r="G1011" s="1" t="s">
        <v>1003</v>
      </c>
      <c r="H1011" s="1" t="s">
        <v>2213</v>
      </c>
      <c r="I1011" s="1" t="s">
        <v>1182</v>
      </c>
      <c r="Q1011" s="1" t="s">
        <v>1143</v>
      </c>
      <c r="R1011" s="1" t="s">
        <v>1162</v>
      </c>
      <c r="S1011" s="1" t="s">
        <v>1003</v>
      </c>
    </row>
    <row r="1012" spans="1:19" x14ac:dyDescent="0.25">
      <c r="A1012" s="1">
        <v>1920928180000</v>
      </c>
      <c r="B1012" s="1" t="s">
        <v>1143</v>
      </c>
      <c r="C1012" s="1" t="s">
        <v>2199</v>
      </c>
      <c r="E1012" s="1" t="s">
        <v>1163</v>
      </c>
      <c r="F1012" s="1">
        <v>1920928180000</v>
      </c>
      <c r="G1012" s="1" t="s">
        <v>1164</v>
      </c>
      <c r="H1012" s="1" t="s">
        <v>2214</v>
      </c>
      <c r="I1012" s="1" t="s">
        <v>1182</v>
      </c>
      <c r="Q1012" s="1" t="s">
        <v>1143</v>
      </c>
      <c r="R1012" s="1" t="s">
        <v>1163</v>
      </c>
      <c r="S1012" s="1" t="s">
        <v>1164</v>
      </c>
    </row>
    <row r="1013" spans="1:19" x14ac:dyDescent="0.25">
      <c r="A1013" s="1">
        <v>1921059000000</v>
      </c>
      <c r="B1013" s="1" t="s">
        <v>1143</v>
      </c>
      <c r="C1013" s="1" t="s">
        <v>2199</v>
      </c>
      <c r="E1013" s="1" t="s">
        <v>1163</v>
      </c>
      <c r="F1013" s="1">
        <v>1921059000000</v>
      </c>
      <c r="G1013" s="1" t="s">
        <v>1165</v>
      </c>
      <c r="H1013" s="1" t="s">
        <v>2215</v>
      </c>
      <c r="I1013" s="1" t="s">
        <v>1204</v>
      </c>
      <c r="Q1013" s="1" t="s">
        <v>1143</v>
      </c>
      <c r="R1013" s="1" t="s">
        <v>1163</v>
      </c>
      <c r="S1013" s="1" t="s">
        <v>1165</v>
      </c>
    </row>
    <row r="1014" spans="1:19" x14ac:dyDescent="0.25">
      <c r="A1014" s="1">
        <v>1920937910000</v>
      </c>
      <c r="B1014" s="1" t="s">
        <v>1143</v>
      </c>
      <c r="C1014" s="1" t="s">
        <v>2199</v>
      </c>
      <c r="E1014" s="1" t="s">
        <v>1163</v>
      </c>
      <c r="F1014" s="1">
        <v>1920937910000</v>
      </c>
      <c r="G1014" s="1" t="s">
        <v>1166</v>
      </c>
      <c r="H1014" s="1" t="s">
        <v>2216</v>
      </c>
      <c r="I1014" s="1" t="s">
        <v>1182</v>
      </c>
      <c r="Q1014" s="1" t="s">
        <v>1143</v>
      </c>
      <c r="R1014" s="1" t="s">
        <v>1163</v>
      </c>
      <c r="S1014" s="1" t="s">
        <v>1166</v>
      </c>
    </row>
    <row r="1015" spans="1:19" x14ac:dyDescent="0.25">
      <c r="A1015" s="1">
        <v>1920912830000</v>
      </c>
      <c r="B1015" s="1" t="s">
        <v>1143</v>
      </c>
      <c r="C1015" s="1" t="s">
        <v>2199</v>
      </c>
      <c r="E1015" s="1" t="s">
        <v>1143</v>
      </c>
      <c r="F1015" s="1">
        <v>1920912830000</v>
      </c>
      <c r="G1015" s="1" t="s">
        <v>1167</v>
      </c>
      <c r="H1015" s="1" t="s">
        <v>2217</v>
      </c>
      <c r="I1015" s="1" t="s">
        <v>1182</v>
      </c>
      <c r="Q1015" s="1" t="s">
        <v>1143</v>
      </c>
      <c r="R1015" s="1" t="s">
        <v>1143</v>
      </c>
      <c r="S1015" s="1" t="s">
        <v>1167</v>
      </c>
    </row>
    <row r="1016" spans="1:19" x14ac:dyDescent="0.25">
      <c r="A1016" s="1">
        <v>1920912830004</v>
      </c>
      <c r="B1016" s="1" t="s">
        <v>1143</v>
      </c>
      <c r="C1016" s="1" t="s">
        <v>2199</v>
      </c>
      <c r="E1016" s="1" t="s">
        <v>1143</v>
      </c>
      <c r="F1016" s="1">
        <v>1920912830004</v>
      </c>
      <c r="G1016" s="1" t="s">
        <v>1168</v>
      </c>
      <c r="H1016" s="1" t="s">
        <v>2218</v>
      </c>
      <c r="I1016" s="1" t="s">
        <v>1182</v>
      </c>
      <c r="Q1016" s="1" t="s">
        <v>1143</v>
      </c>
      <c r="R1016" s="1" t="s">
        <v>1143</v>
      </c>
      <c r="S1016" s="1" t="s">
        <v>1168</v>
      </c>
    </row>
    <row r="1017" spans="1:19" x14ac:dyDescent="0.25">
      <c r="A1017" s="1">
        <v>1920912830005</v>
      </c>
      <c r="B1017" s="1" t="s">
        <v>1143</v>
      </c>
      <c r="C1017" s="1" t="s">
        <v>2199</v>
      </c>
      <c r="E1017" s="1" t="s">
        <v>1143</v>
      </c>
      <c r="F1017" s="1">
        <v>1920912830005</v>
      </c>
      <c r="G1017" s="1" t="s">
        <v>1169</v>
      </c>
      <c r="H1017" s="1" t="s">
        <v>2219</v>
      </c>
      <c r="I1017" s="1" t="s">
        <v>1182</v>
      </c>
      <c r="Q1017" s="1" t="s">
        <v>1143</v>
      </c>
      <c r="R1017" s="1" t="s">
        <v>1143</v>
      </c>
      <c r="S1017" s="1" t="s">
        <v>1169</v>
      </c>
    </row>
    <row r="1018" spans="1:19" x14ac:dyDescent="0.25">
      <c r="A1018" s="1">
        <v>1920937110000</v>
      </c>
      <c r="B1018" s="1" t="s">
        <v>1143</v>
      </c>
      <c r="C1018" s="1" t="s">
        <v>2199</v>
      </c>
      <c r="E1018" s="1" t="s">
        <v>1143</v>
      </c>
      <c r="F1018" s="1">
        <v>1920937110000</v>
      </c>
      <c r="G1018" s="1" t="s">
        <v>1170</v>
      </c>
      <c r="H1018" s="1" t="s">
        <v>2220</v>
      </c>
      <c r="I1018" s="1" t="s">
        <v>1182</v>
      </c>
      <c r="Q1018" s="1" t="s">
        <v>1143</v>
      </c>
      <c r="R1018" s="1" t="s">
        <v>1143</v>
      </c>
      <c r="S1018" s="1" t="s">
        <v>1170</v>
      </c>
    </row>
    <row r="1019" spans="1:19" x14ac:dyDescent="0.25">
      <c r="A1019" s="1">
        <v>1920912860000</v>
      </c>
      <c r="B1019" s="1" t="s">
        <v>1143</v>
      </c>
      <c r="C1019" s="1" t="s">
        <v>2199</v>
      </c>
      <c r="E1019" s="1" t="s">
        <v>1143</v>
      </c>
      <c r="F1019" s="1">
        <v>1920912860000</v>
      </c>
      <c r="G1019" s="1" t="s">
        <v>1171</v>
      </c>
      <c r="H1019" s="1" t="s">
        <v>2221</v>
      </c>
      <c r="I1019" s="1" t="s">
        <v>1182</v>
      </c>
      <c r="Q1019" s="1" t="s">
        <v>1143</v>
      </c>
      <c r="R1019" s="1" t="s">
        <v>1143</v>
      </c>
      <c r="S1019" s="1" t="s">
        <v>1171</v>
      </c>
    </row>
    <row r="1020" spans="1:19" x14ac:dyDescent="0.25">
      <c r="A1020" s="1">
        <v>1920912830002</v>
      </c>
      <c r="B1020" s="1" t="s">
        <v>1143</v>
      </c>
      <c r="C1020" s="1" t="s">
        <v>2199</v>
      </c>
      <c r="E1020" s="1" t="s">
        <v>1143</v>
      </c>
      <c r="F1020" s="1">
        <v>1920912830002</v>
      </c>
      <c r="G1020" s="1" t="s">
        <v>1172</v>
      </c>
      <c r="H1020" s="1" t="s">
        <v>2222</v>
      </c>
      <c r="I1020" s="1" t="s">
        <v>1182</v>
      </c>
      <c r="Q1020" s="1" t="s">
        <v>1143</v>
      </c>
      <c r="R1020" s="1" t="s">
        <v>1143</v>
      </c>
      <c r="S1020" s="1" t="s">
        <v>1172</v>
      </c>
    </row>
    <row r="1021" spans="1:19" x14ac:dyDescent="0.25">
      <c r="A1021" s="1">
        <v>1920938600000</v>
      </c>
      <c r="B1021" s="1" t="s">
        <v>1143</v>
      </c>
      <c r="C1021" s="1" t="s">
        <v>2199</v>
      </c>
      <c r="E1021" s="1" t="s">
        <v>1143</v>
      </c>
      <c r="F1021" s="1">
        <v>1920938600000</v>
      </c>
      <c r="G1021" s="1" t="s">
        <v>1173</v>
      </c>
      <c r="H1021" s="1" t="s">
        <v>2223</v>
      </c>
      <c r="I1021" s="1" t="s">
        <v>1182</v>
      </c>
      <c r="Q1021" s="1" t="s">
        <v>1143</v>
      </c>
      <c r="R1021" s="1" t="s">
        <v>1143</v>
      </c>
      <c r="S1021" s="1" t="s">
        <v>1173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Setores</vt:lpstr>
      <vt:lpstr>Setores_Atualizado</vt:lpstr>
      <vt:lpstr>Cópia de Setores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Fabricio Souza</cp:lastModifiedBy>
  <dcterms:created xsi:type="dcterms:W3CDTF">2026-05-06T16:02:34Z</dcterms:created>
  <dcterms:modified xsi:type="dcterms:W3CDTF">2026-05-06T16:05:16Z</dcterms:modified>
</cp:coreProperties>
</file>